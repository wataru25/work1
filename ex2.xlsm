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BFB32C6A-FC18-4FAE-AB51-71825B4B0C3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戦略の決定" sheetId="7" r:id="rId1"/>
    <sheet name="シミュレーション" sheetId="10" r:id="rId2"/>
    <sheet name="シミュレーションデータの貼り付け" sheetId="11" r:id="rId3"/>
    <sheet name="ファンドデータ(変更不要)" sheetId="5" r:id="rId4"/>
    <sheet name="ヘッジ付きポートフォリオ計算用（変更不要）" sheetId="8" r:id="rId5"/>
    <sheet name="シミュレーション計算用（変更不要）" sheetId="12" r:id="rId6"/>
  </sheets>
  <functionGroups builtInGroupCount="19"/>
  <definedNames>
    <definedName name="Change_A">戦略の決定!$F$51</definedName>
    <definedName name="Change_B">戦略の決定!$F$52</definedName>
    <definedName name="Change_C">戦略の決定!$F$53</definedName>
    <definedName name="Change_Option_A">戦略の決定!$D$45</definedName>
    <definedName name="Change_Option_B">戦略の決定!$D$46</definedName>
    <definedName name="Change_Option_C">戦略の決定!$D$47</definedName>
    <definedName name="Init_A">戦略の決定!$E$59</definedName>
    <definedName name="Init_B">戦略の決定!$E$60</definedName>
    <definedName name="Init_C">戦略の決定!$E$61</definedName>
    <definedName name="Objective_A">戦略の決定!$D$59</definedName>
    <definedName name="Objective_B">戦略の決定!$D$60</definedName>
    <definedName name="Objective_C">戦略の決定!$D$61</definedName>
    <definedName name="Objective2_A">戦略の決定!$F$69</definedName>
    <definedName name="Objective2_B">戦略の決定!$F$70</definedName>
    <definedName name="Objective2_C">戦略の決定!$F$71</definedName>
    <definedName name="Result_A">戦略の決定!$D$64</definedName>
    <definedName name="Result_B">戦略の決定!$D$65</definedName>
    <definedName name="Result_C">戦略の決定!$D$66</definedName>
    <definedName name="Result_Option_A">戦略の決定!$E$64</definedName>
    <definedName name="Result_Option_B">戦略の決定!$E$65</definedName>
    <definedName name="Result_Option_C">戦略の決定!$E$66</definedName>
    <definedName name="solver_adj" localSheetId="0" hidden="1">戦略の決定!$F$51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戦略の決定!$F$69</definedName>
    <definedName name="solver_lhs2" localSheetId="0" hidden="1">戦略の決定!$E$20</definedName>
    <definedName name="solver_lhs3" localSheetId="0" hidden="1">戦略の決定!$D$19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戦略の決定!$F$51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hs1" localSheetId="0" hidden="1">0.0001</definedName>
    <definedName name="solver_rhs2" localSheetId="0" hidden="1">0.15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rategy_Price_A">戦略の決定!$G$51</definedName>
    <definedName name="Strategy_Price_B">戦略の決定!$G$52</definedName>
    <definedName name="Strategy_Price_C">戦略の決定!$G$53</definedName>
    <definedName name="Strategy_Result_A">戦略の決定!$E$69</definedName>
    <definedName name="Strategy_Result_B">戦略の決定!$E$70</definedName>
    <definedName name="Strategy_Result_C">戦略の決定!$E$71</definedName>
    <definedName name="Upper_A">戦略の決定!$D$69</definedName>
    <definedName name="Upper_B">戦略の決定!$D$70</definedName>
    <definedName name="Upper_C">戦略の決定!$D$71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3" i="12" l="1"/>
  <c r="F103" i="12"/>
  <c r="E103" i="12"/>
  <c r="D103" i="12"/>
  <c r="C103" i="12"/>
  <c r="I102" i="12"/>
  <c r="J102" i="12" s="1"/>
  <c r="K102" i="12" s="1"/>
  <c r="L102" i="12" s="1"/>
  <c r="M102" i="12" s="1"/>
  <c r="E125" i="10" s="1"/>
  <c r="F102" i="12"/>
  <c r="E102" i="12"/>
  <c r="D102" i="12"/>
  <c r="C102" i="12"/>
  <c r="I101" i="12"/>
  <c r="F101" i="12"/>
  <c r="E101" i="12"/>
  <c r="D101" i="12"/>
  <c r="C101" i="12"/>
  <c r="I100" i="12"/>
  <c r="F100" i="12"/>
  <c r="E100" i="12"/>
  <c r="D100" i="12"/>
  <c r="C100" i="12"/>
  <c r="J100" i="12" s="1"/>
  <c r="K100" i="12" s="1"/>
  <c r="L100" i="12" s="1"/>
  <c r="M100" i="12" s="1"/>
  <c r="E123" i="10" s="1"/>
  <c r="I99" i="12"/>
  <c r="F99" i="12"/>
  <c r="E99" i="12"/>
  <c r="D99" i="12"/>
  <c r="C99" i="12"/>
  <c r="I98" i="12"/>
  <c r="F98" i="12"/>
  <c r="E98" i="12"/>
  <c r="D98" i="12"/>
  <c r="C98" i="12"/>
  <c r="I97" i="12"/>
  <c r="J97" i="12" s="1"/>
  <c r="K97" i="12" s="1"/>
  <c r="L97" i="12" s="1"/>
  <c r="M97" i="12" s="1"/>
  <c r="E120" i="10" s="1"/>
  <c r="F97" i="12"/>
  <c r="E97" i="12"/>
  <c r="D97" i="12"/>
  <c r="C97" i="12"/>
  <c r="I96" i="12"/>
  <c r="J96" i="12" s="1"/>
  <c r="K96" i="12" s="1"/>
  <c r="L96" i="12" s="1"/>
  <c r="M96" i="12" s="1"/>
  <c r="E119" i="10" s="1"/>
  <c r="F96" i="12"/>
  <c r="E96" i="12"/>
  <c r="D96" i="12"/>
  <c r="C96" i="12"/>
  <c r="I95" i="12"/>
  <c r="F95" i="12"/>
  <c r="E95" i="12"/>
  <c r="D95" i="12"/>
  <c r="C95" i="12"/>
  <c r="I94" i="12"/>
  <c r="F94" i="12"/>
  <c r="E94" i="12"/>
  <c r="D94" i="12"/>
  <c r="C94" i="12"/>
  <c r="J93" i="12"/>
  <c r="I93" i="12"/>
  <c r="F93" i="12"/>
  <c r="E93" i="12"/>
  <c r="D93" i="12"/>
  <c r="C93" i="12"/>
  <c r="I92" i="12"/>
  <c r="F92" i="12"/>
  <c r="E92" i="12"/>
  <c r="D92" i="12"/>
  <c r="C92" i="12"/>
  <c r="J92" i="12" s="1"/>
  <c r="I91" i="12"/>
  <c r="F91" i="12"/>
  <c r="E91" i="12"/>
  <c r="D91" i="12"/>
  <c r="C91" i="12"/>
  <c r="J90" i="12"/>
  <c r="I90" i="12"/>
  <c r="F90" i="12"/>
  <c r="E90" i="12"/>
  <c r="D90" i="12"/>
  <c r="C90" i="12"/>
  <c r="I89" i="12"/>
  <c r="F89" i="12"/>
  <c r="E89" i="12"/>
  <c r="D89" i="12"/>
  <c r="C89" i="12"/>
  <c r="I88" i="12"/>
  <c r="F88" i="12"/>
  <c r="E88" i="12"/>
  <c r="D88" i="12"/>
  <c r="C88" i="12"/>
  <c r="I87" i="12"/>
  <c r="F87" i="12"/>
  <c r="E87" i="12"/>
  <c r="D87" i="12"/>
  <c r="C87" i="12"/>
  <c r="I86" i="12"/>
  <c r="F86" i="12"/>
  <c r="E86" i="12"/>
  <c r="D86" i="12"/>
  <c r="C86" i="12"/>
  <c r="J85" i="12"/>
  <c r="K85" i="12" s="1"/>
  <c r="L85" i="12" s="1"/>
  <c r="M85" i="12" s="1"/>
  <c r="E108" i="10" s="1"/>
  <c r="I85" i="12"/>
  <c r="F85" i="12"/>
  <c r="E85" i="12"/>
  <c r="D85" i="12"/>
  <c r="C85" i="12"/>
  <c r="I84" i="12"/>
  <c r="F84" i="12"/>
  <c r="E84" i="12"/>
  <c r="D84" i="12"/>
  <c r="C84" i="12"/>
  <c r="I83" i="12"/>
  <c r="J83" i="12" s="1"/>
  <c r="K83" i="12" s="1"/>
  <c r="L83" i="12" s="1"/>
  <c r="M83" i="12" s="1"/>
  <c r="E106" i="10" s="1"/>
  <c r="F83" i="12"/>
  <c r="E83" i="12"/>
  <c r="D83" i="12"/>
  <c r="C83" i="12"/>
  <c r="I82" i="12"/>
  <c r="J82" i="12" s="1"/>
  <c r="K82" i="12" s="1"/>
  <c r="L82" i="12" s="1"/>
  <c r="M82" i="12" s="1"/>
  <c r="E105" i="10" s="1"/>
  <c r="F82" i="12"/>
  <c r="E82" i="12"/>
  <c r="D82" i="12"/>
  <c r="C82" i="12"/>
  <c r="J81" i="12"/>
  <c r="K81" i="12" s="1"/>
  <c r="L81" i="12" s="1"/>
  <c r="M81" i="12" s="1"/>
  <c r="E104" i="10" s="1"/>
  <c r="I81" i="12"/>
  <c r="F81" i="12"/>
  <c r="E81" i="12"/>
  <c r="D81" i="12"/>
  <c r="C81" i="12"/>
  <c r="I80" i="12"/>
  <c r="F80" i="12"/>
  <c r="E80" i="12"/>
  <c r="D80" i="12"/>
  <c r="C80" i="12"/>
  <c r="I79" i="12"/>
  <c r="F79" i="12"/>
  <c r="E79" i="12"/>
  <c r="D79" i="12"/>
  <c r="C79" i="12"/>
  <c r="I78" i="12"/>
  <c r="F78" i="12"/>
  <c r="E78" i="12"/>
  <c r="D78" i="12"/>
  <c r="C78" i="12"/>
  <c r="J78" i="12" s="1"/>
  <c r="K78" i="12" s="1"/>
  <c r="I77" i="12"/>
  <c r="F77" i="12"/>
  <c r="E77" i="12"/>
  <c r="D77" i="12"/>
  <c r="C77" i="12"/>
  <c r="I76" i="12"/>
  <c r="F76" i="12"/>
  <c r="E76" i="12"/>
  <c r="D76" i="12"/>
  <c r="C76" i="12"/>
  <c r="I75" i="12"/>
  <c r="F75" i="12"/>
  <c r="E75" i="12"/>
  <c r="D75" i="12"/>
  <c r="C75" i="12"/>
  <c r="I74" i="12"/>
  <c r="F74" i="12"/>
  <c r="E74" i="12"/>
  <c r="D74" i="12"/>
  <c r="C74" i="12"/>
  <c r="I73" i="12"/>
  <c r="F73" i="12"/>
  <c r="E73" i="12"/>
  <c r="D73" i="12"/>
  <c r="C73" i="12"/>
  <c r="I72" i="12"/>
  <c r="F72" i="12"/>
  <c r="E72" i="12"/>
  <c r="D72" i="12"/>
  <c r="C72" i="12"/>
  <c r="I71" i="12"/>
  <c r="J71" i="12" s="1"/>
  <c r="K71" i="12" s="1"/>
  <c r="L71" i="12" s="1"/>
  <c r="M71" i="12" s="1"/>
  <c r="E94" i="10" s="1"/>
  <c r="F71" i="12"/>
  <c r="E71" i="12"/>
  <c r="D71" i="12"/>
  <c r="C71" i="12"/>
  <c r="I70" i="12"/>
  <c r="J70" i="12" s="1"/>
  <c r="K70" i="12" s="1"/>
  <c r="L70" i="12" s="1"/>
  <c r="M70" i="12" s="1"/>
  <c r="E93" i="10" s="1"/>
  <c r="F70" i="12"/>
  <c r="E70" i="12"/>
  <c r="D70" i="12"/>
  <c r="C70" i="12"/>
  <c r="I69" i="12"/>
  <c r="F69" i="12"/>
  <c r="E69" i="12"/>
  <c r="D69" i="12"/>
  <c r="C69" i="12"/>
  <c r="I68" i="12"/>
  <c r="F68" i="12"/>
  <c r="E68" i="12"/>
  <c r="D68" i="12"/>
  <c r="C68" i="12"/>
  <c r="I67" i="12"/>
  <c r="F67" i="12"/>
  <c r="E67" i="12"/>
  <c r="D67" i="12"/>
  <c r="C67" i="12"/>
  <c r="I66" i="12"/>
  <c r="F66" i="12"/>
  <c r="E66" i="12"/>
  <c r="D66" i="12"/>
  <c r="C66" i="12"/>
  <c r="J66" i="12" s="1"/>
  <c r="I65" i="12"/>
  <c r="F65" i="12"/>
  <c r="E65" i="12"/>
  <c r="D65" i="12"/>
  <c r="C65" i="12"/>
  <c r="J65" i="12" s="1"/>
  <c r="K65" i="12" s="1"/>
  <c r="L65" i="12" s="1"/>
  <c r="M65" i="12" s="1"/>
  <c r="E88" i="10" s="1"/>
  <c r="I64" i="12"/>
  <c r="F64" i="12"/>
  <c r="E64" i="12"/>
  <c r="D64" i="12"/>
  <c r="C64" i="12"/>
  <c r="I63" i="12"/>
  <c r="F63" i="12"/>
  <c r="E63" i="12"/>
  <c r="D63" i="12"/>
  <c r="C63" i="12"/>
  <c r="I62" i="12"/>
  <c r="F62" i="12"/>
  <c r="E62" i="12"/>
  <c r="D62" i="12"/>
  <c r="C62" i="12"/>
  <c r="J62" i="12" s="1"/>
  <c r="K62" i="12" s="1"/>
  <c r="I61" i="12"/>
  <c r="J61" i="12" s="1"/>
  <c r="K61" i="12" s="1"/>
  <c r="L61" i="12" s="1"/>
  <c r="M61" i="12" s="1"/>
  <c r="E84" i="10" s="1"/>
  <c r="F61" i="12"/>
  <c r="E61" i="12"/>
  <c r="D61" i="12"/>
  <c r="C61" i="12"/>
  <c r="J60" i="12"/>
  <c r="K60" i="12" s="1"/>
  <c r="I60" i="12"/>
  <c r="F60" i="12"/>
  <c r="E60" i="12"/>
  <c r="D60" i="12"/>
  <c r="C60" i="12"/>
  <c r="J59" i="12"/>
  <c r="K59" i="12" s="1"/>
  <c r="L59" i="12" s="1"/>
  <c r="M59" i="12" s="1"/>
  <c r="E82" i="10" s="1"/>
  <c r="I59" i="12"/>
  <c r="F59" i="12"/>
  <c r="E59" i="12"/>
  <c r="D59" i="12"/>
  <c r="C59" i="12"/>
  <c r="I58" i="12"/>
  <c r="F58" i="12"/>
  <c r="E58" i="12"/>
  <c r="D58" i="12"/>
  <c r="C58" i="12"/>
  <c r="I57" i="12"/>
  <c r="F57" i="12"/>
  <c r="E57" i="12"/>
  <c r="D57" i="12"/>
  <c r="C57" i="12"/>
  <c r="I56" i="12"/>
  <c r="J56" i="12" s="1"/>
  <c r="K56" i="12" s="1"/>
  <c r="L56" i="12" s="1"/>
  <c r="M56" i="12" s="1"/>
  <c r="E79" i="10" s="1"/>
  <c r="F56" i="12"/>
  <c r="E56" i="12"/>
  <c r="D56" i="12"/>
  <c r="C56" i="12"/>
  <c r="J55" i="12"/>
  <c r="K55" i="12" s="1"/>
  <c r="L55" i="12" s="1"/>
  <c r="M55" i="12" s="1"/>
  <c r="E78" i="10" s="1"/>
  <c r="I55" i="12"/>
  <c r="F55" i="12"/>
  <c r="E55" i="12"/>
  <c r="D55" i="12"/>
  <c r="C55" i="12"/>
  <c r="I54" i="12"/>
  <c r="J54" i="12" s="1"/>
  <c r="K54" i="12" s="1"/>
  <c r="F54" i="12"/>
  <c r="E54" i="12"/>
  <c r="D54" i="12"/>
  <c r="C54" i="12"/>
  <c r="I53" i="12"/>
  <c r="F53" i="12"/>
  <c r="E53" i="12"/>
  <c r="D53" i="12"/>
  <c r="C53" i="12"/>
  <c r="I52" i="12"/>
  <c r="J52" i="12" s="1"/>
  <c r="K52" i="12" s="1"/>
  <c r="L52" i="12" s="1"/>
  <c r="M52" i="12" s="1"/>
  <c r="E75" i="10" s="1"/>
  <c r="F52" i="12"/>
  <c r="E52" i="12"/>
  <c r="D52" i="12"/>
  <c r="C52" i="12"/>
  <c r="I51" i="12"/>
  <c r="J51" i="12" s="1"/>
  <c r="K51" i="12" s="1"/>
  <c r="L51" i="12" s="1"/>
  <c r="M51" i="12" s="1"/>
  <c r="E74" i="10" s="1"/>
  <c r="F51" i="12"/>
  <c r="E51" i="12"/>
  <c r="D51" i="12"/>
  <c r="C51" i="12"/>
  <c r="I50" i="12"/>
  <c r="F50" i="12"/>
  <c r="E50" i="12"/>
  <c r="D50" i="12"/>
  <c r="C50" i="12"/>
  <c r="I49" i="12"/>
  <c r="F49" i="12"/>
  <c r="E49" i="12"/>
  <c r="D49" i="12"/>
  <c r="C49" i="12"/>
  <c r="I48" i="12"/>
  <c r="F48" i="12"/>
  <c r="E48" i="12"/>
  <c r="D48" i="12"/>
  <c r="C48" i="12"/>
  <c r="J48" i="12" s="1"/>
  <c r="I47" i="12"/>
  <c r="F47" i="12"/>
  <c r="E47" i="12"/>
  <c r="D47" i="12"/>
  <c r="C47" i="12"/>
  <c r="I46" i="12"/>
  <c r="F46" i="12"/>
  <c r="E46" i="12"/>
  <c r="D46" i="12"/>
  <c r="C46" i="12"/>
  <c r="I45" i="12"/>
  <c r="F45" i="12"/>
  <c r="E45" i="12"/>
  <c r="D45" i="12"/>
  <c r="C45" i="12"/>
  <c r="J45" i="12" s="1"/>
  <c r="K45" i="12" s="1"/>
  <c r="I44" i="12"/>
  <c r="F44" i="12"/>
  <c r="E44" i="12"/>
  <c r="D44" i="12"/>
  <c r="C44" i="12"/>
  <c r="J44" i="12" s="1"/>
  <c r="K44" i="12" s="1"/>
  <c r="L44" i="12" s="1"/>
  <c r="M44" i="12" s="1"/>
  <c r="E67" i="10" s="1"/>
  <c r="I43" i="12"/>
  <c r="F43" i="12"/>
  <c r="E43" i="12"/>
  <c r="D43" i="12"/>
  <c r="C43" i="12"/>
  <c r="I42" i="12"/>
  <c r="J42" i="12" s="1"/>
  <c r="F42" i="12"/>
  <c r="E42" i="12"/>
  <c r="D42" i="12"/>
  <c r="C42" i="12"/>
  <c r="I41" i="12"/>
  <c r="F41" i="12"/>
  <c r="E41" i="12"/>
  <c r="D41" i="12"/>
  <c r="C41" i="12"/>
  <c r="I40" i="12"/>
  <c r="F40" i="12"/>
  <c r="E40" i="12"/>
  <c r="D40" i="12"/>
  <c r="C40" i="12"/>
  <c r="I39" i="12"/>
  <c r="J39" i="12" s="1"/>
  <c r="K39" i="12" s="1"/>
  <c r="L39" i="12" s="1"/>
  <c r="M39" i="12" s="1"/>
  <c r="E62" i="10" s="1"/>
  <c r="F39" i="12"/>
  <c r="E39" i="12"/>
  <c r="D39" i="12"/>
  <c r="C39" i="12"/>
  <c r="I38" i="12"/>
  <c r="F38" i="12"/>
  <c r="E38" i="12"/>
  <c r="D38" i="12"/>
  <c r="C38" i="12"/>
  <c r="I37" i="12"/>
  <c r="F37" i="12"/>
  <c r="E37" i="12"/>
  <c r="D37" i="12"/>
  <c r="C37" i="12"/>
  <c r="I36" i="12"/>
  <c r="J36" i="12" s="1"/>
  <c r="F36" i="12"/>
  <c r="E36" i="12"/>
  <c r="D36" i="12"/>
  <c r="C36" i="12"/>
  <c r="I35" i="12"/>
  <c r="J35" i="12" s="1"/>
  <c r="K35" i="12" s="1"/>
  <c r="L35" i="12" s="1"/>
  <c r="M35" i="12" s="1"/>
  <c r="E58" i="10" s="1"/>
  <c r="F35" i="12"/>
  <c r="E35" i="12"/>
  <c r="D35" i="12"/>
  <c r="C35" i="12"/>
  <c r="I34" i="12"/>
  <c r="F34" i="12"/>
  <c r="E34" i="12"/>
  <c r="D34" i="12"/>
  <c r="C34" i="12"/>
  <c r="I33" i="12"/>
  <c r="J33" i="12" s="1"/>
  <c r="K33" i="12" s="1"/>
  <c r="L33" i="12" s="1"/>
  <c r="M33" i="12" s="1"/>
  <c r="E56" i="10" s="1"/>
  <c r="F33" i="12"/>
  <c r="E33" i="12"/>
  <c r="D33" i="12"/>
  <c r="C33" i="12"/>
  <c r="J32" i="12"/>
  <c r="K32" i="12" s="1"/>
  <c r="L32" i="12" s="1"/>
  <c r="M32" i="12" s="1"/>
  <c r="E55" i="10" s="1"/>
  <c r="I32" i="12"/>
  <c r="F32" i="12"/>
  <c r="E32" i="12"/>
  <c r="D32" i="12"/>
  <c r="C32" i="12"/>
  <c r="I31" i="12"/>
  <c r="F31" i="12"/>
  <c r="E31" i="12"/>
  <c r="D31" i="12"/>
  <c r="C31" i="12"/>
  <c r="I30" i="12"/>
  <c r="J30" i="12" s="1"/>
  <c r="K30" i="12" s="1"/>
  <c r="L30" i="12" s="1"/>
  <c r="M30" i="12" s="1"/>
  <c r="E53" i="10" s="1"/>
  <c r="F30" i="12"/>
  <c r="E30" i="12"/>
  <c r="D30" i="12"/>
  <c r="C30" i="12"/>
  <c r="I29" i="12"/>
  <c r="J29" i="12" s="1"/>
  <c r="K29" i="12" s="1"/>
  <c r="L29" i="12" s="1"/>
  <c r="M29" i="12" s="1"/>
  <c r="E52" i="10" s="1"/>
  <c r="F29" i="12"/>
  <c r="E29" i="12"/>
  <c r="D29" i="12"/>
  <c r="C29" i="12"/>
  <c r="I28" i="12"/>
  <c r="J28" i="12" s="1"/>
  <c r="F28" i="12"/>
  <c r="E28" i="12"/>
  <c r="D28" i="12"/>
  <c r="C28" i="12"/>
  <c r="I27" i="12"/>
  <c r="F27" i="12"/>
  <c r="E27" i="12"/>
  <c r="D27" i="12"/>
  <c r="C27" i="12"/>
  <c r="I26" i="12"/>
  <c r="F26" i="12"/>
  <c r="E26" i="12"/>
  <c r="D26" i="12"/>
  <c r="C26" i="12"/>
  <c r="J26" i="12" s="1"/>
  <c r="K26" i="12" s="1"/>
  <c r="L26" i="12" s="1"/>
  <c r="I25" i="12"/>
  <c r="F25" i="12"/>
  <c r="E25" i="12"/>
  <c r="D25" i="12"/>
  <c r="C25" i="12"/>
  <c r="I24" i="12"/>
  <c r="F24" i="12"/>
  <c r="E24" i="12"/>
  <c r="D24" i="12"/>
  <c r="C24" i="12"/>
  <c r="J24" i="12" s="1"/>
  <c r="K24" i="12" s="1"/>
  <c r="L24" i="12" s="1"/>
  <c r="M24" i="12" s="1"/>
  <c r="E47" i="10" s="1"/>
  <c r="I23" i="12"/>
  <c r="F23" i="12"/>
  <c r="E23" i="12"/>
  <c r="D23" i="12"/>
  <c r="C23" i="12"/>
  <c r="I22" i="12"/>
  <c r="F22" i="12"/>
  <c r="E22" i="12"/>
  <c r="D22" i="12"/>
  <c r="C22" i="12"/>
  <c r="I21" i="12"/>
  <c r="J21" i="12" s="1"/>
  <c r="K21" i="12" s="1"/>
  <c r="L21" i="12" s="1"/>
  <c r="M21" i="12" s="1"/>
  <c r="E44" i="10" s="1"/>
  <c r="F21" i="12"/>
  <c r="E21" i="12"/>
  <c r="D21" i="12"/>
  <c r="C21" i="12"/>
  <c r="J20" i="12"/>
  <c r="I20" i="12"/>
  <c r="F20" i="12"/>
  <c r="E20" i="12"/>
  <c r="D20" i="12"/>
  <c r="C20" i="12"/>
  <c r="I19" i="12"/>
  <c r="J19" i="12" s="1"/>
  <c r="K19" i="12" s="1"/>
  <c r="F19" i="12"/>
  <c r="E19" i="12"/>
  <c r="D19" i="12"/>
  <c r="C19" i="12"/>
  <c r="I18" i="12"/>
  <c r="F18" i="12"/>
  <c r="E18" i="12"/>
  <c r="D18" i="12"/>
  <c r="C18" i="12"/>
  <c r="J17" i="12"/>
  <c r="K17" i="12" s="1"/>
  <c r="I17" i="12"/>
  <c r="F17" i="12"/>
  <c r="E17" i="12"/>
  <c r="D17" i="12"/>
  <c r="C17" i="12"/>
  <c r="I16" i="12"/>
  <c r="J16" i="12" s="1"/>
  <c r="K16" i="12" s="1"/>
  <c r="L16" i="12" s="1"/>
  <c r="M16" i="12" s="1"/>
  <c r="E39" i="10" s="1"/>
  <c r="F16" i="12"/>
  <c r="E16" i="12"/>
  <c r="D16" i="12"/>
  <c r="C16" i="12"/>
  <c r="I15" i="12"/>
  <c r="F15" i="12"/>
  <c r="E15" i="12"/>
  <c r="D15" i="12"/>
  <c r="C15" i="12"/>
  <c r="J15" i="12" s="1"/>
  <c r="K15" i="12" s="1"/>
  <c r="L15" i="12" s="1"/>
  <c r="M15" i="12" s="1"/>
  <c r="E38" i="10" s="1"/>
  <c r="I14" i="12"/>
  <c r="F14" i="12"/>
  <c r="E14" i="12"/>
  <c r="D14" i="12"/>
  <c r="C14" i="12"/>
  <c r="I13" i="12"/>
  <c r="J13" i="12" s="1"/>
  <c r="K13" i="12" s="1"/>
  <c r="F13" i="12"/>
  <c r="E13" i="12"/>
  <c r="D13" i="12"/>
  <c r="C13" i="12"/>
  <c r="I12" i="12"/>
  <c r="J12" i="12" s="1"/>
  <c r="K12" i="12" s="1"/>
  <c r="L12" i="12" s="1"/>
  <c r="M12" i="12" s="1"/>
  <c r="E35" i="10" s="1"/>
  <c r="F12" i="12"/>
  <c r="E12" i="12"/>
  <c r="D12" i="12"/>
  <c r="C12" i="12"/>
  <c r="I11" i="12"/>
  <c r="J11" i="12" s="1"/>
  <c r="K11" i="12" s="1"/>
  <c r="L11" i="12" s="1"/>
  <c r="M11" i="12" s="1"/>
  <c r="E34" i="10" s="1"/>
  <c r="F11" i="12"/>
  <c r="E11" i="12"/>
  <c r="D11" i="12"/>
  <c r="C11" i="12"/>
  <c r="I10" i="12"/>
  <c r="F10" i="12"/>
  <c r="E10" i="12"/>
  <c r="D10" i="12"/>
  <c r="C10" i="12"/>
  <c r="I9" i="12"/>
  <c r="F9" i="12"/>
  <c r="E9" i="12"/>
  <c r="D9" i="12"/>
  <c r="C9" i="12"/>
  <c r="I8" i="12"/>
  <c r="J8" i="12" s="1"/>
  <c r="K8" i="12" s="1"/>
  <c r="L8" i="12" s="1"/>
  <c r="M8" i="12" s="1"/>
  <c r="E31" i="10" s="1"/>
  <c r="F8" i="12"/>
  <c r="E8" i="12"/>
  <c r="D8" i="12"/>
  <c r="C8" i="12"/>
  <c r="I7" i="12"/>
  <c r="J7" i="12" s="1"/>
  <c r="F7" i="12"/>
  <c r="E7" i="12"/>
  <c r="D7" i="12"/>
  <c r="C7" i="12"/>
  <c r="I6" i="12"/>
  <c r="F6" i="12"/>
  <c r="E6" i="12"/>
  <c r="D6" i="12"/>
  <c r="C6" i="12"/>
  <c r="J5" i="12"/>
  <c r="K5" i="12" s="1"/>
  <c r="L5" i="12" s="1"/>
  <c r="M5" i="12" s="1"/>
  <c r="E28" i="10" s="1"/>
  <c r="I5" i="12"/>
  <c r="F5" i="12"/>
  <c r="E5" i="12"/>
  <c r="D5" i="12"/>
  <c r="C5" i="12"/>
  <c r="I4" i="12"/>
  <c r="J4" i="12" s="1"/>
  <c r="F4" i="12"/>
  <c r="E4" i="12"/>
  <c r="D4" i="12"/>
  <c r="C4" i="12"/>
  <c r="AQ72" i="8"/>
  <c r="AQ73" i="8" s="1"/>
  <c r="AQ74" i="8" s="1"/>
  <c r="AQ75" i="8" s="1"/>
  <c r="AQ76" i="8" s="1"/>
  <c r="AQ77" i="8" s="1"/>
  <c r="AQ78" i="8" s="1"/>
  <c r="AQ79" i="8" s="1"/>
  <c r="AQ80" i="8" s="1"/>
  <c r="AQ81" i="8" s="1"/>
  <c r="AQ82" i="8" s="1"/>
  <c r="AQ83" i="8" s="1"/>
  <c r="AQ84" i="8" s="1"/>
  <c r="AQ85" i="8" s="1"/>
  <c r="AQ86" i="8" s="1"/>
  <c r="AQ87" i="8" s="1"/>
  <c r="AQ88" i="8" s="1"/>
  <c r="AQ89" i="8" s="1"/>
  <c r="AQ90" i="8" s="1"/>
  <c r="AQ91" i="8" s="1"/>
  <c r="AQ92" i="8" s="1"/>
  <c r="AQ93" i="8" s="1"/>
  <c r="AQ94" i="8" s="1"/>
  <c r="AQ95" i="8" s="1"/>
  <c r="AQ96" i="8" s="1"/>
  <c r="AQ97" i="8" s="1"/>
  <c r="AQ98" i="8" s="1"/>
  <c r="AQ99" i="8" s="1"/>
  <c r="AQ100" i="8" s="1"/>
  <c r="AQ101" i="8" s="1"/>
  <c r="AQ102" i="8" s="1"/>
  <c r="AQ103" i="8" s="1"/>
  <c r="AQ104" i="8" s="1"/>
  <c r="AQ105" i="8" s="1"/>
  <c r="AQ106" i="8" s="1"/>
  <c r="AQ107" i="8" s="1"/>
  <c r="AQ108" i="8" s="1"/>
  <c r="AQ109" i="8" s="1"/>
  <c r="AQ110" i="8" s="1"/>
  <c r="AQ111" i="8" s="1"/>
  <c r="AQ112" i="8" s="1"/>
  <c r="AQ113" i="8" s="1"/>
  <c r="AQ114" i="8" s="1"/>
  <c r="AQ115" i="8" s="1"/>
  <c r="AQ116" i="8" s="1"/>
  <c r="AQ117" i="8" s="1"/>
  <c r="AQ118" i="8" s="1"/>
  <c r="AQ119" i="8" s="1"/>
  <c r="AQ120" i="8" s="1"/>
  <c r="AQ121" i="8" s="1"/>
  <c r="AQ122" i="8" s="1"/>
  <c r="AQ123" i="8" s="1"/>
  <c r="AE72" i="8"/>
  <c r="AE73" i="8" s="1"/>
  <c r="AE74" i="8" s="1"/>
  <c r="AE75" i="8" s="1"/>
  <c r="AE76" i="8" s="1"/>
  <c r="AE77" i="8" s="1"/>
  <c r="AE78" i="8" s="1"/>
  <c r="AE79" i="8" s="1"/>
  <c r="AE80" i="8" s="1"/>
  <c r="AE81" i="8" s="1"/>
  <c r="AE82" i="8" s="1"/>
  <c r="AE83" i="8" s="1"/>
  <c r="AE84" i="8" s="1"/>
  <c r="AE85" i="8" s="1"/>
  <c r="AE86" i="8" s="1"/>
  <c r="AE87" i="8" s="1"/>
  <c r="AE88" i="8" s="1"/>
  <c r="AE89" i="8" s="1"/>
  <c r="AE90" i="8" s="1"/>
  <c r="AE91" i="8" s="1"/>
  <c r="AE92" i="8" s="1"/>
  <c r="AE93" i="8" s="1"/>
  <c r="AE94" i="8" s="1"/>
  <c r="AE95" i="8" s="1"/>
  <c r="AE96" i="8" s="1"/>
  <c r="AE97" i="8" s="1"/>
  <c r="AE98" i="8" s="1"/>
  <c r="AE99" i="8" s="1"/>
  <c r="AE100" i="8" s="1"/>
  <c r="AE101" i="8" s="1"/>
  <c r="AE102" i="8" s="1"/>
  <c r="AE103" i="8" s="1"/>
  <c r="AE104" i="8" s="1"/>
  <c r="AE105" i="8" s="1"/>
  <c r="AE106" i="8" s="1"/>
  <c r="AE107" i="8" s="1"/>
  <c r="AE108" i="8" s="1"/>
  <c r="AE109" i="8" s="1"/>
  <c r="AE110" i="8" s="1"/>
  <c r="AE111" i="8" s="1"/>
  <c r="AE112" i="8" s="1"/>
  <c r="AE113" i="8" s="1"/>
  <c r="AE114" i="8" s="1"/>
  <c r="AE115" i="8" s="1"/>
  <c r="AE116" i="8" s="1"/>
  <c r="AE117" i="8" s="1"/>
  <c r="AE118" i="8" s="1"/>
  <c r="AE119" i="8" s="1"/>
  <c r="AE120" i="8" s="1"/>
  <c r="AE121" i="8" s="1"/>
  <c r="AE122" i="8" s="1"/>
  <c r="AE123" i="8" s="1"/>
  <c r="S17" i="8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S38" i="8" s="1"/>
  <c r="S39" i="8" s="1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AQ16" i="8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Q36" i="8" s="1"/>
  <c r="AQ37" i="8" s="1"/>
  <c r="AQ38" i="8" s="1"/>
  <c r="AQ39" i="8" s="1"/>
  <c r="AQ40" i="8" s="1"/>
  <c r="AQ41" i="8" s="1"/>
  <c r="AQ42" i="8" s="1"/>
  <c r="AQ43" i="8" s="1"/>
  <c r="AQ44" i="8" s="1"/>
  <c r="AQ45" i="8" s="1"/>
  <c r="AQ46" i="8" s="1"/>
  <c r="AQ47" i="8" s="1"/>
  <c r="AQ48" i="8" s="1"/>
  <c r="AQ49" i="8" s="1"/>
  <c r="AQ50" i="8" s="1"/>
  <c r="AQ51" i="8" s="1"/>
  <c r="AQ52" i="8" s="1"/>
  <c r="AQ53" i="8" s="1"/>
  <c r="AQ54" i="8" s="1"/>
  <c r="AQ55" i="8" s="1"/>
  <c r="AQ56" i="8" s="1"/>
  <c r="AQ57" i="8" s="1"/>
  <c r="AQ58" i="8" s="1"/>
  <c r="AQ59" i="8" s="1"/>
  <c r="AQ60" i="8" s="1"/>
  <c r="AQ61" i="8" s="1"/>
  <c r="AQ62" i="8" s="1"/>
  <c r="AQ63" i="8" s="1"/>
  <c r="AQ64" i="8" s="1"/>
  <c r="AQ65" i="8" s="1"/>
  <c r="AQ66" i="8" s="1"/>
  <c r="AQ67" i="8" s="1"/>
  <c r="AE16" i="8"/>
  <c r="AE17" i="8" s="1"/>
  <c r="AE18" i="8" s="1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5" i="8" s="1"/>
  <c r="AE36" i="8" s="1"/>
  <c r="AE37" i="8" s="1"/>
  <c r="AE38" i="8" s="1"/>
  <c r="AE39" i="8" s="1"/>
  <c r="AE40" i="8" s="1"/>
  <c r="AE41" i="8" s="1"/>
  <c r="AE42" i="8" s="1"/>
  <c r="AE43" i="8" s="1"/>
  <c r="AE44" i="8" s="1"/>
  <c r="AE45" i="8" s="1"/>
  <c r="AE46" i="8" s="1"/>
  <c r="AE47" i="8" s="1"/>
  <c r="AE48" i="8" s="1"/>
  <c r="AE49" i="8" s="1"/>
  <c r="AE50" i="8" s="1"/>
  <c r="AE51" i="8" s="1"/>
  <c r="AE52" i="8" s="1"/>
  <c r="AE53" i="8" s="1"/>
  <c r="AE54" i="8" s="1"/>
  <c r="AE55" i="8" s="1"/>
  <c r="AE56" i="8" s="1"/>
  <c r="AE57" i="8" s="1"/>
  <c r="AE58" i="8" s="1"/>
  <c r="AE59" i="8" s="1"/>
  <c r="AE60" i="8" s="1"/>
  <c r="AE61" i="8" s="1"/>
  <c r="AE62" i="8" s="1"/>
  <c r="AE63" i="8" s="1"/>
  <c r="AE64" i="8" s="1"/>
  <c r="AE65" i="8" s="1"/>
  <c r="AE66" i="8" s="1"/>
  <c r="AE67" i="8" s="1"/>
  <c r="S16" i="8"/>
  <c r="AC12" i="8"/>
  <c r="AB12" i="8"/>
  <c r="AA12" i="8"/>
  <c r="Z12" i="8"/>
  <c r="Y12" i="8"/>
  <c r="X12" i="8"/>
  <c r="W12" i="8"/>
  <c r="V12" i="8"/>
  <c r="U12" i="8"/>
  <c r="T12" i="8"/>
  <c r="J12" i="8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J33" i="8" s="1"/>
  <c r="J34" i="8" s="1"/>
  <c r="J35" i="8" s="1"/>
  <c r="J36" i="8" s="1"/>
  <c r="J37" i="8" s="1"/>
  <c r="J38" i="8" s="1"/>
  <c r="J39" i="8" s="1"/>
  <c r="J40" i="8" s="1"/>
  <c r="J41" i="8" s="1"/>
  <c r="J42" i="8" s="1"/>
  <c r="J43" i="8" s="1"/>
  <c r="J44" i="8" s="1"/>
  <c r="J45" i="8" s="1"/>
  <c r="J46" i="8" s="1"/>
  <c r="J47" i="8" s="1"/>
  <c r="J48" i="8" s="1"/>
  <c r="J49" i="8" s="1"/>
  <c r="J50" i="8" s="1"/>
  <c r="J51" i="8" s="1"/>
  <c r="J52" i="8" s="1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63" i="8" s="1"/>
  <c r="J64" i="8" s="1"/>
  <c r="AC11" i="8"/>
  <c r="AB11" i="8"/>
  <c r="AA11" i="8"/>
  <c r="Z11" i="8"/>
  <c r="Y11" i="8"/>
  <c r="X11" i="8"/>
  <c r="W11" i="8"/>
  <c r="V11" i="8"/>
  <c r="U11" i="8"/>
  <c r="T11" i="8"/>
  <c r="P7" i="8"/>
  <c r="O5" i="8" a="1"/>
  <c r="P6" i="8" s="1"/>
  <c r="M5" i="8" a="1"/>
  <c r="N9" i="8" s="1"/>
  <c r="L9" i="8"/>
  <c r="L8" i="8"/>
  <c r="L7" i="8"/>
  <c r="L6" i="8"/>
  <c r="L5" i="8"/>
  <c r="K5" i="8" a="1"/>
  <c r="K9" i="8" s="1"/>
  <c r="Z3" i="8"/>
  <c r="T3" i="8"/>
  <c r="AC3" i="8" s="1"/>
  <c r="AC4" i="8" s="1" a="1"/>
  <c r="AC6" i="8" s="1"/>
  <c r="P656" i="5"/>
  <c r="O656" i="5"/>
  <c r="N656" i="5"/>
  <c r="M656" i="5"/>
  <c r="L656" i="5"/>
  <c r="K656" i="5"/>
  <c r="P655" i="5"/>
  <c r="O655" i="5"/>
  <c r="N655" i="5"/>
  <c r="M655" i="5"/>
  <c r="L655" i="5"/>
  <c r="K655" i="5"/>
  <c r="P654" i="5"/>
  <c r="O654" i="5"/>
  <c r="N654" i="5"/>
  <c r="M654" i="5"/>
  <c r="L654" i="5"/>
  <c r="K654" i="5"/>
  <c r="P653" i="5"/>
  <c r="O653" i="5"/>
  <c r="N653" i="5"/>
  <c r="M653" i="5"/>
  <c r="L653" i="5"/>
  <c r="K653" i="5"/>
  <c r="P652" i="5"/>
  <c r="O652" i="5"/>
  <c r="N652" i="5"/>
  <c r="M652" i="5"/>
  <c r="L652" i="5"/>
  <c r="K652" i="5"/>
  <c r="P651" i="5"/>
  <c r="O651" i="5"/>
  <c r="N651" i="5"/>
  <c r="M651" i="5"/>
  <c r="L651" i="5"/>
  <c r="D651" i="8" s="1" a="1"/>
  <c r="D651" i="8" s="1"/>
  <c r="K651" i="5"/>
  <c r="P650" i="5"/>
  <c r="O650" i="5"/>
  <c r="N650" i="5"/>
  <c r="M650" i="5"/>
  <c r="L650" i="5"/>
  <c r="K650" i="5"/>
  <c r="E650" i="8" s="1" a="1"/>
  <c r="E650" i="8" s="1"/>
  <c r="P649" i="5"/>
  <c r="O649" i="5"/>
  <c r="N649" i="5"/>
  <c r="M649" i="5"/>
  <c r="L649" i="5"/>
  <c r="K649" i="5"/>
  <c r="P648" i="5"/>
  <c r="O648" i="5"/>
  <c r="N648" i="5"/>
  <c r="M648" i="5"/>
  <c r="L648" i="5"/>
  <c r="K648" i="5"/>
  <c r="E648" i="8" s="1" a="1"/>
  <c r="E648" i="8" s="1"/>
  <c r="P647" i="5"/>
  <c r="O647" i="5"/>
  <c r="N647" i="5"/>
  <c r="M647" i="5"/>
  <c r="L647" i="5"/>
  <c r="K647" i="5"/>
  <c r="D647" i="8" s="1" a="1"/>
  <c r="D647" i="8" s="1"/>
  <c r="P646" i="5"/>
  <c r="O646" i="5"/>
  <c r="N646" i="5"/>
  <c r="M646" i="5"/>
  <c r="L646" i="5"/>
  <c r="K646" i="5"/>
  <c r="D646" i="8" s="1" a="1"/>
  <c r="D646" i="8" s="1"/>
  <c r="P645" i="5"/>
  <c r="O645" i="5"/>
  <c r="N645" i="5"/>
  <c r="M645" i="5"/>
  <c r="L645" i="5"/>
  <c r="K645" i="5"/>
  <c r="E645" i="8" s="1" a="1"/>
  <c r="E645" i="8" s="1"/>
  <c r="P644" i="5"/>
  <c r="O644" i="5"/>
  <c r="N644" i="5"/>
  <c r="M644" i="5"/>
  <c r="L644" i="5"/>
  <c r="K644" i="5"/>
  <c r="P643" i="5"/>
  <c r="O643" i="5"/>
  <c r="N643" i="5"/>
  <c r="M643" i="5"/>
  <c r="L643" i="5"/>
  <c r="E643" i="8" s="1" a="1"/>
  <c r="E643" i="8" s="1"/>
  <c r="K643" i="5"/>
  <c r="P642" i="5"/>
  <c r="O642" i="5"/>
  <c r="N642" i="5"/>
  <c r="M642" i="5"/>
  <c r="L642" i="5"/>
  <c r="K642" i="5"/>
  <c r="D642" i="8" s="1" a="1"/>
  <c r="D642" i="8" s="1"/>
  <c r="P641" i="5"/>
  <c r="O641" i="5"/>
  <c r="N641" i="5"/>
  <c r="M641" i="5"/>
  <c r="L641" i="5"/>
  <c r="K641" i="5"/>
  <c r="P640" i="5"/>
  <c r="O640" i="5"/>
  <c r="N640" i="5"/>
  <c r="M640" i="5"/>
  <c r="L640" i="5"/>
  <c r="K640" i="5"/>
  <c r="E640" i="8" s="1" a="1"/>
  <c r="E640" i="8" s="1"/>
  <c r="P639" i="5"/>
  <c r="O639" i="5"/>
  <c r="N639" i="5"/>
  <c r="M639" i="5"/>
  <c r="L639" i="5"/>
  <c r="K639" i="5"/>
  <c r="C639" i="8" s="1" a="1"/>
  <c r="C639" i="8" s="1"/>
  <c r="P638" i="5"/>
  <c r="O638" i="5"/>
  <c r="N638" i="5"/>
  <c r="M638" i="5"/>
  <c r="L638" i="5"/>
  <c r="K638" i="5"/>
  <c r="D638" i="8" s="1" a="1"/>
  <c r="D638" i="8" s="1"/>
  <c r="P637" i="5"/>
  <c r="O637" i="5"/>
  <c r="N637" i="5"/>
  <c r="M637" i="5"/>
  <c r="L637" i="5"/>
  <c r="K637" i="5"/>
  <c r="P636" i="5"/>
  <c r="O636" i="5"/>
  <c r="N636" i="5"/>
  <c r="M636" i="5"/>
  <c r="L636" i="5"/>
  <c r="K636" i="5"/>
  <c r="P635" i="5"/>
  <c r="O635" i="5"/>
  <c r="N635" i="5"/>
  <c r="M635" i="5"/>
  <c r="L635" i="5"/>
  <c r="E635" i="8" s="1" a="1"/>
  <c r="E635" i="8" s="1"/>
  <c r="K635" i="5"/>
  <c r="P634" i="5"/>
  <c r="O634" i="5"/>
  <c r="N634" i="5"/>
  <c r="M634" i="5"/>
  <c r="L634" i="5"/>
  <c r="K634" i="5"/>
  <c r="D634" i="8" s="1" a="1"/>
  <c r="D634" i="8" s="1"/>
  <c r="P633" i="5"/>
  <c r="O633" i="5"/>
  <c r="N633" i="5"/>
  <c r="M633" i="5"/>
  <c r="L633" i="5"/>
  <c r="K633" i="5"/>
  <c r="P632" i="5"/>
  <c r="O632" i="5"/>
  <c r="N632" i="5"/>
  <c r="M632" i="5"/>
  <c r="L632" i="5"/>
  <c r="K632" i="5"/>
  <c r="E632" i="8" s="1" a="1"/>
  <c r="E632" i="8" s="1"/>
  <c r="P631" i="5"/>
  <c r="O631" i="5"/>
  <c r="N631" i="5"/>
  <c r="M631" i="5"/>
  <c r="L631" i="5"/>
  <c r="K631" i="5"/>
  <c r="C631" i="8" s="1" a="1"/>
  <c r="C631" i="8" s="1"/>
  <c r="P630" i="5"/>
  <c r="O630" i="5"/>
  <c r="N630" i="5"/>
  <c r="M630" i="5"/>
  <c r="L630" i="5"/>
  <c r="K630" i="5"/>
  <c r="E630" i="8" s="1" a="1"/>
  <c r="E630" i="8" s="1"/>
  <c r="P629" i="5"/>
  <c r="O629" i="5"/>
  <c r="N629" i="5"/>
  <c r="M629" i="5"/>
  <c r="L629" i="5"/>
  <c r="K629" i="5"/>
  <c r="E629" i="8" s="1" a="1"/>
  <c r="E629" i="8" s="1"/>
  <c r="P628" i="5"/>
  <c r="O628" i="5"/>
  <c r="N628" i="5"/>
  <c r="M628" i="5"/>
  <c r="L628" i="5"/>
  <c r="K628" i="5"/>
  <c r="P627" i="5"/>
  <c r="O627" i="5"/>
  <c r="N627" i="5"/>
  <c r="M627" i="5"/>
  <c r="L627" i="5"/>
  <c r="C627" i="8" s="1" a="1"/>
  <c r="C627" i="8" s="1"/>
  <c r="K627" i="5"/>
  <c r="P626" i="5"/>
  <c r="O626" i="5"/>
  <c r="N626" i="5"/>
  <c r="M626" i="5"/>
  <c r="L626" i="5"/>
  <c r="K626" i="5"/>
  <c r="C626" i="8" s="1" a="1"/>
  <c r="C626" i="8" s="1"/>
  <c r="P625" i="5"/>
  <c r="O625" i="5"/>
  <c r="N625" i="5"/>
  <c r="M625" i="5"/>
  <c r="L625" i="5"/>
  <c r="E625" i="8" s="1" a="1"/>
  <c r="E625" i="8" s="1"/>
  <c r="K625" i="5"/>
  <c r="D625" i="8" s="1" a="1"/>
  <c r="D625" i="8" s="1"/>
  <c r="P624" i="5"/>
  <c r="O624" i="5"/>
  <c r="N624" i="5"/>
  <c r="M624" i="5"/>
  <c r="L624" i="5"/>
  <c r="K624" i="5"/>
  <c r="D624" i="8" s="1" a="1"/>
  <c r="D624" i="8" s="1"/>
  <c r="P623" i="5"/>
  <c r="O623" i="5"/>
  <c r="N623" i="5"/>
  <c r="M623" i="5"/>
  <c r="L623" i="5"/>
  <c r="K623" i="5"/>
  <c r="C623" i="8" s="1" a="1"/>
  <c r="C623" i="8" s="1"/>
  <c r="P622" i="5"/>
  <c r="O622" i="5"/>
  <c r="N622" i="5"/>
  <c r="M622" i="5"/>
  <c r="L622" i="5"/>
  <c r="K622" i="5"/>
  <c r="P621" i="5"/>
  <c r="O621" i="5"/>
  <c r="N621" i="5"/>
  <c r="M621" i="5"/>
  <c r="L621" i="5"/>
  <c r="K621" i="5"/>
  <c r="E621" i="8" s="1" a="1"/>
  <c r="E621" i="8" s="1"/>
  <c r="P620" i="5"/>
  <c r="O620" i="5"/>
  <c r="N620" i="5"/>
  <c r="M620" i="5"/>
  <c r="L620" i="5"/>
  <c r="K620" i="5"/>
  <c r="P619" i="5"/>
  <c r="O619" i="5"/>
  <c r="N619" i="5"/>
  <c r="M619" i="5"/>
  <c r="L619" i="5"/>
  <c r="E619" i="8" s="1" a="1"/>
  <c r="E619" i="8" s="1"/>
  <c r="K619" i="5"/>
  <c r="P618" i="5"/>
  <c r="O618" i="5"/>
  <c r="N618" i="5"/>
  <c r="M618" i="5"/>
  <c r="L618" i="5"/>
  <c r="K618" i="5"/>
  <c r="P617" i="5"/>
  <c r="O617" i="5"/>
  <c r="N617" i="5"/>
  <c r="M617" i="5"/>
  <c r="L617" i="5"/>
  <c r="K617" i="5"/>
  <c r="P616" i="5"/>
  <c r="O616" i="5"/>
  <c r="N616" i="5"/>
  <c r="M616" i="5"/>
  <c r="L616" i="5"/>
  <c r="K616" i="5"/>
  <c r="D616" i="8" s="1" a="1"/>
  <c r="D616" i="8" s="1"/>
  <c r="P615" i="5"/>
  <c r="O615" i="5"/>
  <c r="N615" i="5"/>
  <c r="M615" i="5"/>
  <c r="L615" i="5"/>
  <c r="K615" i="5"/>
  <c r="P614" i="5"/>
  <c r="O614" i="5"/>
  <c r="N614" i="5"/>
  <c r="M614" i="5"/>
  <c r="L614" i="5"/>
  <c r="K614" i="5"/>
  <c r="E614" i="8" s="1" a="1"/>
  <c r="E614" i="8" s="1"/>
  <c r="P613" i="5"/>
  <c r="O613" i="5"/>
  <c r="N613" i="5"/>
  <c r="M613" i="5"/>
  <c r="L613" i="5"/>
  <c r="K613" i="5"/>
  <c r="E613" i="8" s="1" a="1"/>
  <c r="E613" i="8" s="1"/>
  <c r="P612" i="5"/>
  <c r="O612" i="5"/>
  <c r="N612" i="5"/>
  <c r="M612" i="5"/>
  <c r="L612" i="5"/>
  <c r="K612" i="5"/>
  <c r="P611" i="5"/>
  <c r="O611" i="5"/>
  <c r="N611" i="5"/>
  <c r="M611" i="5"/>
  <c r="L611" i="5"/>
  <c r="E611" i="8" s="1" a="1"/>
  <c r="E611" i="8" s="1"/>
  <c r="K611" i="5"/>
  <c r="P610" i="5"/>
  <c r="O610" i="5"/>
  <c r="N610" i="5"/>
  <c r="M610" i="5"/>
  <c r="L610" i="5"/>
  <c r="K610" i="5"/>
  <c r="E610" i="8" s="1" a="1"/>
  <c r="E610" i="8" s="1"/>
  <c r="P609" i="5"/>
  <c r="O609" i="5"/>
  <c r="N609" i="5"/>
  <c r="M609" i="5"/>
  <c r="L609" i="5"/>
  <c r="K609" i="5"/>
  <c r="P608" i="5"/>
  <c r="O608" i="5"/>
  <c r="N608" i="5"/>
  <c r="M608" i="5"/>
  <c r="L608" i="5"/>
  <c r="K608" i="5"/>
  <c r="E608" i="8" s="1" a="1"/>
  <c r="E608" i="8" s="1"/>
  <c r="P607" i="5"/>
  <c r="O607" i="5"/>
  <c r="N607" i="5"/>
  <c r="M607" i="5"/>
  <c r="L607" i="5"/>
  <c r="K607" i="5"/>
  <c r="P606" i="5"/>
  <c r="O606" i="5"/>
  <c r="N606" i="5"/>
  <c r="M606" i="5"/>
  <c r="L606" i="5"/>
  <c r="K606" i="5"/>
  <c r="E606" i="8" s="1" a="1"/>
  <c r="E606" i="8" s="1"/>
  <c r="P605" i="5"/>
  <c r="O605" i="5"/>
  <c r="N605" i="5"/>
  <c r="M605" i="5"/>
  <c r="L605" i="5"/>
  <c r="K605" i="5"/>
  <c r="E605" i="8" s="1" a="1"/>
  <c r="E605" i="8" s="1"/>
  <c r="P604" i="5"/>
  <c r="O604" i="5"/>
  <c r="N604" i="5"/>
  <c r="M604" i="5"/>
  <c r="L604" i="5"/>
  <c r="K604" i="5"/>
  <c r="P603" i="5"/>
  <c r="O603" i="5"/>
  <c r="N603" i="5"/>
  <c r="M603" i="5"/>
  <c r="L603" i="5"/>
  <c r="E603" i="8" s="1" a="1"/>
  <c r="E603" i="8" s="1"/>
  <c r="K603" i="5"/>
  <c r="P602" i="5"/>
  <c r="O602" i="5"/>
  <c r="N602" i="5"/>
  <c r="M602" i="5"/>
  <c r="L602" i="5"/>
  <c r="K602" i="5"/>
  <c r="P601" i="5"/>
  <c r="O601" i="5"/>
  <c r="N601" i="5"/>
  <c r="M601" i="5"/>
  <c r="L601" i="5"/>
  <c r="K601" i="5"/>
  <c r="P600" i="5"/>
  <c r="O600" i="5"/>
  <c r="N600" i="5"/>
  <c r="M600" i="5"/>
  <c r="L600" i="5"/>
  <c r="K600" i="5"/>
  <c r="E600" i="8" s="1" a="1"/>
  <c r="E600" i="8" s="1"/>
  <c r="P599" i="5"/>
  <c r="O599" i="5"/>
  <c r="N599" i="5"/>
  <c r="M599" i="5"/>
  <c r="L599" i="5"/>
  <c r="K599" i="5"/>
  <c r="P598" i="5"/>
  <c r="O598" i="5"/>
  <c r="N598" i="5"/>
  <c r="M598" i="5"/>
  <c r="L598" i="5"/>
  <c r="K598" i="5"/>
  <c r="P597" i="5"/>
  <c r="O597" i="5"/>
  <c r="N597" i="5"/>
  <c r="M597" i="5"/>
  <c r="L597" i="5"/>
  <c r="K597" i="5"/>
  <c r="D597" i="8" s="1" a="1"/>
  <c r="D597" i="8" s="1"/>
  <c r="P596" i="5"/>
  <c r="O596" i="5"/>
  <c r="N596" i="5"/>
  <c r="M596" i="5"/>
  <c r="L596" i="5"/>
  <c r="K596" i="5"/>
  <c r="P595" i="5"/>
  <c r="O595" i="5"/>
  <c r="N595" i="5"/>
  <c r="M595" i="5"/>
  <c r="L595" i="5"/>
  <c r="E595" i="8" s="1" a="1"/>
  <c r="E595" i="8" s="1"/>
  <c r="K595" i="5"/>
  <c r="P594" i="5"/>
  <c r="O594" i="5"/>
  <c r="N594" i="5"/>
  <c r="M594" i="5"/>
  <c r="L594" i="5"/>
  <c r="K594" i="5"/>
  <c r="E594" i="8" s="1" a="1"/>
  <c r="E594" i="8" s="1"/>
  <c r="P593" i="5"/>
  <c r="O593" i="5"/>
  <c r="N593" i="5"/>
  <c r="M593" i="5"/>
  <c r="L593" i="5"/>
  <c r="K593" i="5"/>
  <c r="P592" i="5"/>
  <c r="O592" i="5"/>
  <c r="N592" i="5"/>
  <c r="M592" i="5"/>
  <c r="L592" i="5"/>
  <c r="K592" i="5"/>
  <c r="C592" i="8" s="1" a="1"/>
  <c r="C592" i="8" s="1"/>
  <c r="P591" i="5"/>
  <c r="O591" i="5"/>
  <c r="N591" i="5"/>
  <c r="M591" i="5"/>
  <c r="L591" i="5"/>
  <c r="K591" i="5"/>
  <c r="P590" i="5"/>
  <c r="O590" i="5"/>
  <c r="N590" i="5"/>
  <c r="M590" i="5"/>
  <c r="L590" i="5"/>
  <c r="K590" i="5"/>
  <c r="E590" i="8" s="1" a="1"/>
  <c r="E590" i="8" s="1"/>
  <c r="P589" i="5"/>
  <c r="O589" i="5"/>
  <c r="N589" i="5"/>
  <c r="M589" i="5"/>
  <c r="L589" i="5"/>
  <c r="K589" i="5"/>
  <c r="P588" i="5"/>
  <c r="O588" i="5"/>
  <c r="N588" i="5"/>
  <c r="M588" i="5"/>
  <c r="L588" i="5"/>
  <c r="K588" i="5"/>
  <c r="P587" i="5"/>
  <c r="O587" i="5"/>
  <c r="N587" i="5"/>
  <c r="M587" i="5"/>
  <c r="L587" i="5"/>
  <c r="E587" i="8" s="1" a="1"/>
  <c r="E587" i="8" s="1"/>
  <c r="K587" i="5"/>
  <c r="P586" i="5"/>
  <c r="O586" i="5"/>
  <c r="N586" i="5"/>
  <c r="M586" i="5"/>
  <c r="L586" i="5"/>
  <c r="K586" i="5"/>
  <c r="C586" i="8" s="1" a="1"/>
  <c r="C586" i="8" s="1"/>
  <c r="P585" i="5"/>
  <c r="O585" i="5"/>
  <c r="N585" i="5"/>
  <c r="M585" i="5"/>
  <c r="L585" i="5"/>
  <c r="K585" i="5"/>
  <c r="P584" i="5"/>
  <c r="O584" i="5"/>
  <c r="N584" i="5"/>
  <c r="M584" i="5"/>
  <c r="L584" i="5"/>
  <c r="K584" i="5"/>
  <c r="D584" i="8" s="1" a="1"/>
  <c r="D584" i="8" s="1"/>
  <c r="P583" i="5"/>
  <c r="O583" i="5"/>
  <c r="N583" i="5"/>
  <c r="M583" i="5"/>
  <c r="L583" i="5"/>
  <c r="K583" i="5"/>
  <c r="P582" i="5"/>
  <c r="O582" i="5"/>
  <c r="N582" i="5"/>
  <c r="M582" i="5"/>
  <c r="L582" i="5"/>
  <c r="K582" i="5"/>
  <c r="P581" i="5"/>
  <c r="O581" i="5"/>
  <c r="N581" i="5"/>
  <c r="M581" i="5"/>
  <c r="L581" i="5"/>
  <c r="K581" i="5"/>
  <c r="P580" i="5"/>
  <c r="O580" i="5"/>
  <c r="N580" i="5"/>
  <c r="M580" i="5"/>
  <c r="L580" i="5"/>
  <c r="K580" i="5"/>
  <c r="P579" i="5"/>
  <c r="O579" i="5"/>
  <c r="N579" i="5"/>
  <c r="M579" i="5"/>
  <c r="L579" i="5"/>
  <c r="C579" i="8" s="1" a="1"/>
  <c r="C579" i="8" s="1"/>
  <c r="K579" i="5"/>
  <c r="P578" i="5"/>
  <c r="O578" i="5"/>
  <c r="N578" i="5"/>
  <c r="M578" i="5"/>
  <c r="L578" i="5"/>
  <c r="K578" i="5"/>
  <c r="P577" i="5"/>
  <c r="O577" i="5"/>
  <c r="N577" i="5"/>
  <c r="M577" i="5"/>
  <c r="L577" i="5"/>
  <c r="K577" i="5"/>
  <c r="P576" i="5"/>
  <c r="O576" i="5"/>
  <c r="N576" i="5"/>
  <c r="M576" i="5"/>
  <c r="L576" i="5"/>
  <c r="K576" i="5"/>
  <c r="E576" i="8" s="1" a="1"/>
  <c r="E576" i="8" s="1"/>
  <c r="P575" i="5"/>
  <c r="O575" i="5"/>
  <c r="N575" i="5"/>
  <c r="M575" i="5"/>
  <c r="L575" i="5"/>
  <c r="K575" i="5"/>
  <c r="P574" i="5"/>
  <c r="O574" i="5"/>
  <c r="N574" i="5"/>
  <c r="M574" i="5"/>
  <c r="L574" i="5"/>
  <c r="K574" i="5"/>
  <c r="P573" i="5"/>
  <c r="O573" i="5"/>
  <c r="N573" i="5"/>
  <c r="M573" i="5"/>
  <c r="L573" i="5"/>
  <c r="K573" i="5"/>
  <c r="P572" i="5"/>
  <c r="O572" i="5"/>
  <c r="N572" i="5"/>
  <c r="M572" i="5"/>
  <c r="L572" i="5"/>
  <c r="K572" i="5"/>
  <c r="P571" i="5"/>
  <c r="O571" i="5"/>
  <c r="N571" i="5"/>
  <c r="M571" i="5"/>
  <c r="L571" i="5"/>
  <c r="E571" i="8" s="1" a="1"/>
  <c r="E571" i="8" s="1"/>
  <c r="K571" i="5"/>
  <c r="P570" i="5"/>
  <c r="O570" i="5"/>
  <c r="N570" i="5"/>
  <c r="M570" i="5"/>
  <c r="L570" i="5"/>
  <c r="K570" i="5"/>
  <c r="P569" i="5"/>
  <c r="O569" i="5"/>
  <c r="N569" i="5"/>
  <c r="M569" i="5"/>
  <c r="L569" i="5"/>
  <c r="K569" i="5"/>
  <c r="P568" i="5"/>
  <c r="O568" i="5"/>
  <c r="N568" i="5"/>
  <c r="M568" i="5"/>
  <c r="L568" i="5"/>
  <c r="K568" i="5"/>
  <c r="C568" i="8" s="1" a="1"/>
  <c r="C568" i="8" s="1"/>
  <c r="P567" i="5"/>
  <c r="O567" i="5"/>
  <c r="N567" i="5"/>
  <c r="M567" i="5"/>
  <c r="L567" i="5"/>
  <c r="K567" i="5"/>
  <c r="P566" i="5"/>
  <c r="O566" i="5"/>
  <c r="N566" i="5"/>
  <c r="M566" i="5"/>
  <c r="L566" i="5"/>
  <c r="K566" i="5"/>
  <c r="P565" i="5"/>
  <c r="O565" i="5"/>
  <c r="N565" i="5"/>
  <c r="M565" i="5"/>
  <c r="L565" i="5"/>
  <c r="K565" i="5"/>
  <c r="P564" i="5"/>
  <c r="O564" i="5"/>
  <c r="N564" i="5"/>
  <c r="M564" i="5"/>
  <c r="L564" i="5"/>
  <c r="K564" i="5"/>
  <c r="P563" i="5"/>
  <c r="O563" i="5"/>
  <c r="N563" i="5"/>
  <c r="M563" i="5"/>
  <c r="L563" i="5"/>
  <c r="E563" i="8" s="1" a="1"/>
  <c r="E563" i="8" s="1"/>
  <c r="K563" i="5"/>
  <c r="P562" i="5"/>
  <c r="O562" i="5"/>
  <c r="N562" i="5"/>
  <c r="M562" i="5"/>
  <c r="L562" i="5"/>
  <c r="K562" i="5"/>
  <c r="P561" i="5"/>
  <c r="O561" i="5"/>
  <c r="N561" i="5"/>
  <c r="M561" i="5"/>
  <c r="L561" i="5"/>
  <c r="K561" i="5"/>
  <c r="P560" i="5"/>
  <c r="O560" i="5"/>
  <c r="N560" i="5"/>
  <c r="M560" i="5"/>
  <c r="L560" i="5"/>
  <c r="K560" i="5"/>
  <c r="C560" i="8" s="1" a="1"/>
  <c r="C560" i="8" s="1"/>
  <c r="P559" i="5"/>
  <c r="O559" i="5"/>
  <c r="N559" i="5"/>
  <c r="M559" i="5"/>
  <c r="L559" i="5"/>
  <c r="K559" i="5"/>
  <c r="P558" i="5"/>
  <c r="O558" i="5"/>
  <c r="N558" i="5"/>
  <c r="M558" i="5"/>
  <c r="L558" i="5"/>
  <c r="K558" i="5"/>
  <c r="P557" i="5"/>
  <c r="O557" i="5"/>
  <c r="N557" i="5"/>
  <c r="M557" i="5"/>
  <c r="L557" i="5"/>
  <c r="K557" i="5"/>
  <c r="P556" i="5"/>
  <c r="O556" i="5"/>
  <c r="N556" i="5"/>
  <c r="M556" i="5"/>
  <c r="L556" i="5"/>
  <c r="K556" i="5"/>
  <c r="P555" i="5"/>
  <c r="O555" i="5"/>
  <c r="N555" i="5"/>
  <c r="M555" i="5"/>
  <c r="L555" i="5"/>
  <c r="K555" i="5"/>
  <c r="P554" i="5"/>
  <c r="O554" i="5"/>
  <c r="N554" i="5"/>
  <c r="M554" i="5"/>
  <c r="L554" i="5"/>
  <c r="K554" i="5"/>
  <c r="P553" i="5"/>
  <c r="O553" i="5"/>
  <c r="N553" i="5"/>
  <c r="M553" i="5"/>
  <c r="L553" i="5"/>
  <c r="K553" i="5"/>
  <c r="P552" i="5"/>
  <c r="O552" i="5"/>
  <c r="N552" i="5"/>
  <c r="M552" i="5"/>
  <c r="L552" i="5"/>
  <c r="K552" i="5"/>
  <c r="E552" i="8" s="1" a="1"/>
  <c r="E552" i="8" s="1"/>
  <c r="P551" i="5"/>
  <c r="O551" i="5"/>
  <c r="N551" i="5"/>
  <c r="M551" i="5"/>
  <c r="L551" i="5"/>
  <c r="K551" i="5"/>
  <c r="P550" i="5"/>
  <c r="O550" i="5"/>
  <c r="N550" i="5"/>
  <c r="M550" i="5"/>
  <c r="L550" i="5"/>
  <c r="K550" i="5"/>
  <c r="P549" i="5"/>
  <c r="O549" i="5"/>
  <c r="N549" i="5"/>
  <c r="M549" i="5"/>
  <c r="L549" i="5"/>
  <c r="K549" i="5"/>
  <c r="P548" i="5"/>
  <c r="O548" i="5"/>
  <c r="N548" i="5"/>
  <c r="M548" i="5"/>
  <c r="L548" i="5"/>
  <c r="K548" i="5"/>
  <c r="P547" i="5"/>
  <c r="O547" i="5"/>
  <c r="N547" i="5"/>
  <c r="M547" i="5"/>
  <c r="L547" i="5"/>
  <c r="C547" i="8" s="1" a="1"/>
  <c r="C547" i="8" s="1"/>
  <c r="K547" i="5"/>
  <c r="E547" i="8" s="1" a="1"/>
  <c r="E547" i="8" s="1"/>
  <c r="P546" i="5"/>
  <c r="O546" i="5"/>
  <c r="N546" i="5"/>
  <c r="M546" i="5"/>
  <c r="L546" i="5"/>
  <c r="K546" i="5"/>
  <c r="P545" i="5"/>
  <c r="O545" i="5"/>
  <c r="N545" i="5"/>
  <c r="M545" i="5"/>
  <c r="L545" i="5"/>
  <c r="K545" i="5"/>
  <c r="P544" i="5"/>
  <c r="O544" i="5"/>
  <c r="N544" i="5"/>
  <c r="M544" i="5"/>
  <c r="L544" i="5"/>
  <c r="K544" i="5"/>
  <c r="D544" i="8" s="1" a="1"/>
  <c r="D544" i="8" s="1"/>
  <c r="P543" i="5"/>
  <c r="O543" i="5"/>
  <c r="N543" i="5"/>
  <c r="M543" i="5"/>
  <c r="L543" i="5"/>
  <c r="K543" i="5"/>
  <c r="P542" i="5"/>
  <c r="O542" i="5"/>
  <c r="N542" i="5"/>
  <c r="M542" i="5"/>
  <c r="L542" i="5"/>
  <c r="K542" i="5"/>
  <c r="P541" i="5"/>
  <c r="O541" i="5"/>
  <c r="N541" i="5"/>
  <c r="M541" i="5"/>
  <c r="L541" i="5"/>
  <c r="K541" i="5"/>
  <c r="P540" i="5"/>
  <c r="O540" i="5"/>
  <c r="N540" i="5"/>
  <c r="M540" i="5"/>
  <c r="L540" i="5"/>
  <c r="K540" i="5"/>
  <c r="P539" i="5"/>
  <c r="O539" i="5"/>
  <c r="N539" i="5"/>
  <c r="M539" i="5"/>
  <c r="L539" i="5"/>
  <c r="K539" i="5"/>
  <c r="P538" i="5"/>
  <c r="O538" i="5"/>
  <c r="N538" i="5"/>
  <c r="M538" i="5"/>
  <c r="L538" i="5"/>
  <c r="K538" i="5"/>
  <c r="P537" i="5"/>
  <c r="O537" i="5"/>
  <c r="N537" i="5"/>
  <c r="M537" i="5"/>
  <c r="L537" i="5"/>
  <c r="K537" i="5"/>
  <c r="P536" i="5"/>
  <c r="O536" i="5"/>
  <c r="N536" i="5"/>
  <c r="M536" i="5"/>
  <c r="L536" i="5"/>
  <c r="K536" i="5"/>
  <c r="E536" i="8" s="1" a="1"/>
  <c r="E536" i="8" s="1"/>
  <c r="P535" i="5"/>
  <c r="O535" i="5"/>
  <c r="N535" i="5"/>
  <c r="M535" i="5"/>
  <c r="L535" i="5"/>
  <c r="K535" i="5"/>
  <c r="P534" i="5"/>
  <c r="O534" i="5"/>
  <c r="N534" i="5"/>
  <c r="M534" i="5"/>
  <c r="L534" i="5"/>
  <c r="K534" i="5"/>
  <c r="P533" i="5"/>
  <c r="O533" i="5"/>
  <c r="N533" i="5"/>
  <c r="M533" i="5"/>
  <c r="L533" i="5"/>
  <c r="K533" i="5"/>
  <c r="P532" i="5"/>
  <c r="O532" i="5"/>
  <c r="N532" i="5"/>
  <c r="M532" i="5"/>
  <c r="L532" i="5"/>
  <c r="K532" i="5"/>
  <c r="P531" i="5"/>
  <c r="O531" i="5"/>
  <c r="N531" i="5"/>
  <c r="M531" i="5"/>
  <c r="L531" i="5"/>
  <c r="C531" i="8" s="1" a="1"/>
  <c r="C531" i="8" s="1"/>
  <c r="K531" i="5"/>
  <c r="P530" i="5"/>
  <c r="O530" i="5"/>
  <c r="N530" i="5"/>
  <c r="M530" i="5"/>
  <c r="L530" i="5"/>
  <c r="K530" i="5"/>
  <c r="P529" i="5"/>
  <c r="AA10" i="5" s="1"/>
  <c r="O529" i="5"/>
  <c r="N529" i="5"/>
  <c r="M529" i="5"/>
  <c r="L529" i="5"/>
  <c r="K529" i="5"/>
  <c r="P528" i="5"/>
  <c r="O528" i="5"/>
  <c r="N528" i="5"/>
  <c r="M528" i="5"/>
  <c r="L528" i="5"/>
  <c r="K528" i="5"/>
  <c r="D528" i="8" s="1" a="1"/>
  <c r="D528" i="8" s="1"/>
  <c r="P527" i="5"/>
  <c r="AB10" i="5" s="1"/>
  <c r="O527" i="5"/>
  <c r="AA9" i="5" s="1"/>
  <c r="N527" i="5"/>
  <c r="M527" i="5"/>
  <c r="AB7" i="5" s="1"/>
  <c r="L527" i="5"/>
  <c r="K527" i="5"/>
  <c r="P526" i="5"/>
  <c r="O526" i="5"/>
  <c r="N526" i="5"/>
  <c r="M526" i="5"/>
  <c r="L526" i="5"/>
  <c r="K526" i="5"/>
  <c r="P525" i="5"/>
  <c r="O525" i="5"/>
  <c r="N525" i="5"/>
  <c r="M525" i="5"/>
  <c r="L525" i="5"/>
  <c r="K525" i="5"/>
  <c r="P524" i="5"/>
  <c r="O524" i="5"/>
  <c r="N524" i="5"/>
  <c r="M524" i="5"/>
  <c r="L524" i="5"/>
  <c r="K524" i="5"/>
  <c r="P523" i="5"/>
  <c r="O523" i="5"/>
  <c r="N523" i="5"/>
  <c r="M523" i="5"/>
  <c r="L523" i="5"/>
  <c r="D523" i="8" s="1" a="1"/>
  <c r="D523" i="8" s="1"/>
  <c r="K523" i="5"/>
  <c r="P522" i="5"/>
  <c r="O522" i="5"/>
  <c r="N522" i="5"/>
  <c r="M522" i="5"/>
  <c r="L522" i="5"/>
  <c r="K522" i="5"/>
  <c r="P521" i="5"/>
  <c r="O521" i="5"/>
  <c r="N521" i="5"/>
  <c r="M521" i="5"/>
  <c r="L521" i="5"/>
  <c r="K521" i="5"/>
  <c r="P520" i="5"/>
  <c r="O520" i="5"/>
  <c r="N520" i="5"/>
  <c r="M520" i="5"/>
  <c r="L520" i="5"/>
  <c r="K520" i="5"/>
  <c r="P519" i="5"/>
  <c r="O519" i="5"/>
  <c r="N519" i="5"/>
  <c r="M519" i="5"/>
  <c r="L519" i="5"/>
  <c r="K519" i="5"/>
  <c r="P518" i="5"/>
  <c r="O518" i="5"/>
  <c r="N518" i="5"/>
  <c r="M518" i="5"/>
  <c r="L518" i="5"/>
  <c r="K518" i="5"/>
  <c r="P517" i="5"/>
  <c r="O517" i="5"/>
  <c r="N517" i="5"/>
  <c r="M517" i="5"/>
  <c r="L517" i="5"/>
  <c r="K517" i="5"/>
  <c r="P516" i="5"/>
  <c r="O516" i="5"/>
  <c r="N516" i="5"/>
  <c r="M516" i="5"/>
  <c r="L516" i="5"/>
  <c r="K516" i="5"/>
  <c r="P515" i="5"/>
  <c r="O515" i="5"/>
  <c r="N515" i="5"/>
  <c r="M515" i="5"/>
  <c r="L515" i="5"/>
  <c r="C515" i="8" s="1" a="1"/>
  <c r="C515" i="8" s="1"/>
  <c r="K515" i="5"/>
  <c r="P514" i="5"/>
  <c r="O514" i="5"/>
  <c r="N514" i="5"/>
  <c r="M514" i="5"/>
  <c r="L514" i="5"/>
  <c r="K514" i="5"/>
  <c r="P513" i="5"/>
  <c r="O513" i="5"/>
  <c r="N513" i="5"/>
  <c r="M513" i="5"/>
  <c r="L513" i="5"/>
  <c r="K513" i="5"/>
  <c r="P512" i="5"/>
  <c r="O512" i="5"/>
  <c r="N512" i="5"/>
  <c r="M512" i="5"/>
  <c r="L512" i="5"/>
  <c r="K512" i="5"/>
  <c r="P511" i="5"/>
  <c r="O511" i="5"/>
  <c r="N511" i="5"/>
  <c r="M511" i="5"/>
  <c r="L511" i="5"/>
  <c r="K511" i="5"/>
  <c r="P510" i="5"/>
  <c r="O510" i="5"/>
  <c r="N510" i="5"/>
  <c r="M510" i="5"/>
  <c r="L510" i="5"/>
  <c r="K510" i="5"/>
  <c r="P509" i="5"/>
  <c r="O509" i="5"/>
  <c r="N509" i="5"/>
  <c r="M509" i="5"/>
  <c r="L509" i="5"/>
  <c r="K509" i="5"/>
  <c r="P508" i="5"/>
  <c r="O508" i="5"/>
  <c r="N508" i="5"/>
  <c r="M508" i="5"/>
  <c r="L508" i="5"/>
  <c r="K508" i="5"/>
  <c r="P507" i="5"/>
  <c r="O507" i="5"/>
  <c r="N507" i="5"/>
  <c r="M507" i="5"/>
  <c r="L507" i="5"/>
  <c r="E507" i="8" s="1" a="1"/>
  <c r="E507" i="8" s="1"/>
  <c r="K507" i="5"/>
  <c r="P506" i="5"/>
  <c r="O506" i="5"/>
  <c r="N506" i="5"/>
  <c r="M506" i="5"/>
  <c r="L506" i="5"/>
  <c r="K506" i="5"/>
  <c r="P505" i="5"/>
  <c r="O505" i="5"/>
  <c r="N505" i="5"/>
  <c r="M505" i="5"/>
  <c r="L505" i="5"/>
  <c r="K505" i="5"/>
  <c r="P504" i="5"/>
  <c r="O504" i="5"/>
  <c r="N504" i="5"/>
  <c r="M504" i="5"/>
  <c r="L504" i="5"/>
  <c r="K504" i="5"/>
  <c r="P503" i="5"/>
  <c r="O503" i="5"/>
  <c r="N503" i="5"/>
  <c r="M503" i="5"/>
  <c r="L503" i="5"/>
  <c r="K503" i="5"/>
  <c r="P502" i="5"/>
  <c r="O502" i="5"/>
  <c r="N502" i="5"/>
  <c r="M502" i="5"/>
  <c r="L502" i="5"/>
  <c r="K502" i="5"/>
  <c r="P501" i="5"/>
  <c r="O501" i="5"/>
  <c r="N501" i="5"/>
  <c r="M501" i="5"/>
  <c r="L501" i="5"/>
  <c r="K501" i="5"/>
  <c r="P500" i="5"/>
  <c r="O500" i="5"/>
  <c r="N500" i="5"/>
  <c r="M500" i="5"/>
  <c r="L500" i="5"/>
  <c r="K500" i="5"/>
  <c r="P499" i="5"/>
  <c r="O499" i="5"/>
  <c r="N499" i="5"/>
  <c r="M499" i="5"/>
  <c r="L499" i="5"/>
  <c r="K499" i="5"/>
  <c r="P498" i="5"/>
  <c r="O498" i="5"/>
  <c r="N498" i="5"/>
  <c r="M498" i="5"/>
  <c r="L498" i="5"/>
  <c r="K498" i="5"/>
  <c r="P497" i="5"/>
  <c r="O497" i="5"/>
  <c r="N497" i="5"/>
  <c r="M497" i="5"/>
  <c r="L497" i="5"/>
  <c r="K497" i="5"/>
  <c r="P496" i="5"/>
  <c r="O496" i="5"/>
  <c r="N496" i="5"/>
  <c r="M496" i="5"/>
  <c r="L496" i="5"/>
  <c r="K496" i="5"/>
  <c r="P495" i="5"/>
  <c r="O495" i="5"/>
  <c r="N495" i="5"/>
  <c r="M495" i="5"/>
  <c r="L495" i="5"/>
  <c r="K495" i="5"/>
  <c r="P494" i="5"/>
  <c r="O494" i="5"/>
  <c r="N494" i="5"/>
  <c r="M494" i="5"/>
  <c r="L494" i="5"/>
  <c r="K494" i="5"/>
  <c r="P493" i="5"/>
  <c r="O493" i="5"/>
  <c r="N493" i="5"/>
  <c r="M493" i="5"/>
  <c r="L493" i="5"/>
  <c r="K493" i="5"/>
  <c r="P492" i="5"/>
  <c r="O492" i="5"/>
  <c r="N492" i="5"/>
  <c r="M492" i="5"/>
  <c r="L492" i="5"/>
  <c r="K492" i="5"/>
  <c r="P491" i="5"/>
  <c r="O491" i="5"/>
  <c r="N491" i="5"/>
  <c r="M491" i="5"/>
  <c r="L491" i="5"/>
  <c r="K491" i="5"/>
  <c r="P490" i="5"/>
  <c r="O490" i="5"/>
  <c r="N490" i="5"/>
  <c r="M490" i="5"/>
  <c r="L490" i="5"/>
  <c r="K490" i="5"/>
  <c r="P489" i="5"/>
  <c r="O489" i="5"/>
  <c r="N489" i="5"/>
  <c r="M489" i="5"/>
  <c r="L489" i="5"/>
  <c r="K489" i="5"/>
  <c r="P488" i="5"/>
  <c r="O488" i="5"/>
  <c r="N488" i="5"/>
  <c r="M488" i="5"/>
  <c r="L488" i="5"/>
  <c r="K488" i="5"/>
  <c r="P487" i="5"/>
  <c r="O487" i="5"/>
  <c r="N487" i="5"/>
  <c r="M487" i="5"/>
  <c r="L487" i="5"/>
  <c r="K487" i="5"/>
  <c r="P486" i="5"/>
  <c r="O486" i="5"/>
  <c r="N486" i="5"/>
  <c r="M486" i="5"/>
  <c r="L486" i="5"/>
  <c r="K486" i="5"/>
  <c r="P485" i="5"/>
  <c r="O485" i="5"/>
  <c r="N485" i="5"/>
  <c r="M485" i="5"/>
  <c r="L485" i="5"/>
  <c r="K485" i="5"/>
  <c r="P484" i="5"/>
  <c r="O484" i="5"/>
  <c r="N484" i="5"/>
  <c r="M484" i="5"/>
  <c r="L484" i="5"/>
  <c r="K484" i="5"/>
  <c r="P483" i="5"/>
  <c r="O483" i="5"/>
  <c r="N483" i="5"/>
  <c r="M483" i="5"/>
  <c r="L483" i="5"/>
  <c r="C483" i="8" s="1" a="1"/>
  <c r="C483" i="8" s="1"/>
  <c r="K483" i="5"/>
  <c r="P482" i="5"/>
  <c r="O482" i="5"/>
  <c r="N482" i="5"/>
  <c r="M482" i="5"/>
  <c r="L482" i="5"/>
  <c r="K482" i="5"/>
  <c r="P481" i="5"/>
  <c r="O481" i="5"/>
  <c r="N481" i="5"/>
  <c r="M481" i="5"/>
  <c r="L481" i="5"/>
  <c r="K481" i="5"/>
  <c r="P480" i="5"/>
  <c r="O480" i="5"/>
  <c r="N480" i="5"/>
  <c r="M480" i="5"/>
  <c r="L480" i="5"/>
  <c r="K480" i="5"/>
  <c r="P479" i="5"/>
  <c r="O479" i="5"/>
  <c r="N479" i="5"/>
  <c r="M479" i="5"/>
  <c r="L479" i="5"/>
  <c r="K479" i="5"/>
  <c r="P478" i="5"/>
  <c r="O478" i="5"/>
  <c r="N478" i="5"/>
  <c r="M478" i="5"/>
  <c r="L478" i="5"/>
  <c r="K478" i="5"/>
  <c r="P477" i="5"/>
  <c r="O477" i="5"/>
  <c r="N477" i="5"/>
  <c r="M477" i="5"/>
  <c r="L477" i="5"/>
  <c r="K477" i="5"/>
  <c r="P476" i="5"/>
  <c r="O476" i="5"/>
  <c r="N476" i="5"/>
  <c r="M476" i="5"/>
  <c r="L476" i="5"/>
  <c r="K476" i="5"/>
  <c r="P475" i="5"/>
  <c r="O475" i="5"/>
  <c r="N475" i="5"/>
  <c r="M475" i="5"/>
  <c r="L475" i="5"/>
  <c r="K475" i="5"/>
  <c r="P474" i="5"/>
  <c r="O474" i="5"/>
  <c r="N474" i="5"/>
  <c r="M474" i="5"/>
  <c r="L474" i="5"/>
  <c r="K474" i="5"/>
  <c r="P473" i="5"/>
  <c r="O473" i="5"/>
  <c r="N473" i="5"/>
  <c r="M473" i="5"/>
  <c r="L473" i="5"/>
  <c r="K473" i="5"/>
  <c r="P472" i="5"/>
  <c r="O472" i="5"/>
  <c r="N472" i="5"/>
  <c r="M472" i="5"/>
  <c r="L472" i="5"/>
  <c r="K472" i="5"/>
  <c r="P471" i="5"/>
  <c r="O471" i="5"/>
  <c r="N471" i="5"/>
  <c r="M471" i="5"/>
  <c r="L471" i="5"/>
  <c r="K471" i="5"/>
  <c r="P470" i="5"/>
  <c r="O470" i="5"/>
  <c r="N470" i="5"/>
  <c r="M470" i="5"/>
  <c r="L470" i="5"/>
  <c r="K470" i="5"/>
  <c r="P469" i="5"/>
  <c r="O469" i="5"/>
  <c r="N469" i="5"/>
  <c r="M469" i="5"/>
  <c r="L469" i="5"/>
  <c r="K469" i="5"/>
  <c r="P468" i="5"/>
  <c r="O468" i="5"/>
  <c r="N468" i="5"/>
  <c r="M468" i="5"/>
  <c r="L468" i="5"/>
  <c r="K468" i="5"/>
  <c r="P467" i="5"/>
  <c r="O467" i="5"/>
  <c r="N467" i="5"/>
  <c r="M467" i="5"/>
  <c r="L467" i="5"/>
  <c r="K467" i="5"/>
  <c r="P466" i="5"/>
  <c r="O466" i="5"/>
  <c r="N466" i="5"/>
  <c r="M466" i="5"/>
  <c r="L466" i="5"/>
  <c r="K466" i="5"/>
  <c r="P465" i="5"/>
  <c r="O465" i="5"/>
  <c r="N465" i="5"/>
  <c r="M465" i="5"/>
  <c r="L465" i="5"/>
  <c r="K465" i="5"/>
  <c r="P464" i="5"/>
  <c r="O464" i="5"/>
  <c r="N464" i="5"/>
  <c r="M464" i="5"/>
  <c r="L464" i="5"/>
  <c r="K464" i="5"/>
  <c r="P463" i="5"/>
  <c r="O463" i="5"/>
  <c r="N463" i="5"/>
  <c r="M463" i="5"/>
  <c r="L463" i="5"/>
  <c r="K463" i="5"/>
  <c r="P462" i="5"/>
  <c r="O462" i="5"/>
  <c r="N462" i="5"/>
  <c r="M462" i="5"/>
  <c r="L462" i="5"/>
  <c r="K462" i="5"/>
  <c r="P461" i="5"/>
  <c r="O461" i="5"/>
  <c r="N461" i="5"/>
  <c r="M461" i="5"/>
  <c r="L461" i="5"/>
  <c r="K461" i="5"/>
  <c r="P460" i="5"/>
  <c r="O460" i="5"/>
  <c r="N460" i="5"/>
  <c r="M460" i="5"/>
  <c r="L460" i="5"/>
  <c r="K460" i="5"/>
  <c r="P459" i="5"/>
  <c r="O459" i="5"/>
  <c r="N459" i="5"/>
  <c r="M459" i="5"/>
  <c r="L459" i="5"/>
  <c r="D459" i="8" s="1" a="1"/>
  <c r="D459" i="8" s="1"/>
  <c r="K459" i="5"/>
  <c r="P458" i="5"/>
  <c r="O458" i="5"/>
  <c r="N458" i="5"/>
  <c r="M458" i="5"/>
  <c r="L458" i="5"/>
  <c r="K458" i="5"/>
  <c r="P457" i="5"/>
  <c r="O457" i="5"/>
  <c r="N457" i="5"/>
  <c r="M457" i="5"/>
  <c r="L457" i="5"/>
  <c r="K457" i="5"/>
  <c r="P456" i="5"/>
  <c r="O456" i="5"/>
  <c r="N456" i="5"/>
  <c r="M456" i="5"/>
  <c r="L456" i="5"/>
  <c r="K456" i="5"/>
  <c r="P455" i="5"/>
  <c r="O455" i="5"/>
  <c r="N455" i="5"/>
  <c r="M455" i="5"/>
  <c r="L455" i="5"/>
  <c r="K455" i="5"/>
  <c r="P454" i="5"/>
  <c r="O454" i="5"/>
  <c r="N454" i="5"/>
  <c r="M454" i="5"/>
  <c r="L454" i="5"/>
  <c r="K454" i="5"/>
  <c r="P453" i="5"/>
  <c r="O453" i="5"/>
  <c r="N453" i="5"/>
  <c r="M453" i="5"/>
  <c r="L453" i="5"/>
  <c r="K453" i="5"/>
  <c r="P452" i="5"/>
  <c r="O452" i="5"/>
  <c r="N452" i="5"/>
  <c r="M452" i="5"/>
  <c r="L452" i="5"/>
  <c r="K452" i="5"/>
  <c r="P451" i="5"/>
  <c r="O451" i="5"/>
  <c r="N451" i="5"/>
  <c r="M451" i="5"/>
  <c r="L451" i="5"/>
  <c r="E451" i="8" s="1" a="1"/>
  <c r="E451" i="8" s="1"/>
  <c r="K451" i="5"/>
  <c r="P450" i="5"/>
  <c r="O450" i="5"/>
  <c r="N450" i="5"/>
  <c r="M450" i="5"/>
  <c r="L450" i="5"/>
  <c r="K450" i="5"/>
  <c r="P449" i="5"/>
  <c r="O449" i="5"/>
  <c r="N449" i="5"/>
  <c r="M449" i="5"/>
  <c r="L449" i="5"/>
  <c r="K449" i="5"/>
  <c r="P448" i="5"/>
  <c r="O448" i="5"/>
  <c r="N448" i="5"/>
  <c r="M448" i="5"/>
  <c r="L448" i="5"/>
  <c r="K448" i="5"/>
  <c r="P447" i="5"/>
  <c r="O447" i="5"/>
  <c r="N447" i="5"/>
  <c r="M447" i="5"/>
  <c r="L447" i="5"/>
  <c r="K447" i="5"/>
  <c r="P446" i="5"/>
  <c r="O446" i="5"/>
  <c r="N446" i="5"/>
  <c r="M446" i="5"/>
  <c r="L446" i="5"/>
  <c r="K446" i="5"/>
  <c r="P445" i="5"/>
  <c r="O445" i="5"/>
  <c r="N445" i="5"/>
  <c r="M445" i="5"/>
  <c r="L445" i="5"/>
  <c r="K445" i="5"/>
  <c r="P444" i="5"/>
  <c r="O444" i="5"/>
  <c r="N444" i="5"/>
  <c r="M444" i="5"/>
  <c r="L444" i="5"/>
  <c r="K444" i="5"/>
  <c r="P443" i="5"/>
  <c r="O443" i="5"/>
  <c r="N443" i="5"/>
  <c r="M443" i="5"/>
  <c r="L443" i="5"/>
  <c r="C443" i="8" s="1" a="1"/>
  <c r="C443" i="8" s="1"/>
  <c r="K443" i="5"/>
  <c r="P442" i="5"/>
  <c r="O442" i="5"/>
  <c r="N442" i="5"/>
  <c r="M442" i="5"/>
  <c r="L442" i="5"/>
  <c r="K442" i="5"/>
  <c r="P441" i="5"/>
  <c r="O441" i="5"/>
  <c r="N441" i="5"/>
  <c r="M441" i="5"/>
  <c r="L441" i="5"/>
  <c r="K441" i="5"/>
  <c r="P440" i="5"/>
  <c r="O440" i="5"/>
  <c r="N440" i="5"/>
  <c r="M440" i="5"/>
  <c r="L440" i="5"/>
  <c r="K440" i="5"/>
  <c r="P439" i="5"/>
  <c r="O439" i="5"/>
  <c r="N439" i="5"/>
  <c r="M439" i="5"/>
  <c r="L439" i="5"/>
  <c r="K439" i="5"/>
  <c r="P438" i="5"/>
  <c r="O438" i="5"/>
  <c r="N438" i="5"/>
  <c r="M438" i="5"/>
  <c r="L438" i="5"/>
  <c r="K438" i="5"/>
  <c r="P437" i="5"/>
  <c r="O437" i="5"/>
  <c r="N437" i="5"/>
  <c r="M437" i="5"/>
  <c r="L437" i="5"/>
  <c r="K437" i="5"/>
  <c r="P436" i="5"/>
  <c r="O436" i="5"/>
  <c r="N436" i="5"/>
  <c r="M436" i="5"/>
  <c r="L436" i="5"/>
  <c r="K436" i="5"/>
  <c r="P435" i="5"/>
  <c r="O435" i="5"/>
  <c r="N435" i="5"/>
  <c r="M435" i="5"/>
  <c r="L435" i="5"/>
  <c r="D435" i="8" s="1" a="1"/>
  <c r="D435" i="8" s="1"/>
  <c r="K435" i="5"/>
  <c r="P434" i="5"/>
  <c r="O434" i="5"/>
  <c r="N434" i="5"/>
  <c r="M434" i="5"/>
  <c r="L434" i="5"/>
  <c r="K434" i="5"/>
  <c r="P433" i="5"/>
  <c r="O433" i="5"/>
  <c r="N433" i="5"/>
  <c r="M433" i="5"/>
  <c r="L433" i="5"/>
  <c r="K433" i="5"/>
  <c r="P432" i="5"/>
  <c r="O432" i="5"/>
  <c r="N432" i="5"/>
  <c r="M432" i="5"/>
  <c r="L432" i="5"/>
  <c r="K432" i="5"/>
  <c r="P431" i="5"/>
  <c r="O431" i="5"/>
  <c r="N431" i="5"/>
  <c r="M431" i="5"/>
  <c r="L431" i="5"/>
  <c r="K431" i="5"/>
  <c r="P430" i="5"/>
  <c r="O430" i="5"/>
  <c r="N430" i="5"/>
  <c r="M430" i="5"/>
  <c r="L430" i="5"/>
  <c r="K430" i="5"/>
  <c r="P429" i="5"/>
  <c r="O429" i="5"/>
  <c r="N429" i="5"/>
  <c r="M429" i="5"/>
  <c r="L429" i="5"/>
  <c r="K429" i="5"/>
  <c r="P428" i="5"/>
  <c r="O428" i="5"/>
  <c r="N428" i="5"/>
  <c r="M428" i="5"/>
  <c r="L428" i="5"/>
  <c r="K428" i="5"/>
  <c r="P427" i="5"/>
  <c r="O427" i="5"/>
  <c r="N427" i="5"/>
  <c r="M427" i="5"/>
  <c r="L427" i="5"/>
  <c r="K427" i="5"/>
  <c r="P426" i="5"/>
  <c r="O426" i="5"/>
  <c r="N426" i="5"/>
  <c r="M426" i="5"/>
  <c r="L426" i="5"/>
  <c r="K426" i="5"/>
  <c r="P425" i="5"/>
  <c r="O425" i="5"/>
  <c r="N425" i="5"/>
  <c r="M425" i="5"/>
  <c r="L425" i="5"/>
  <c r="K425" i="5"/>
  <c r="P424" i="5"/>
  <c r="O424" i="5"/>
  <c r="N424" i="5"/>
  <c r="M424" i="5"/>
  <c r="L424" i="5"/>
  <c r="K424" i="5"/>
  <c r="P423" i="5"/>
  <c r="O423" i="5"/>
  <c r="N423" i="5"/>
  <c r="M423" i="5"/>
  <c r="L423" i="5"/>
  <c r="K423" i="5"/>
  <c r="P422" i="5"/>
  <c r="O422" i="5"/>
  <c r="N422" i="5"/>
  <c r="M422" i="5"/>
  <c r="L422" i="5"/>
  <c r="K422" i="5"/>
  <c r="P421" i="5"/>
  <c r="O421" i="5"/>
  <c r="N421" i="5"/>
  <c r="M421" i="5"/>
  <c r="L421" i="5"/>
  <c r="K421" i="5"/>
  <c r="P420" i="5"/>
  <c r="O420" i="5"/>
  <c r="N420" i="5"/>
  <c r="M420" i="5"/>
  <c r="L420" i="5"/>
  <c r="K420" i="5"/>
  <c r="P419" i="5"/>
  <c r="O419" i="5"/>
  <c r="N419" i="5"/>
  <c r="M419" i="5"/>
  <c r="L419" i="5"/>
  <c r="K419" i="5"/>
  <c r="P418" i="5"/>
  <c r="O418" i="5"/>
  <c r="N418" i="5"/>
  <c r="M418" i="5"/>
  <c r="L418" i="5"/>
  <c r="K418" i="5"/>
  <c r="P417" i="5"/>
  <c r="O417" i="5"/>
  <c r="N417" i="5"/>
  <c r="M417" i="5"/>
  <c r="L417" i="5"/>
  <c r="K417" i="5"/>
  <c r="P416" i="5"/>
  <c r="O416" i="5"/>
  <c r="N416" i="5"/>
  <c r="M416" i="5"/>
  <c r="L416" i="5"/>
  <c r="K416" i="5"/>
  <c r="P415" i="5"/>
  <c r="O415" i="5"/>
  <c r="N415" i="5"/>
  <c r="M415" i="5"/>
  <c r="L415" i="5"/>
  <c r="K415" i="5"/>
  <c r="P414" i="5"/>
  <c r="O414" i="5"/>
  <c r="N414" i="5"/>
  <c r="M414" i="5"/>
  <c r="L414" i="5"/>
  <c r="K414" i="5"/>
  <c r="P413" i="5"/>
  <c r="O413" i="5"/>
  <c r="N413" i="5"/>
  <c r="M413" i="5"/>
  <c r="L413" i="5"/>
  <c r="K413" i="5"/>
  <c r="P412" i="5"/>
  <c r="O412" i="5"/>
  <c r="N412" i="5"/>
  <c r="M412" i="5"/>
  <c r="L412" i="5"/>
  <c r="K412" i="5"/>
  <c r="P411" i="5"/>
  <c r="O411" i="5"/>
  <c r="N411" i="5"/>
  <c r="M411" i="5"/>
  <c r="L411" i="5"/>
  <c r="C411" i="8" s="1" a="1"/>
  <c r="C411" i="8" s="1"/>
  <c r="K411" i="5"/>
  <c r="P410" i="5"/>
  <c r="O410" i="5"/>
  <c r="N410" i="5"/>
  <c r="M410" i="5"/>
  <c r="L410" i="5"/>
  <c r="K410" i="5"/>
  <c r="P409" i="5"/>
  <c r="O409" i="5"/>
  <c r="N409" i="5"/>
  <c r="M409" i="5"/>
  <c r="L409" i="5"/>
  <c r="K409" i="5"/>
  <c r="P408" i="5"/>
  <c r="O408" i="5"/>
  <c r="N408" i="5"/>
  <c r="M408" i="5"/>
  <c r="L408" i="5"/>
  <c r="K408" i="5"/>
  <c r="P407" i="5"/>
  <c r="O407" i="5"/>
  <c r="N407" i="5"/>
  <c r="M407" i="5"/>
  <c r="L407" i="5"/>
  <c r="K407" i="5"/>
  <c r="P406" i="5"/>
  <c r="O406" i="5"/>
  <c r="N406" i="5"/>
  <c r="M406" i="5"/>
  <c r="L406" i="5"/>
  <c r="K406" i="5"/>
  <c r="P405" i="5"/>
  <c r="O405" i="5"/>
  <c r="N405" i="5"/>
  <c r="M405" i="5"/>
  <c r="L405" i="5"/>
  <c r="K405" i="5"/>
  <c r="P404" i="5"/>
  <c r="O404" i="5"/>
  <c r="N404" i="5"/>
  <c r="M404" i="5"/>
  <c r="L404" i="5"/>
  <c r="K404" i="5"/>
  <c r="P403" i="5"/>
  <c r="O403" i="5"/>
  <c r="N403" i="5"/>
  <c r="M403" i="5"/>
  <c r="L403" i="5"/>
  <c r="D403" i="8" s="1" a="1"/>
  <c r="D403" i="8" s="1"/>
  <c r="K403" i="5"/>
  <c r="P402" i="5"/>
  <c r="O402" i="5"/>
  <c r="N402" i="5"/>
  <c r="M402" i="5"/>
  <c r="L402" i="5"/>
  <c r="K402" i="5"/>
  <c r="P401" i="5"/>
  <c r="O401" i="5"/>
  <c r="N401" i="5"/>
  <c r="M401" i="5"/>
  <c r="L401" i="5"/>
  <c r="K401" i="5"/>
  <c r="P400" i="5"/>
  <c r="O400" i="5"/>
  <c r="N400" i="5"/>
  <c r="M400" i="5"/>
  <c r="L400" i="5"/>
  <c r="K400" i="5"/>
  <c r="P399" i="5"/>
  <c r="O399" i="5"/>
  <c r="N399" i="5"/>
  <c r="M399" i="5"/>
  <c r="L399" i="5"/>
  <c r="K399" i="5"/>
  <c r="P398" i="5"/>
  <c r="O398" i="5"/>
  <c r="N398" i="5"/>
  <c r="M398" i="5"/>
  <c r="L398" i="5"/>
  <c r="K398" i="5"/>
  <c r="P397" i="5"/>
  <c r="O397" i="5"/>
  <c r="N397" i="5"/>
  <c r="M397" i="5"/>
  <c r="L397" i="5"/>
  <c r="K397" i="5"/>
  <c r="P396" i="5"/>
  <c r="O396" i="5"/>
  <c r="N396" i="5"/>
  <c r="M396" i="5"/>
  <c r="L396" i="5"/>
  <c r="K396" i="5"/>
  <c r="P395" i="5"/>
  <c r="O395" i="5"/>
  <c r="N395" i="5"/>
  <c r="M395" i="5"/>
  <c r="L395" i="5"/>
  <c r="K395" i="5"/>
  <c r="P394" i="5"/>
  <c r="O394" i="5"/>
  <c r="N394" i="5"/>
  <c r="M394" i="5"/>
  <c r="L394" i="5"/>
  <c r="K394" i="5"/>
  <c r="P393" i="5"/>
  <c r="O393" i="5"/>
  <c r="N393" i="5"/>
  <c r="M393" i="5"/>
  <c r="L393" i="5"/>
  <c r="K393" i="5"/>
  <c r="P392" i="5"/>
  <c r="O392" i="5"/>
  <c r="N392" i="5"/>
  <c r="M392" i="5"/>
  <c r="L392" i="5"/>
  <c r="K392" i="5"/>
  <c r="P391" i="5"/>
  <c r="O391" i="5"/>
  <c r="N391" i="5"/>
  <c r="M391" i="5"/>
  <c r="L391" i="5"/>
  <c r="K391" i="5"/>
  <c r="P390" i="5"/>
  <c r="O390" i="5"/>
  <c r="N390" i="5"/>
  <c r="M390" i="5"/>
  <c r="L390" i="5"/>
  <c r="K390" i="5"/>
  <c r="P389" i="5"/>
  <c r="O389" i="5"/>
  <c r="N389" i="5"/>
  <c r="M389" i="5"/>
  <c r="L389" i="5"/>
  <c r="K389" i="5"/>
  <c r="P388" i="5"/>
  <c r="O388" i="5"/>
  <c r="N388" i="5"/>
  <c r="M388" i="5"/>
  <c r="L388" i="5"/>
  <c r="K388" i="5"/>
  <c r="P387" i="5"/>
  <c r="O387" i="5"/>
  <c r="N387" i="5"/>
  <c r="M387" i="5"/>
  <c r="L387" i="5"/>
  <c r="E387" i="8" s="1" a="1"/>
  <c r="E387" i="8" s="1"/>
  <c r="K387" i="5"/>
  <c r="P386" i="5"/>
  <c r="O386" i="5"/>
  <c r="N386" i="5"/>
  <c r="M386" i="5"/>
  <c r="L386" i="5"/>
  <c r="K386" i="5"/>
  <c r="P385" i="5"/>
  <c r="O385" i="5"/>
  <c r="N385" i="5"/>
  <c r="M385" i="5"/>
  <c r="L385" i="5"/>
  <c r="D385" i="8" s="1" a="1"/>
  <c r="D385" i="8" s="1"/>
  <c r="K385" i="5"/>
  <c r="P384" i="5"/>
  <c r="O384" i="5"/>
  <c r="N384" i="5"/>
  <c r="M384" i="5"/>
  <c r="L384" i="5"/>
  <c r="K384" i="5"/>
  <c r="P383" i="5"/>
  <c r="O383" i="5"/>
  <c r="N383" i="5"/>
  <c r="M383" i="5"/>
  <c r="L383" i="5"/>
  <c r="K383" i="5"/>
  <c r="P382" i="5"/>
  <c r="O382" i="5"/>
  <c r="N382" i="5"/>
  <c r="M382" i="5"/>
  <c r="L382" i="5"/>
  <c r="K382" i="5"/>
  <c r="P381" i="5"/>
  <c r="O381" i="5"/>
  <c r="N381" i="5"/>
  <c r="M381" i="5"/>
  <c r="L381" i="5"/>
  <c r="K381" i="5"/>
  <c r="P380" i="5"/>
  <c r="O380" i="5"/>
  <c r="N380" i="5"/>
  <c r="M380" i="5"/>
  <c r="L380" i="5"/>
  <c r="K380" i="5"/>
  <c r="P379" i="5"/>
  <c r="O379" i="5"/>
  <c r="N379" i="5"/>
  <c r="M379" i="5"/>
  <c r="L379" i="5"/>
  <c r="C379" i="8" s="1" a="1"/>
  <c r="C379" i="8" s="1"/>
  <c r="K379" i="5"/>
  <c r="P378" i="5"/>
  <c r="O378" i="5"/>
  <c r="N378" i="5"/>
  <c r="M378" i="5"/>
  <c r="L378" i="5"/>
  <c r="K378" i="5"/>
  <c r="P377" i="5"/>
  <c r="O377" i="5"/>
  <c r="N377" i="5"/>
  <c r="M377" i="5"/>
  <c r="L377" i="5"/>
  <c r="C377" i="8" s="1" a="1"/>
  <c r="C377" i="8" s="1"/>
  <c r="K377" i="5"/>
  <c r="P376" i="5"/>
  <c r="O376" i="5"/>
  <c r="N376" i="5"/>
  <c r="M376" i="5"/>
  <c r="L376" i="5"/>
  <c r="K376" i="5"/>
  <c r="P375" i="5"/>
  <c r="O375" i="5"/>
  <c r="N375" i="5"/>
  <c r="M375" i="5"/>
  <c r="L375" i="5"/>
  <c r="K375" i="5"/>
  <c r="P374" i="5"/>
  <c r="O374" i="5"/>
  <c r="N374" i="5"/>
  <c r="M374" i="5"/>
  <c r="L374" i="5"/>
  <c r="K374" i="5"/>
  <c r="P373" i="5"/>
  <c r="O373" i="5"/>
  <c r="N373" i="5"/>
  <c r="M373" i="5"/>
  <c r="L373" i="5"/>
  <c r="K373" i="5"/>
  <c r="P372" i="5"/>
  <c r="O372" i="5"/>
  <c r="N372" i="5"/>
  <c r="M372" i="5"/>
  <c r="L372" i="5"/>
  <c r="K372" i="5"/>
  <c r="P371" i="5"/>
  <c r="O371" i="5"/>
  <c r="N371" i="5"/>
  <c r="M371" i="5"/>
  <c r="L371" i="5"/>
  <c r="K371" i="5"/>
  <c r="P370" i="5"/>
  <c r="O370" i="5"/>
  <c r="N370" i="5"/>
  <c r="M370" i="5"/>
  <c r="L370" i="5"/>
  <c r="K370" i="5"/>
  <c r="P369" i="5"/>
  <c r="O369" i="5"/>
  <c r="N369" i="5"/>
  <c r="M369" i="5"/>
  <c r="L369" i="5"/>
  <c r="K369" i="5"/>
  <c r="P368" i="5"/>
  <c r="O368" i="5"/>
  <c r="N368" i="5"/>
  <c r="M368" i="5"/>
  <c r="L368" i="5"/>
  <c r="K368" i="5"/>
  <c r="P367" i="5"/>
  <c r="O367" i="5"/>
  <c r="N367" i="5"/>
  <c r="M367" i="5"/>
  <c r="L367" i="5"/>
  <c r="K367" i="5"/>
  <c r="P366" i="5"/>
  <c r="O366" i="5"/>
  <c r="N366" i="5"/>
  <c r="M366" i="5"/>
  <c r="L366" i="5"/>
  <c r="K366" i="5"/>
  <c r="P365" i="5"/>
  <c r="O365" i="5"/>
  <c r="N365" i="5"/>
  <c r="M365" i="5"/>
  <c r="L365" i="5"/>
  <c r="K365" i="5"/>
  <c r="P364" i="5"/>
  <c r="O364" i="5"/>
  <c r="N364" i="5"/>
  <c r="M364" i="5"/>
  <c r="L364" i="5"/>
  <c r="K364" i="5"/>
  <c r="P363" i="5"/>
  <c r="O363" i="5"/>
  <c r="N363" i="5"/>
  <c r="M363" i="5"/>
  <c r="L363" i="5"/>
  <c r="K363" i="5"/>
  <c r="P362" i="5"/>
  <c r="O362" i="5"/>
  <c r="N362" i="5"/>
  <c r="M362" i="5"/>
  <c r="L362" i="5"/>
  <c r="K362" i="5"/>
  <c r="P361" i="5"/>
  <c r="O361" i="5"/>
  <c r="N361" i="5"/>
  <c r="M361" i="5"/>
  <c r="L361" i="5"/>
  <c r="C361" i="8" s="1" a="1"/>
  <c r="C361" i="8" s="1"/>
  <c r="K361" i="5"/>
  <c r="P360" i="5"/>
  <c r="O360" i="5"/>
  <c r="N360" i="5"/>
  <c r="M360" i="5"/>
  <c r="L360" i="5"/>
  <c r="K360" i="5"/>
  <c r="P359" i="5"/>
  <c r="O359" i="5"/>
  <c r="N359" i="5"/>
  <c r="M359" i="5"/>
  <c r="L359" i="5"/>
  <c r="K359" i="5"/>
  <c r="P358" i="5"/>
  <c r="O358" i="5"/>
  <c r="N358" i="5"/>
  <c r="M358" i="5"/>
  <c r="L358" i="5"/>
  <c r="K358" i="5"/>
  <c r="P357" i="5"/>
  <c r="O357" i="5"/>
  <c r="N357" i="5"/>
  <c r="M357" i="5"/>
  <c r="L357" i="5"/>
  <c r="K357" i="5"/>
  <c r="P356" i="5"/>
  <c r="O356" i="5"/>
  <c r="N356" i="5"/>
  <c r="M356" i="5"/>
  <c r="L356" i="5"/>
  <c r="K356" i="5"/>
  <c r="P355" i="5"/>
  <c r="O355" i="5"/>
  <c r="N355" i="5"/>
  <c r="M355" i="5"/>
  <c r="L355" i="5"/>
  <c r="K355" i="5"/>
  <c r="P354" i="5"/>
  <c r="O354" i="5"/>
  <c r="N354" i="5"/>
  <c r="M354" i="5"/>
  <c r="L354" i="5"/>
  <c r="K354" i="5"/>
  <c r="P353" i="5"/>
  <c r="O353" i="5"/>
  <c r="N353" i="5"/>
  <c r="M353" i="5"/>
  <c r="L353" i="5"/>
  <c r="K353" i="5"/>
  <c r="P352" i="5"/>
  <c r="O352" i="5"/>
  <c r="N352" i="5"/>
  <c r="M352" i="5"/>
  <c r="L352" i="5"/>
  <c r="K352" i="5"/>
  <c r="P351" i="5"/>
  <c r="O351" i="5"/>
  <c r="N351" i="5"/>
  <c r="M351" i="5"/>
  <c r="L351" i="5"/>
  <c r="K351" i="5"/>
  <c r="P350" i="5"/>
  <c r="O350" i="5"/>
  <c r="N350" i="5"/>
  <c r="M350" i="5"/>
  <c r="L350" i="5"/>
  <c r="K350" i="5"/>
  <c r="P349" i="5"/>
  <c r="O349" i="5"/>
  <c r="N349" i="5"/>
  <c r="M349" i="5"/>
  <c r="L349" i="5"/>
  <c r="K349" i="5"/>
  <c r="P348" i="5"/>
  <c r="O348" i="5"/>
  <c r="N348" i="5"/>
  <c r="M348" i="5"/>
  <c r="L348" i="5"/>
  <c r="K348" i="5"/>
  <c r="P347" i="5"/>
  <c r="O347" i="5"/>
  <c r="N347" i="5"/>
  <c r="M347" i="5"/>
  <c r="L347" i="5"/>
  <c r="D347" i="8" s="1" a="1"/>
  <c r="D347" i="8" s="1"/>
  <c r="K347" i="5"/>
  <c r="P346" i="5"/>
  <c r="O346" i="5"/>
  <c r="N346" i="5"/>
  <c r="M346" i="5"/>
  <c r="L346" i="5"/>
  <c r="K346" i="5"/>
  <c r="P345" i="5"/>
  <c r="O345" i="5"/>
  <c r="N345" i="5"/>
  <c r="M345" i="5"/>
  <c r="L345" i="5"/>
  <c r="K345" i="5"/>
  <c r="P344" i="5"/>
  <c r="O344" i="5"/>
  <c r="N344" i="5"/>
  <c r="M344" i="5"/>
  <c r="L344" i="5"/>
  <c r="K344" i="5"/>
  <c r="P343" i="5"/>
  <c r="O343" i="5"/>
  <c r="N343" i="5"/>
  <c r="M343" i="5"/>
  <c r="L343" i="5"/>
  <c r="K343" i="5"/>
  <c r="P342" i="5"/>
  <c r="O342" i="5"/>
  <c r="N342" i="5"/>
  <c r="M342" i="5"/>
  <c r="L342" i="5"/>
  <c r="K342" i="5"/>
  <c r="P341" i="5"/>
  <c r="O341" i="5"/>
  <c r="N341" i="5"/>
  <c r="M341" i="5"/>
  <c r="L341" i="5"/>
  <c r="K341" i="5"/>
  <c r="P340" i="5"/>
  <c r="O340" i="5"/>
  <c r="N340" i="5"/>
  <c r="M340" i="5"/>
  <c r="L340" i="5"/>
  <c r="K340" i="5"/>
  <c r="P339" i="5"/>
  <c r="O339" i="5"/>
  <c r="N339" i="5"/>
  <c r="M339" i="5"/>
  <c r="L339" i="5"/>
  <c r="C339" i="8" s="1" a="1"/>
  <c r="C339" i="8" s="1"/>
  <c r="K339" i="5"/>
  <c r="P338" i="5"/>
  <c r="O338" i="5"/>
  <c r="N338" i="5"/>
  <c r="M338" i="5"/>
  <c r="L338" i="5"/>
  <c r="K338" i="5"/>
  <c r="P337" i="5"/>
  <c r="O337" i="5"/>
  <c r="N337" i="5"/>
  <c r="M337" i="5"/>
  <c r="L337" i="5"/>
  <c r="E337" i="8" s="1" a="1"/>
  <c r="E337" i="8" s="1"/>
  <c r="K337" i="5"/>
  <c r="P336" i="5"/>
  <c r="O336" i="5"/>
  <c r="N336" i="5"/>
  <c r="M336" i="5"/>
  <c r="L336" i="5"/>
  <c r="K336" i="5"/>
  <c r="P335" i="5"/>
  <c r="O335" i="5"/>
  <c r="N335" i="5"/>
  <c r="M335" i="5"/>
  <c r="L335" i="5"/>
  <c r="K335" i="5"/>
  <c r="P334" i="5"/>
  <c r="O334" i="5"/>
  <c r="N334" i="5"/>
  <c r="M334" i="5"/>
  <c r="L334" i="5"/>
  <c r="K334" i="5"/>
  <c r="P333" i="5"/>
  <c r="O333" i="5"/>
  <c r="N333" i="5"/>
  <c r="M333" i="5"/>
  <c r="L333" i="5"/>
  <c r="K333" i="5"/>
  <c r="P332" i="5"/>
  <c r="O332" i="5"/>
  <c r="N332" i="5"/>
  <c r="M332" i="5"/>
  <c r="L332" i="5"/>
  <c r="K332" i="5"/>
  <c r="P331" i="5"/>
  <c r="O331" i="5"/>
  <c r="N331" i="5"/>
  <c r="M331" i="5"/>
  <c r="L331" i="5"/>
  <c r="C331" i="8" s="1" a="1"/>
  <c r="C331" i="8" s="1"/>
  <c r="K331" i="5"/>
  <c r="P330" i="5"/>
  <c r="O330" i="5"/>
  <c r="N330" i="5"/>
  <c r="M330" i="5"/>
  <c r="L330" i="5"/>
  <c r="K330" i="5"/>
  <c r="P329" i="5"/>
  <c r="O329" i="5"/>
  <c r="N329" i="5"/>
  <c r="M329" i="5"/>
  <c r="L329" i="5"/>
  <c r="K329" i="5"/>
  <c r="P328" i="5"/>
  <c r="O328" i="5"/>
  <c r="N328" i="5"/>
  <c r="M328" i="5"/>
  <c r="L328" i="5"/>
  <c r="K328" i="5"/>
  <c r="P327" i="5"/>
  <c r="O327" i="5"/>
  <c r="N327" i="5"/>
  <c r="M327" i="5"/>
  <c r="L327" i="5"/>
  <c r="K327" i="5"/>
  <c r="P326" i="5"/>
  <c r="O326" i="5"/>
  <c r="N326" i="5"/>
  <c r="M326" i="5"/>
  <c r="L326" i="5"/>
  <c r="K326" i="5"/>
  <c r="P325" i="5"/>
  <c r="O325" i="5"/>
  <c r="N325" i="5"/>
  <c r="M325" i="5"/>
  <c r="L325" i="5"/>
  <c r="K325" i="5"/>
  <c r="P324" i="5"/>
  <c r="O324" i="5"/>
  <c r="N324" i="5"/>
  <c r="M324" i="5"/>
  <c r="L324" i="5"/>
  <c r="K324" i="5"/>
  <c r="P323" i="5"/>
  <c r="O323" i="5"/>
  <c r="N323" i="5"/>
  <c r="M323" i="5"/>
  <c r="L323" i="5"/>
  <c r="K323" i="5"/>
  <c r="P322" i="5"/>
  <c r="O322" i="5"/>
  <c r="N322" i="5"/>
  <c r="M322" i="5"/>
  <c r="L322" i="5"/>
  <c r="K322" i="5"/>
  <c r="P321" i="5"/>
  <c r="O321" i="5"/>
  <c r="N321" i="5"/>
  <c r="M321" i="5"/>
  <c r="L321" i="5"/>
  <c r="E321" i="8" s="1" a="1"/>
  <c r="E321" i="8" s="1"/>
  <c r="K321" i="5"/>
  <c r="P320" i="5"/>
  <c r="O320" i="5"/>
  <c r="N320" i="5"/>
  <c r="M320" i="5"/>
  <c r="L320" i="5"/>
  <c r="K320" i="5"/>
  <c r="P319" i="5"/>
  <c r="O319" i="5"/>
  <c r="N319" i="5"/>
  <c r="M319" i="5"/>
  <c r="L319" i="5"/>
  <c r="K319" i="5"/>
  <c r="P318" i="5"/>
  <c r="O318" i="5"/>
  <c r="N318" i="5"/>
  <c r="M318" i="5"/>
  <c r="L318" i="5"/>
  <c r="K318" i="5"/>
  <c r="P317" i="5"/>
  <c r="O317" i="5"/>
  <c r="N317" i="5"/>
  <c r="M317" i="5"/>
  <c r="L317" i="5"/>
  <c r="K317" i="5"/>
  <c r="P316" i="5"/>
  <c r="O316" i="5"/>
  <c r="N316" i="5"/>
  <c r="M316" i="5"/>
  <c r="L316" i="5"/>
  <c r="K316" i="5"/>
  <c r="P315" i="5"/>
  <c r="O315" i="5"/>
  <c r="N315" i="5"/>
  <c r="M315" i="5"/>
  <c r="L315" i="5"/>
  <c r="C315" i="8" s="1" a="1"/>
  <c r="C315" i="8" s="1"/>
  <c r="K315" i="5"/>
  <c r="P314" i="5"/>
  <c r="O314" i="5"/>
  <c r="N314" i="5"/>
  <c r="M314" i="5"/>
  <c r="L314" i="5"/>
  <c r="K314" i="5"/>
  <c r="P313" i="5"/>
  <c r="O313" i="5"/>
  <c r="N313" i="5"/>
  <c r="M313" i="5"/>
  <c r="L313" i="5"/>
  <c r="E313" i="8" s="1" a="1"/>
  <c r="E313" i="8" s="1"/>
  <c r="K313" i="5"/>
  <c r="P312" i="5"/>
  <c r="O312" i="5"/>
  <c r="N312" i="5"/>
  <c r="M312" i="5"/>
  <c r="L312" i="5"/>
  <c r="K312" i="5"/>
  <c r="P311" i="5"/>
  <c r="O311" i="5"/>
  <c r="N311" i="5"/>
  <c r="M311" i="5"/>
  <c r="L311" i="5"/>
  <c r="K311" i="5"/>
  <c r="P310" i="5"/>
  <c r="O310" i="5"/>
  <c r="N310" i="5"/>
  <c r="M310" i="5"/>
  <c r="L310" i="5"/>
  <c r="K310" i="5"/>
  <c r="P309" i="5"/>
  <c r="O309" i="5"/>
  <c r="N309" i="5"/>
  <c r="M309" i="5"/>
  <c r="L309" i="5"/>
  <c r="K309" i="5"/>
  <c r="P308" i="5"/>
  <c r="O308" i="5"/>
  <c r="N308" i="5"/>
  <c r="M308" i="5"/>
  <c r="L308" i="5"/>
  <c r="K308" i="5"/>
  <c r="P307" i="5"/>
  <c r="O307" i="5"/>
  <c r="N307" i="5"/>
  <c r="M307" i="5"/>
  <c r="L307" i="5"/>
  <c r="E307" i="8" s="1" a="1"/>
  <c r="E307" i="8" s="1"/>
  <c r="K307" i="5"/>
  <c r="P306" i="5"/>
  <c r="O306" i="5"/>
  <c r="N306" i="5"/>
  <c r="M306" i="5"/>
  <c r="L306" i="5"/>
  <c r="K306" i="5"/>
  <c r="P305" i="5"/>
  <c r="O305" i="5"/>
  <c r="N305" i="5"/>
  <c r="M305" i="5"/>
  <c r="L305" i="5"/>
  <c r="K305" i="5"/>
  <c r="P304" i="5"/>
  <c r="O304" i="5"/>
  <c r="N304" i="5"/>
  <c r="M304" i="5"/>
  <c r="L304" i="5"/>
  <c r="K304" i="5"/>
  <c r="P303" i="5"/>
  <c r="O303" i="5"/>
  <c r="N303" i="5"/>
  <c r="M303" i="5"/>
  <c r="L303" i="5"/>
  <c r="K303" i="5"/>
  <c r="P302" i="5"/>
  <c r="O302" i="5"/>
  <c r="N302" i="5"/>
  <c r="M302" i="5"/>
  <c r="L302" i="5"/>
  <c r="K302" i="5"/>
  <c r="P301" i="5"/>
  <c r="O301" i="5"/>
  <c r="N301" i="5"/>
  <c r="M301" i="5"/>
  <c r="L301" i="5"/>
  <c r="K301" i="5"/>
  <c r="P300" i="5"/>
  <c r="O300" i="5"/>
  <c r="N300" i="5"/>
  <c r="M300" i="5"/>
  <c r="L300" i="5"/>
  <c r="K300" i="5"/>
  <c r="P299" i="5"/>
  <c r="O299" i="5"/>
  <c r="N299" i="5"/>
  <c r="M299" i="5"/>
  <c r="L299" i="5"/>
  <c r="K299" i="5"/>
  <c r="P298" i="5"/>
  <c r="O298" i="5"/>
  <c r="N298" i="5"/>
  <c r="M298" i="5"/>
  <c r="L298" i="5"/>
  <c r="K298" i="5"/>
  <c r="P297" i="5"/>
  <c r="O297" i="5"/>
  <c r="N297" i="5"/>
  <c r="M297" i="5"/>
  <c r="L297" i="5"/>
  <c r="K297" i="5"/>
  <c r="P296" i="5"/>
  <c r="O296" i="5"/>
  <c r="N296" i="5"/>
  <c r="M296" i="5"/>
  <c r="L296" i="5"/>
  <c r="K296" i="5"/>
  <c r="P295" i="5"/>
  <c r="O295" i="5"/>
  <c r="N295" i="5"/>
  <c r="M295" i="5"/>
  <c r="L295" i="5"/>
  <c r="K295" i="5"/>
  <c r="P294" i="5"/>
  <c r="O294" i="5"/>
  <c r="N294" i="5"/>
  <c r="M294" i="5"/>
  <c r="L294" i="5"/>
  <c r="K294" i="5"/>
  <c r="P293" i="5"/>
  <c r="O293" i="5"/>
  <c r="N293" i="5"/>
  <c r="M293" i="5"/>
  <c r="L293" i="5"/>
  <c r="K293" i="5"/>
  <c r="P292" i="5"/>
  <c r="O292" i="5"/>
  <c r="N292" i="5"/>
  <c r="M292" i="5"/>
  <c r="L292" i="5"/>
  <c r="K292" i="5"/>
  <c r="P291" i="5"/>
  <c r="O291" i="5"/>
  <c r="N291" i="5"/>
  <c r="M291" i="5"/>
  <c r="L291" i="5"/>
  <c r="K291" i="5"/>
  <c r="P290" i="5"/>
  <c r="O290" i="5"/>
  <c r="N290" i="5"/>
  <c r="M290" i="5"/>
  <c r="L290" i="5"/>
  <c r="K290" i="5"/>
  <c r="P289" i="5"/>
  <c r="O289" i="5"/>
  <c r="N289" i="5"/>
  <c r="M289" i="5"/>
  <c r="L289" i="5"/>
  <c r="K289" i="5"/>
  <c r="P288" i="5"/>
  <c r="O288" i="5"/>
  <c r="N288" i="5"/>
  <c r="M288" i="5"/>
  <c r="L288" i="5"/>
  <c r="K288" i="5"/>
  <c r="P287" i="5"/>
  <c r="O287" i="5"/>
  <c r="N287" i="5"/>
  <c r="M287" i="5"/>
  <c r="L287" i="5"/>
  <c r="K287" i="5"/>
  <c r="P286" i="5"/>
  <c r="O286" i="5"/>
  <c r="N286" i="5"/>
  <c r="M286" i="5"/>
  <c r="L286" i="5"/>
  <c r="K286" i="5"/>
  <c r="P285" i="5"/>
  <c r="O285" i="5"/>
  <c r="N285" i="5"/>
  <c r="M285" i="5"/>
  <c r="L285" i="5"/>
  <c r="K285" i="5"/>
  <c r="P284" i="5"/>
  <c r="O284" i="5"/>
  <c r="N284" i="5"/>
  <c r="M284" i="5"/>
  <c r="L284" i="5"/>
  <c r="K284" i="5"/>
  <c r="P283" i="5"/>
  <c r="O283" i="5"/>
  <c r="N283" i="5"/>
  <c r="M283" i="5"/>
  <c r="L283" i="5"/>
  <c r="E283" i="8" s="1" a="1"/>
  <c r="E283" i="8" s="1"/>
  <c r="K283" i="5"/>
  <c r="P282" i="5"/>
  <c r="O282" i="5"/>
  <c r="N282" i="5"/>
  <c r="M282" i="5"/>
  <c r="L282" i="5"/>
  <c r="K282" i="5"/>
  <c r="P281" i="5"/>
  <c r="O281" i="5"/>
  <c r="N281" i="5"/>
  <c r="M281" i="5"/>
  <c r="L281" i="5"/>
  <c r="C281" i="8" s="1" a="1"/>
  <c r="C281" i="8" s="1"/>
  <c r="K281" i="5"/>
  <c r="P280" i="5"/>
  <c r="O280" i="5"/>
  <c r="N280" i="5"/>
  <c r="M280" i="5"/>
  <c r="L280" i="5"/>
  <c r="K280" i="5"/>
  <c r="P279" i="5"/>
  <c r="O279" i="5"/>
  <c r="N279" i="5"/>
  <c r="M279" i="5"/>
  <c r="L279" i="5"/>
  <c r="K279" i="5"/>
  <c r="P278" i="5"/>
  <c r="O278" i="5"/>
  <c r="N278" i="5"/>
  <c r="M278" i="5"/>
  <c r="L278" i="5"/>
  <c r="K278" i="5"/>
  <c r="P277" i="5"/>
  <c r="O277" i="5"/>
  <c r="N277" i="5"/>
  <c r="M277" i="5"/>
  <c r="L277" i="5"/>
  <c r="K277" i="5"/>
  <c r="P276" i="5"/>
  <c r="O276" i="5"/>
  <c r="N276" i="5"/>
  <c r="M276" i="5"/>
  <c r="L276" i="5"/>
  <c r="K276" i="5"/>
  <c r="P275" i="5"/>
  <c r="O275" i="5"/>
  <c r="N275" i="5"/>
  <c r="M275" i="5"/>
  <c r="L275" i="5"/>
  <c r="C275" i="8" s="1" a="1"/>
  <c r="C275" i="8" s="1"/>
  <c r="K275" i="5"/>
  <c r="P274" i="5"/>
  <c r="O274" i="5"/>
  <c r="N274" i="5"/>
  <c r="M274" i="5"/>
  <c r="L274" i="5"/>
  <c r="K274" i="5"/>
  <c r="P273" i="5"/>
  <c r="O273" i="5"/>
  <c r="N273" i="5"/>
  <c r="M273" i="5"/>
  <c r="L273" i="5"/>
  <c r="D273" i="8" s="1" a="1"/>
  <c r="D273" i="8" s="1"/>
  <c r="K273" i="5"/>
  <c r="P272" i="5"/>
  <c r="O272" i="5"/>
  <c r="N272" i="5"/>
  <c r="M272" i="5"/>
  <c r="L272" i="5"/>
  <c r="K272" i="5"/>
  <c r="P271" i="5"/>
  <c r="O271" i="5"/>
  <c r="N271" i="5"/>
  <c r="M271" i="5"/>
  <c r="L271" i="5"/>
  <c r="K271" i="5"/>
  <c r="P270" i="5"/>
  <c r="O270" i="5"/>
  <c r="N270" i="5"/>
  <c r="M270" i="5"/>
  <c r="L270" i="5"/>
  <c r="K270" i="5"/>
  <c r="P269" i="5"/>
  <c r="O269" i="5"/>
  <c r="N269" i="5"/>
  <c r="M269" i="5"/>
  <c r="L269" i="5"/>
  <c r="K269" i="5"/>
  <c r="P268" i="5"/>
  <c r="O268" i="5"/>
  <c r="N268" i="5"/>
  <c r="M268" i="5"/>
  <c r="L268" i="5"/>
  <c r="K268" i="5"/>
  <c r="P267" i="5"/>
  <c r="O267" i="5"/>
  <c r="N267" i="5"/>
  <c r="M267" i="5"/>
  <c r="L267" i="5"/>
  <c r="D267" i="8" s="1" a="1"/>
  <c r="D267" i="8" s="1"/>
  <c r="K267" i="5"/>
  <c r="P266" i="5"/>
  <c r="O266" i="5"/>
  <c r="N266" i="5"/>
  <c r="M266" i="5"/>
  <c r="L266" i="5"/>
  <c r="K266" i="5"/>
  <c r="P265" i="5"/>
  <c r="O265" i="5"/>
  <c r="N265" i="5"/>
  <c r="M265" i="5"/>
  <c r="L265" i="5"/>
  <c r="C265" i="8" s="1" a="1"/>
  <c r="C265" i="8" s="1"/>
  <c r="K265" i="5"/>
  <c r="P264" i="5"/>
  <c r="O264" i="5"/>
  <c r="N264" i="5"/>
  <c r="M264" i="5"/>
  <c r="L264" i="5"/>
  <c r="K264" i="5"/>
  <c r="P263" i="5"/>
  <c r="O263" i="5"/>
  <c r="N263" i="5"/>
  <c r="M263" i="5"/>
  <c r="L263" i="5"/>
  <c r="K263" i="5"/>
  <c r="P262" i="5"/>
  <c r="O262" i="5"/>
  <c r="N262" i="5"/>
  <c r="M262" i="5"/>
  <c r="L262" i="5"/>
  <c r="K262" i="5"/>
  <c r="P261" i="5"/>
  <c r="O261" i="5"/>
  <c r="N261" i="5"/>
  <c r="M261" i="5"/>
  <c r="L261" i="5"/>
  <c r="K261" i="5"/>
  <c r="P260" i="5"/>
  <c r="O260" i="5"/>
  <c r="N260" i="5"/>
  <c r="M260" i="5"/>
  <c r="L260" i="5"/>
  <c r="K260" i="5"/>
  <c r="P259" i="5"/>
  <c r="O259" i="5"/>
  <c r="N259" i="5"/>
  <c r="M259" i="5"/>
  <c r="L259" i="5"/>
  <c r="K259" i="5"/>
  <c r="P258" i="5"/>
  <c r="O258" i="5"/>
  <c r="N258" i="5"/>
  <c r="M258" i="5"/>
  <c r="L258" i="5"/>
  <c r="K258" i="5"/>
  <c r="P257" i="5"/>
  <c r="O257" i="5"/>
  <c r="N257" i="5"/>
  <c r="M257" i="5"/>
  <c r="L257" i="5"/>
  <c r="K257" i="5"/>
  <c r="P256" i="5"/>
  <c r="O256" i="5"/>
  <c r="N256" i="5"/>
  <c r="M256" i="5"/>
  <c r="L256" i="5"/>
  <c r="K256" i="5"/>
  <c r="P255" i="5"/>
  <c r="O255" i="5"/>
  <c r="N255" i="5"/>
  <c r="M255" i="5"/>
  <c r="L255" i="5"/>
  <c r="K255" i="5"/>
  <c r="P254" i="5"/>
  <c r="O254" i="5"/>
  <c r="N254" i="5"/>
  <c r="M254" i="5"/>
  <c r="L254" i="5"/>
  <c r="K254" i="5"/>
  <c r="P253" i="5"/>
  <c r="O253" i="5"/>
  <c r="N253" i="5"/>
  <c r="M253" i="5"/>
  <c r="L253" i="5"/>
  <c r="K253" i="5"/>
  <c r="P252" i="5"/>
  <c r="O252" i="5"/>
  <c r="N252" i="5"/>
  <c r="M252" i="5"/>
  <c r="L252" i="5"/>
  <c r="K252" i="5"/>
  <c r="P251" i="5"/>
  <c r="O251" i="5"/>
  <c r="N251" i="5"/>
  <c r="M251" i="5"/>
  <c r="L251" i="5"/>
  <c r="K251" i="5"/>
  <c r="P250" i="5"/>
  <c r="O250" i="5"/>
  <c r="N250" i="5"/>
  <c r="M250" i="5"/>
  <c r="L250" i="5"/>
  <c r="K250" i="5"/>
  <c r="P249" i="5"/>
  <c r="O249" i="5"/>
  <c r="N249" i="5"/>
  <c r="M249" i="5"/>
  <c r="L249" i="5"/>
  <c r="K249" i="5"/>
  <c r="P248" i="5"/>
  <c r="O248" i="5"/>
  <c r="N248" i="5"/>
  <c r="M248" i="5"/>
  <c r="L248" i="5"/>
  <c r="K248" i="5"/>
  <c r="P247" i="5"/>
  <c r="O247" i="5"/>
  <c r="N247" i="5"/>
  <c r="M247" i="5"/>
  <c r="L247" i="5"/>
  <c r="K247" i="5"/>
  <c r="P246" i="5"/>
  <c r="O246" i="5"/>
  <c r="N246" i="5"/>
  <c r="M246" i="5"/>
  <c r="L246" i="5"/>
  <c r="K246" i="5"/>
  <c r="P245" i="5"/>
  <c r="O245" i="5"/>
  <c r="N245" i="5"/>
  <c r="M245" i="5"/>
  <c r="L245" i="5"/>
  <c r="K245" i="5"/>
  <c r="P244" i="5"/>
  <c r="O244" i="5"/>
  <c r="N244" i="5"/>
  <c r="M244" i="5"/>
  <c r="L244" i="5"/>
  <c r="K244" i="5"/>
  <c r="P243" i="5"/>
  <c r="O243" i="5"/>
  <c r="N243" i="5"/>
  <c r="M243" i="5"/>
  <c r="L243" i="5"/>
  <c r="K243" i="5"/>
  <c r="P242" i="5"/>
  <c r="O242" i="5"/>
  <c r="N242" i="5"/>
  <c r="M242" i="5"/>
  <c r="L242" i="5"/>
  <c r="K242" i="5"/>
  <c r="P241" i="5"/>
  <c r="O241" i="5"/>
  <c r="N241" i="5"/>
  <c r="M241" i="5"/>
  <c r="L241" i="5"/>
  <c r="K241" i="5"/>
  <c r="P240" i="5"/>
  <c r="O240" i="5"/>
  <c r="N240" i="5"/>
  <c r="M240" i="5"/>
  <c r="L240" i="5"/>
  <c r="K240" i="5"/>
  <c r="P239" i="5"/>
  <c r="O239" i="5"/>
  <c r="N239" i="5"/>
  <c r="M239" i="5"/>
  <c r="L239" i="5"/>
  <c r="K239" i="5"/>
  <c r="P238" i="5"/>
  <c r="O238" i="5"/>
  <c r="N238" i="5"/>
  <c r="M238" i="5"/>
  <c r="L238" i="5"/>
  <c r="K238" i="5"/>
  <c r="P237" i="5"/>
  <c r="O237" i="5"/>
  <c r="N237" i="5"/>
  <c r="M237" i="5"/>
  <c r="L237" i="5"/>
  <c r="K237" i="5"/>
  <c r="P236" i="5"/>
  <c r="O236" i="5"/>
  <c r="N236" i="5"/>
  <c r="M236" i="5"/>
  <c r="L236" i="5"/>
  <c r="K236" i="5"/>
  <c r="P235" i="5"/>
  <c r="O235" i="5"/>
  <c r="N235" i="5"/>
  <c r="M235" i="5"/>
  <c r="L235" i="5"/>
  <c r="K235" i="5"/>
  <c r="P234" i="5"/>
  <c r="O234" i="5"/>
  <c r="N234" i="5"/>
  <c r="M234" i="5"/>
  <c r="L234" i="5"/>
  <c r="K234" i="5"/>
  <c r="P233" i="5"/>
  <c r="O233" i="5"/>
  <c r="N233" i="5"/>
  <c r="M233" i="5"/>
  <c r="L233" i="5"/>
  <c r="K233" i="5"/>
  <c r="P232" i="5"/>
  <c r="O232" i="5"/>
  <c r="N232" i="5"/>
  <c r="M232" i="5"/>
  <c r="L232" i="5"/>
  <c r="K232" i="5"/>
  <c r="P231" i="5"/>
  <c r="O231" i="5"/>
  <c r="N231" i="5"/>
  <c r="M231" i="5"/>
  <c r="L231" i="5"/>
  <c r="K231" i="5"/>
  <c r="P230" i="5"/>
  <c r="O230" i="5"/>
  <c r="N230" i="5"/>
  <c r="M230" i="5"/>
  <c r="L230" i="5"/>
  <c r="K230" i="5"/>
  <c r="P229" i="5"/>
  <c r="O229" i="5"/>
  <c r="N229" i="5"/>
  <c r="M229" i="5"/>
  <c r="L229" i="5"/>
  <c r="K229" i="5"/>
  <c r="P228" i="5"/>
  <c r="O228" i="5"/>
  <c r="N228" i="5"/>
  <c r="M228" i="5"/>
  <c r="L228" i="5"/>
  <c r="K228" i="5"/>
  <c r="P227" i="5"/>
  <c r="O227" i="5"/>
  <c r="N227" i="5"/>
  <c r="M227" i="5"/>
  <c r="L227" i="5"/>
  <c r="K227" i="5"/>
  <c r="P226" i="5"/>
  <c r="O226" i="5"/>
  <c r="N226" i="5"/>
  <c r="M226" i="5"/>
  <c r="L226" i="5"/>
  <c r="K226" i="5"/>
  <c r="P225" i="5"/>
  <c r="O225" i="5"/>
  <c r="N225" i="5"/>
  <c r="M225" i="5"/>
  <c r="L225" i="5"/>
  <c r="K225" i="5"/>
  <c r="P224" i="5"/>
  <c r="O224" i="5"/>
  <c r="N224" i="5"/>
  <c r="M224" i="5"/>
  <c r="L224" i="5"/>
  <c r="K224" i="5"/>
  <c r="P223" i="5"/>
  <c r="O223" i="5"/>
  <c r="N223" i="5"/>
  <c r="M223" i="5"/>
  <c r="L223" i="5"/>
  <c r="K223" i="5"/>
  <c r="P222" i="5"/>
  <c r="O222" i="5"/>
  <c r="N222" i="5"/>
  <c r="M222" i="5"/>
  <c r="L222" i="5"/>
  <c r="K222" i="5"/>
  <c r="P221" i="5"/>
  <c r="O221" i="5"/>
  <c r="N221" i="5"/>
  <c r="M221" i="5"/>
  <c r="L221" i="5"/>
  <c r="K221" i="5"/>
  <c r="P220" i="5"/>
  <c r="O220" i="5"/>
  <c r="N220" i="5"/>
  <c r="M220" i="5"/>
  <c r="L220" i="5"/>
  <c r="K220" i="5"/>
  <c r="P219" i="5"/>
  <c r="O219" i="5"/>
  <c r="N219" i="5"/>
  <c r="M219" i="5"/>
  <c r="L219" i="5"/>
  <c r="K219" i="5"/>
  <c r="P218" i="5"/>
  <c r="O218" i="5"/>
  <c r="N218" i="5"/>
  <c r="M218" i="5"/>
  <c r="L218" i="5"/>
  <c r="K218" i="5"/>
  <c r="P217" i="5"/>
  <c r="O217" i="5"/>
  <c r="N217" i="5"/>
  <c r="M217" i="5"/>
  <c r="L217" i="5"/>
  <c r="K217" i="5"/>
  <c r="P216" i="5"/>
  <c r="O216" i="5"/>
  <c r="N216" i="5"/>
  <c r="M216" i="5"/>
  <c r="L216" i="5"/>
  <c r="K216" i="5"/>
  <c r="P215" i="5"/>
  <c r="O215" i="5"/>
  <c r="N215" i="5"/>
  <c r="M215" i="5"/>
  <c r="L215" i="5"/>
  <c r="K215" i="5"/>
  <c r="P214" i="5"/>
  <c r="O214" i="5"/>
  <c r="N214" i="5"/>
  <c r="M214" i="5"/>
  <c r="L214" i="5"/>
  <c r="K214" i="5"/>
  <c r="P213" i="5"/>
  <c r="O213" i="5"/>
  <c r="N213" i="5"/>
  <c r="M213" i="5"/>
  <c r="L213" i="5"/>
  <c r="K213" i="5"/>
  <c r="P212" i="5"/>
  <c r="O212" i="5"/>
  <c r="N212" i="5"/>
  <c r="M212" i="5"/>
  <c r="L212" i="5"/>
  <c r="K212" i="5"/>
  <c r="P211" i="5"/>
  <c r="O211" i="5"/>
  <c r="N211" i="5"/>
  <c r="M211" i="5"/>
  <c r="L211" i="5"/>
  <c r="K211" i="5"/>
  <c r="P210" i="5"/>
  <c r="O210" i="5"/>
  <c r="N210" i="5"/>
  <c r="M210" i="5"/>
  <c r="L210" i="5"/>
  <c r="K210" i="5"/>
  <c r="P209" i="5"/>
  <c r="O209" i="5"/>
  <c r="N209" i="5"/>
  <c r="M209" i="5"/>
  <c r="L209" i="5"/>
  <c r="K209" i="5"/>
  <c r="P208" i="5"/>
  <c r="O208" i="5"/>
  <c r="N208" i="5"/>
  <c r="M208" i="5"/>
  <c r="L208" i="5"/>
  <c r="K208" i="5"/>
  <c r="P207" i="5"/>
  <c r="O207" i="5"/>
  <c r="N207" i="5"/>
  <c r="M207" i="5"/>
  <c r="L207" i="5"/>
  <c r="K207" i="5"/>
  <c r="P206" i="5"/>
  <c r="O206" i="5"/>
  <c r="N206" i="5"/>
  <c r="M206" i="5"/>
  <c r="L206" i="5"/>
  <c r="K206" i="5"/>
  <c r="P205" i="5"/>
  <c r="O205" i="5"/>
  <c r="N205" i="5"/>
  <c r="M205" i="5"/>
  <c r="L205" i="5"/>
  <c r="K205" i="5"/>
  <c r="P204" i="5"/>
  <c r="O204" i="5"/>
  <c r="N204" i="5"/>
  <c r="M204" i="5"/>
  <c r="L204" i="5"/>
  <c r="K204" i="5"/>
  <c r="P203" i="5"/>
  <c r="O203" i="5"/>
  <c r="N203" i="5"/>
  <c r="M203" i="5"/>
  <c r="L203" i="5"/>
  <c r="K203" i="5"/>
  <c r="P202" i="5"/>
  <c r="O202" i="5"/>
  <c r="N202" i="5"/>
  <c r="M202" i="5"/>
  <c r="L202" i="5"/>
  <c r="K202" i="5"/>
  <c r="P201" i="5"/>
  <c r="O201" i="5"/>
  <c r="N201" i="5"/>
  <c r="M201" i="5"/>
  <c r="L201" i="5"/>
  <c r="K201" i="5"/>
  <c r="P200" i="5"/>
  <c r="O200" i="5"/>
  <c r="N200" i="5"/>
  <c r="M200" i="5"/>
  <c r="L200" i="5"/>
  <c r="K200" i="5"/>
  <c r="P199" i="5"/>
  <c r="O199" i="5"/>
  <c r="N199" i="5"/>
  <c r="M199" i="5"/>
  <c r="L199" i="5"/>
  <c r="K199" i="5"/>
  <c r="P198" i="5"/>
  <c r="O198" i="5"/>
  <c r="N198" i="5"/>
  <c r="M198" i="5"/>
  <c r="L198" i="5"/>
  <c r="K198" i="5"/>
  <c r="P197" i="5"/>
  <c r="O197" i="5"/>
  <c r="N197" i="5"/>
  <c r="M197" i="5"/>
  <c r="L197" i="5"/>
  <c r="K197" i="5"/>
  <c r="P196" i="5"/>
  <c r="O196" i="5"/>
  <c r="N196" i="5"/>
  <c r="M196" i="5"/>
  <c r="L196" i="5"/>
  <c r="K196" i="5"/>
  <c r="P195" i="5"/>
  <c r="O195" i="5"/>
  <c r="N195" i="5"/>
  <c r="M195" i="5"/>
  <c r="L195" i="5"/>
  <c r="K195" i="5"/>
  <c r="P194" i="5"/>
  <c r="O194" i="5"/>
  <c r="N194" i="5"/>
  <c r="M194" i="5"/>
  <c r="L194" i="5"/>
  <c r="K194" i="5"/>
  <c r="P193" i="5"/>
  <c r="O193" i="5"/>
  <c r="N193" i="5"/>
  <c r="M193" i="5"/>
  <c r="L193" i="5"/>
  <c r="K193" i="5"/>
  <c r="P192" i="5"/>
  <c r="O192" i="5"/>
  <c r="N192" i="5"/>
  <c r="M192" i="5"/>
  <c r="L192" i="5"/>
  <c r="K192" i="5"/>
  <c r="P191" i="5"/>
  <c r="O191" i="5"/>
  <c r="N191" i="5"/>
  <c r="M191" i="5"/>
  <c r="L191" i="5"/>
  <c r="K191" i="5"/>
  <c r="P190" i="5"/>
  <c r="O190" i="5"/>
  <c r="N190" i="5"/>
  <c r="M190" i="5"/>
  <c r="L190" i="5"/>
  <c r="K190" i="5"/>
  <c r="P189" i="5"/>
  <c r="O189" i="5"/>
  <c r="N189" i="5"/>
  <c r="M189" i="5"/>
  <c r="L189" i="5"/>
  <c r="K189" i="5"/>
  <c r="P188" i="5"/>
  <c r="O188" i="5"/>
  <c r="N188" i="5"/>
  <c r="M188" i="5"/>
  <c r="L188" i="5"/>
  <c r="K188" i="5"/>
  <c r="P187" i="5"/>
  <c r="O187" i="5"/>
  <c r="N187" i="5"/>
  <c r="M187" i="5"/>
  <c r="L187" i="5"/>
  <c r="K187" i="5"/>
  <c r="P186" i="5"/>
  <c r="O186" i="5"/>
  <c r="N186" i="5"/>
  <c r="M186" i="5"/>
  <c r="L186" i="5"/>
  <c r="K186" i="5"/>
  <c r="P185" i="5"/>
  <c r="O185" i="5"/>
  <c r="N185" i="5"/>
  <c r="M185" i="5"/>
  <c r="L185" i="5"/>
  <c r="K185" i="5"/>
  <c r="P184" i="5"/>
  <c r="O184" i="5"/>
  <c r="N184" i="5"/>
  <c r="M184" i="5"/>
  <c r="L184" i="5"/>
  <c r="K184" i="5"/>
  <c r="P183" i="5"/>
  <c r="O183" i="5"/>
  <c r="N183" i="5"/>
  <c r="M183" i="5"/>
  <c r="L183" i="5"/>
  <c r="K183" i="5"/>
  <c r="P182" i="5"/>
  <c r="O182" i="5"/>
  <c r="N182" i="5"/>
  <c r="M182" i="5"/>
  <c r="L182" i="5"/>
  <c r="K182" i="5"/>
  <c r="P181" i="5"/>
  <c r="O181" i="5"/>
  <c r="N181" i="5"/>
  <c r="M181" i="5"/>
  <c r="L181" i="5"/>
  <c r="K181" i="5"/>
  <c r="P180" i="5"/>
  <c r="O180" i="5"/>
  <c r="N180" i="5"/>
  <c r="M180" i="5"/>
  <c r="L180" i="5"/>
  <c r="K180" i="5"/>
  <c r="P179" i="5"/>
  <c r="O179" i="5"/>
  <c r="N179" i="5"/>
  <c r="M179" i="5"/>
  <c r="L179" i="5"/>
  <c r="K179" i="5"/>
  <c r="P178" i="5"/>
  <c r="O178" i="5"/>
  <c r="N178" i="5"/>
  <c r="M178" i="5"/>
  <c r="L178" i="5"/>
  <c r="K178" i="5"/>
  <c r="P177" i="5"/>
  <c r="O177" i="5"/>
  <c r="N177" i="5"/>
  <c r="M177" i="5"/>
  <c r="L177" i="5"/>
  <c r="K177" i="5"/>
  <c r="P176" i="5"/>
  <c r="O176" i="5"/>
  <c r="N176" i="5"/>
  <c r="M176" i="5"/>
  <c r="L176" i="5"/>
  <c r="K176" i="5"/>
  <c r="P175" i="5"/>
  <c r="O175" i="5"/>
  <c r="N175" i="5"/>
  <c r="M175" i="5"/>
  <c r="L175" i="5"/>
  <c r="K175" i="5"/>
  <c r="P174" i="5"/>
  <c r="O174" i="5"/>
  <c r="N174" i="5"/>
  <c r="M174" i="5"/>
  <c r="L174" i="5"/>
  <c r="K174" i="5"/>
  <c r="P173" i="5"/>
  <c r="O173" i="5"/>
  <c r="N173" i="5"/>
  <c r="M173" i="5"/>
  <c r="L173" i="5"/>
  <c r="K173" i="5"/>
  <c r="P172" i="5"/>
  <c r="O172" i="5"/>
  <c r="N172" i="5"/>
  <c r="M172" i="5"/>
  <c r="L172" i="5"/>
  <c r="K172" i="5"/>
  <c r="P171" i="5"/>
  <c r="O171" i="5"/>
  <c r="N171" i="5"/>
  <c r="M171" i="5"/>
  <c r="L171" i="5"/>
  <c r="K171" i="5"/>
  <c r="P170" i="5"/>
  <c r="O170" i="5"/>
  <c r="N170" i="5"/>
  <c r="M170" i="5"/>
  <c r="L170" i="5"/>
  <c r="K170" i="5"/>
  <c r="P169" i="5"/>
  <c r="O169" i="5"/>
  <c r="N169" i="5"/>
  <c r="M169" i="5"/>
  <c r="L169" i="5"/>
  <c r="K169" i="5"/>
  <c r="P168" i="5"/>
  <c r="O168" i="5"/>
  <c r="N168" i="5"/>
  <c r="M168" i="5"/>
  <c r="L168" i="5"/>
  <c r="K168" i="5"/>
  <c r="P167" i="5"/>
  <c r="O167" i="5"/>
  <c r="N167" i="5"/>
  <c r="M167" i="5"/>
  <c r="L167" i="5"/>
  <c r="K167" i="5"/>
  <c r="P166" i="5"/>
  <c r="O166" i="5"/>
  <c r="N166" i="5"/>
  <c r="M166" i="5"/>
  <c r="L166" i="5"/>
  <c r="K166" i="5"/>
  <c r="P165" i="5"/>
  <c r="O165" i="5"/>
  <c r="N165" i="5"/>
  <c r="M165" i="5"/>
  <c r="L165" i="5"/>
  <c r="K165" i="5"/>
  <c r="P164" i="5"/>
  <c r="O164" i="5"/>
  <c r="N164" i="5"/>
  <c r="M164" i="5"/>
  <c r="L164" i="5"/>
  <c r="K164" i="5"/>
  <c r="P163" i="5"/>
  <c r="O163" i="5"/>
  <c r="N163" i="5"/>
  <c r="M163" i="5"/>
  <c r="L163" i="5"/>
  <c r="K163" i="5"/>
  <c r="P162" i="5"/>
  <c r="O162" i="5"/>
  <c r="N162" i="5"/>
  <c r="M162" i="5"/>
  <c r="L162" i="5"/>
  <c r="K162" i="5"/>
  <c r="P161" i="5"/>
  <c r="O161" i="5"/>
  <c r="N161" i="5"/>
  <c r="M161" i="5"/>
  <c r="L161" i="5"/>
  <c r="K161" i="5"/>
  <c r="P160" i="5"/>
  <c r="O160" i="5"/>
  <c r="N160" i="5"/>
  <c r="M160" i="5"/>
  <c r="L160" i="5"/>
  <c r="K160" i="5"/>
  <c r="P159" i="5"/>
  <c r="O159" i="5"/>
  <c r="N159" i="5"/>
  <c r="M159" i="5"/>
  <c r="L159" i="5"/>
  <c r="K159" i="5"/>
  <c r="P158" i="5"/>
  <c r="O158" i="5"/>
  <c r="N158" i="5"/>
  <c r="M158" i="5"/>
  <c r="L158" i="5"/>
  <c r="K158" i="5"/>
  <c r="P157" i="5"/>
  <c r="O157" i="5"/>
  <c r="N157" i="5"/>
  <c r="M157" i="5"/>
  <c r="L157" i="5"/>
  <c r="K157" i="5"/>
  <c r="P156" i="5"/>
  <c r="O156" i="5"/>
  <c r="N156" i="5"/>
  <c r="M156" i="5"/>
  <c r="L156" i="5"/>
  <c r="K156" i="5"/>
  <c r="P155" i="5"/>
  <c r="O155" i="5"/>
  <c r="N155" i="5"/>
  <c r="M155" i="5"/>
  <c r="L155" i="5"/>
  <c r="K155" i="5"/>
  <c r="P154" i="5"/>
  <c r="O154" i="5"/>
  <c r="N154" i="5"/>
  <c r="M154" i="5"/>
  <c r="L154" i="5"/>
  <c r="K154" i="5"/>
  <c r="P153" i="5"/>
  <c r="O153" i="5"/>
  <c r="N153" i="5"/>
  <c r="M153" i="5"/>
  <c r="L153" i="5"/>
  <c r="K153" i="5"/>
  <c r="P152" i="5"/>
  <c r="O152" i="5"/>
  <c r="N152" i="5"/>
  <c r="M152" i="5"/>
  <c r="L152" i="5"/>
  <c r="K152" i="5"/>
  <c r="P151" i="5"/>
  <c r="O151" i="5"/>
  <c r="N151" i="5"/>
  <c r="M151" i="5"/>
  <c r="L151" i="5"/>
  <c r="K151" i="5"/>
  <c r="P150" i="5"/>
  <c r="O150" i="5"/>
  <c r="N150" i="5"/>
  <c r="M150" i="5"/>
  <c r="L150" i="5"/>
  <c r="K150" i="5"/>
  <c r="P149" i="5"/>
  <c r="O149" i="5"/>
  <c r="N149" i="5"/>
  <c r="M149" i="5"/>
  <c r="L149" i="5"/>
  <c r="K149" i="5"/>
  <c r="P148" i="5"/>
  <c r="O148" i="5"/>
  <c r="N148" i="5"/>
  <c r="M148" i="5"/>
  <c r="L148" i="5"/>
  <c r="K148" i="5"/>
  <c r="P147" i="5"/>
  <c r="O147" i="5"/>
  <c r="N147" i="5"/>
  <c r="M147" i="5"/>
  <c r="L147" i="5"/>
  <c r="K147" i="5"/>
  <c r="P146" i="5"/>
  <c r="O146" i="5"/>
  <c r="N146" i="5"/>
  <c r="M146" i="5"/>
  <c r="L146" i="5"/>
  <c r="K146" i="5"/>
  <c r="P145" i="5"/>
  <c r="O145" i="5"/>
  <c r="N145" i="5"/>
  <c r="M145" i="5"/>
  <c r="L145" i="5"/>
  <c r="K145" i="5"/>
  <c r="P144" i="5"/>
  <c r="O144" i="5"/>
  <c r="N144" i="5"/>
  <c r="M144" i="5"/>
  <c r="L144" i="5"/>
  <c r="K144" i="5"/>
  <c r="P143" i="5"/>
  <c r="O143" i="5"/>
  <c r="N143" i="5"/>
  <c r="M143" i="5"/>
  <c r="L143" i="5"/>
  <c r="K143" i="5"/>
  <c r="P142" i="5"/>
  <c r="O142" i="5"/>
  <c r="N142" i="5"/>
  <c r="M142" i="5"/>
  <c r="L142" i="5"/>
  <c r="K142" i="5"/>
  <c r="P141" i="5"/>
  <c r="O141" i="5"/>
  <c r="N141" i="5"/>
  <c r="M141" i="5"/>
  <c r="L141" i="5"/>
  <c r="K141" i="5"/>
  <c r="P140" i="5"/>
  <c r="O140" i="5"/>
  <c r="N140" i="5"/>
  <c r="M140" i="5"/>
  <c r="L140" i="5"/>
  <c r="K140" i="5"/>
  <c r="P139" i="5"/>
  <c r="O139" i="5"/>
  <c r="N139" i="5"/>
  <c r="M139" i="5"/>
  <c r="L139" i="5"/>
  <c r="K139" i="5"/>
  <c r="P138" i="5"/>
  <c r="O138" i="5"/>
  <c r="N138" i="5"/>
  <c r="M138" i="5"/>
  <c r="L138" i="5"/>
  <c r="K138" i="5"/>
  <c r="P137" i="5"/>
  <c r="O137" i="5"/>
  <c r="N137" i="5"/>
  <c r="M137" i="5"/>
  <c r="L137" i="5"/>
  <c r="K137" i="5"/>
  <c r="P136" i="5"/>
  <c r="O136" i="5"/>
  <c r="N136" i="5"/>
  <c r="M136" i="5"/>
  <c r="L136" i="5"/>
  <c r="K136" i="5"/>
  <c r="P135" i="5"/>
  <c r="O135" i="5"/>
  <c r="N135" i="5"/>
  <c r="M135" i="5"/>
  <c r="L135" i="5"/>
  <c r="K135" i="5"/>
  <c r="P134" i="5"/>
  <c r="O134" i="5"/>
  <c r="N134" i="5"/>
  <c r="M134" i="5"/>
  <c r="L134" i="5"/>
  <c r="K134" i="5"/>
  <c r="P133" i="5"/>
  <c r="O133" i="5"/>
  <c r="N133" i="5"/>
  <c r="M133" i="5"/>
  <c r="L133" i="5"/>
  <c r="K133" i="5"/>
  <c r="P132" i="5"/>
  <c r="O132" i="5"/>
  <c r="N132" i="5"/>
  <c r="M132" i="5"/>
  <c r="L132" i="5"/>
  <c r="K132" i="5"/>
  <c r="P131" i="5"/>
  <c r="O131" i="5"/>
  <c r="N131" i="5"/>
  <c r="M131" i="5"/>
  <c r="L131" i="5"/>
  <c r="K131" i="5"/>
  <c r="P130" i="5"/>
  <c r="O130" i="5"/>
  <c r="N130" i="5"/>
  <c r="M130" i="5"/>
  <c r="L130" i="5"/>
  <c r="K130" i="5"/>
  <c r="P129" i="5"/>
  <c r="O129" i="5"/>
  <c r="N129" i="5"/>
  <c r="M129" i="5"/>
  <c r="L129" i="5"/>
  <c r="K129" i="5"/>
  <c r="P128" i="5"/>
  <c r="O128" i="5"/>
  <c r="N128" i="5"/>
  <c r="M128" i="5"/>
  <c r="L128" i="5"/>
  <c r="K128" i="5"/>
  <c r="P127" i="5"/>
  <c r="O127" i="5"/>
  <c r="N127" i="5"/>
  <c r="M127" i="5"/>
  <c r="L127" i="5"/>
  <c r="K127" i="5"/>
  <c r="P126" i="5"/>
  <c r="O126" i="5"/>
  <c r="N126" i="5"/>
  <c r="M126" i="5"/>
  <c r="L126" i="5"/>
  <c r="K126" i="5"/>
  <c r="P125" i="5"/>
  <c r="O125" i="5"/>
  <c r="N125" i="5"/>
  <c r="M125" i="5"/>
  <c r="L125" i="5"/>
  <c r="K125" i="5"/>
  <c r="P124" i="5"/>
  <c r="O124" i="5"/>
  <c r="N124" i="5"/>
  <c r="M124" i="5"/>
  <c r="L124" i="5"/>
  <c r="K124" i="5"/>
  <c r="P123" i="5"/>
  <c r="O123" i="5"/>
  <c r="N123" i="5"/>
  <c r="M123" i="5"/>
  <c r="L123" i="5"/>
  <c r="K123" i="5"/>
  <c r="P122" i="5"/>
  <c r="O122" i="5"/>
  <c r="N122" i="5"/>
  <c r="M122" i="5"/>
  <c r="L122" i="5"/>
  <c r="K122" i="5"/>
  <c r="P121" i="5"/>
  <c r="O121" i="5"/>
  <c r="N121" i="5"/>
  <c r="M121" i="5"/>
  <c r="L121" i="5"/>
  <c r="K121" i="5"/>
  <c r="P120" i="5"/>
  <c r="O120" i="5"/>
  <c r="N120" i="5"/>
  <c r="M120" i="5"/>
  <c r="L120" i="5"/>
  <c r="K120" i="5"/>
  <c r="P119" i="5"/>
  <c r="O119" i="5"/>
  <c r="N119" i="5"/>
  <c r="M119" i="5"/>
  <c r="L119" i="5"/>
  <c r="K119" i="5"/>
  <c r="P118" i="5"/>
  <c r="O118" i="5"/>
  <c r="N118" i="5"/>
  <c r="M118" i="5"/>
  <c r="L118" i="5"/>
  <c r="K118" i="5"/>
  <c r="P117" i="5"/>
  <c r="O117" i="5"/>
  <c r="N117" i="5"/>
  <c r="M117" i="5"/>
  <c r="L117" i="5"/>
  <c r="K117" i="5"/>
  <c r="P116" i="5"/>
  <c r="O116" i="5"/>
  <c r="N116" i="5"/>
  <c r="M116" i="5"/>
  <c r="L116" i="5"/>
  <c r="K116" i="5"/>
  <c r="P115" i="5"/>
  <c r="O115" i="5"/>
  <c r="N115" i="5"/>
  <c r="M115" i="5"/>
  <c r="L115" i="5"/>
  <c r="K115" i="5"/>
  <c r="P114" i="5"/>
  <c r="O114" i="5"/>
  <c r="N114" i="5"/>
  <c r="M114" i="5"/>
  <c r="L114" i="5"/>
  <c r="K114" i="5"/>
  <c r="P113" i="5"/>
  <c r="O113" i="5"/>
  <c r="N113" i="5"/>
  <c r="M113" i="5"/>
  <c r="L113" i="5"/>
  <c r="K113" i="5"/>
  <c r="P112" i="5"/>
  <c r="O112" i="5"/>
  <c r="N112" i="5"/>
  <c r="M112" i="5"/>
  <c r="L112" i="5"/>
  <c r="K112" i="5"/>
  <c r="P111" i="5"/>
  <c r="O111" i="5"/>
  <c r="N111" i="5"/>
  <c r="M111" i="5"/>
  <c r="L111" i="5"/>
  <c r="K111" i="5"/>
  <c r="P110" i="5"/>
  <c r="O110" i="5"/>
  <c r="N110" i="5"/>
  <c r="M110" i="5"/>
  <c r="L110" i="5"/>
  <c r="K110" i="5"/>
  <c r="P109" i="5"/>
  <c r="O109" i="5"/>
  <c r="N109" i="5"/>
  <c r="M109" i="5"/>
  <c r="L109" i="5"/>
  <c r="K109" i="5"/>
  <c r="P108" i="5"/>
  <c r="O108" i="5"/>
  <c r="N108" i="5"/>
  <c r="M108" i="5"/>
  <c r="L108" i="5"/>
  <c r="K108" i="5"/>
  <c r="P107" i="5"/>
  <c r="O107" i="5"/>
  <c r="N107" i="5"/>
  <c r="M107" i="5"/>
  <c r="L107" i="5"/>
  <c r="K107" i="5"/>
  <c r="P106" i="5"/>
  <c r="O106" i="5"/>
  <c r="N106" i="5"/>
  <c r="M106" i="5"/>
  <c r="L106" i="5"/>
  <c r="K106" i="5"/>
  <c r="P105" i="5"/>
  <c r="O105" i="5"/>
  <c r="N105" i="5"/>
  <c r="M105" i="5"/>
  <c r="L105" i="5"/>
  <c r="K105" i="5"/>
  <c r="P104" i="5"/>
  <c r="O104" i="5"/>
  <c r="N104" i="5"/>
  <c r="M104" i="5"/>
  <c r="L104" i="5"/>
  <c r="K104" i="5"/>
  <c r="P103" i="5"/>
  <c r="O103" i="5"/>
  <c r="N103" i="5"/>
  <c r="M103" i="5"/>
  <c r="L103" i="5"/>
  <c r="K103" i="5"/>
  <c r="P102" i="5"/>
  <c r="O102" i="5"/>
  <c r="N102" i="5"/>
  <c r="M102" i="5"/>
  <c r="L102" i="5"/>
  <c r="K102" i="5"/>
  <c r="P101" i="5"/>
  <c r="O101" i="5"/>
  <c r="N101" i="5"/>
  <c r="M101" i="5"/>
  <c r="L101" i="5"/>
  <c r="K101" i="5"/>
  <c r="P100" i="5"/>
  <c r="O100" i="5"/>
  <c r="N100" i="5"/>
  <c r="M100" i="5"/>
  <c r="L100" i="5"/>
  <c r="K100" i="5"/>
  <c r="P99" i="5"/>
  <c r="O99" i="5"/>
  <c r="N99" i="5"/>
  <c r="M99" i="5"/>
  <c r="L99" i="5"/>
  <c r="K99" i="5"/>
  <c r="P98" i="5"/>
  <c r="O98" i="5"/>
  <c r="N98" i="5"/>
  <c r="M98" i="5"/>
  <c r="L98" i="5"/>
  <c r="K98" i="5"/>
  <c r="P97" i="5"/>
  <c r="O97" i="5"/>
  <c r="N97" i="5"/>
  <c r="M97" i="5"/>
  <c r="L97" i="5"/>
  <c r="K97" i="5"/>
  <c r="P96" i="5"/>
  <c r="O96" i="5"/>
  <c r="N96" i="5"/>
  <c r="M96" i="5"/>
  <c r="L96" i="5"/>
  <c r="K96" i="5"/>
  <c r="P95" i="5"/>
  <c r="O95" i="5"/>
  <c r="N95" i="5"/>
  <c r="M95" i="5"/>
  <c r="L95" i="5"/>
  <c r="K95" i="5"/>
  <c r="P94" i="5"/>
  <c r="O94" i="5"/>
  <c r="N94" i="5"/>
  <c r="M94" i="5"/>
  <c r="L94" i="5"/>
  <c r="K94" i="5"/>
  <c r="P93" i="5"/>
  <c r="O93" i="5"/>
  <c r="N93" i="5"/>
  <c r="M93" i="5"/>
  <c r="L93" i="5"/>
  <c r="K93" i="5"/>
  <c r="P92" i="5"/>
  <c r="O92" i="5"/>
  <c r="N92" i="5"/>
  <c r="M92" i="5"/>
  <c r="L92" i="5"/>
  <c r="K92" i="5"/>
  <c r="P91" i="5"/>
  <c r="O91" i="5"/>
  <c r="N91" i="5"/>
  <c r="M91" i="5"/>
  <c r="L91" i="5"/>
  <c r="K91" i="5"/>
  <c r="P90" i="5"/>
  <c r="O90" i="5"/>
  <c r="N90" i="5"/>
  <c r="M90" i="5"/>
  <c r="L90" i="5"/>
  <c r="K90" i="5"/>
  <c r="P89" i="5"/>
  <c r="O89" i="5"/>
  <c r="N89" i="5"/>
  <c r="M89" i="5"/>
  <c r="L89" i="5"/>
  <c r="K89" i="5"/>
  <c r="P88" i="5"/>
  <c r="O88" i="5"/>
  <c r="N88" i="5"/>
  <c r="M88" i="5"/>
  <c r="L88" i="5"/>
  <c r="K88" i="5"/>
  <c r="P87" i="5"/>
  <c r="O87" i="5"/>
  <c r="N87" i="5"/>
  <c r="M87" i="5"/>
  <c r="L87" i="5"/>
  <c r="K87" i="5"/>
  <c r="P86" i="5"/>
  <c r="O86" i="5"/>
  <c r="N86" i="5"/>
  <c r="M86" i="5"/>
  <c r="L86" i="5"/>
  <c r="K86" i="5"/>
  <c r="P85" i="5"/>
  <c r="O85" i="5"/>
  <c r="N85" i="5"/>
  <c r="M85" i="5"/>
  <c r="L85" i="5"/>
  <c r="K85" i="5"/>
  <c r="P84" i="5"/>
  <c r="O84" i="5"/>
  <c r="N84" i="5"/>
  <c r="M84" i="5"/>
  <c r="L84" i="5"/>
  <c r="K84" i="5"/>
  <c r="P83" i="5"/>
  <c r="O83" i="5"/>
  <c r="N83" i="5"/>
  <c r="M83" i="5"/>
  <c r="L83" i="5"/>
  <c r="K83" i="5"/>
  <c r="P82" i="5"/>
  <c r="O82" i="5"/>
  <c r="N82" i="5"/>
  <c r="M82" i="5"/>
  <c r="L82" i="5"/>
  <c r="K82" i="5"/>
  <c r="P81" i="5"/>
  <c r="O81" i="5"/>
  <c r="N81" i="5"/>
  <c r="M81" i="5"/>
  <c r="L81" i="5"/>
  <c r="K81" i="5"/>
  <c r="P80" i="5"/>
  <c r="O80" i="5"/>
  <c r="N80" i="5"/>
  <c r="M80" i="5"/>
  <c r="L80" i="5"/>
  <c r="K80" i="5"/>
  <c r="P79" i="5"/>
  <c r="O79" i="5"/>
  <c r="N79" i="5"/>
  <c r="M79" i="5"/>
  <c r="L79" i="5"/>
  <c r="K79" i="5"/>
  <c r="P78" i="5"/>
  <c r="O78" i="5"/>
  <c r="N78" i="5"/>
  <c r="M78" i="5"/>
  <c r="L78" i="5"/>
  <c r="K78" i="5"/>
  <c r="P77" i="5"/>
  <c r="O77" i="5"/>
  <c r="N77" i="5"/>
  <c r="M77" i="5"/>
  <c r="L77" i="5"/>
  <c r="K77" i="5"/>
  <c r="P76" i="5"/>
  <c r="O76" i="5"/>
  <c r="N76" i="5"/>
  <c r="M76" i="5"/>
  <c r="L76" i="5"/>
  <c r="K76" i="5"/>
  <c r="P75" i="5"/>
  <c r="O75" i="5"/>
  <c r="N75" i="5"/>
  <c r="M75" i="5"/>
  <c r="L75" i="5"/>
  <c r="K75" i="5"/>
  <c r="P74" i="5"/>
  <c r="O74" i="5"/>
  <c r="N74" i="5"/>
  <c r="M74" i="5"/>
  <c r="L74" i="5"/>
  <c r="K74" i="5"/>
  <c r="P73" i="5"/>
  <c r="O73" i="5"/>
  <c r="N73" i="5"/>
  <c r="M73" i="5"/>
  <c r="L73" i="5"/>
  <c r="K73" i="5"/>
  <c r="P72" i="5"/>
  <c r="O72" i="5"/>
  <c r="N72" i="5"/>
  <c r="M72" i="5"/>
  <c r="L72" i="5"/>
  <c r="K72" i="5"/>
  <c r="P71" i="5"/>
  <c r="O71" i="5"/>
  <c r="N71" i="5"/>
  <c r="M71" i="5"/>
  <c r="L71" i="5"/>
  <c r="K71" i="5"/>
  <c r="P70" i="5"/>
  <c r="O70" i="5"/>
  <c r="N70" i="5"/>
  <c r="M70" i="5"/>
  <c r="L70" i="5"/>
  <c r="K70" i="5"/>
  <c r="P69" i="5"/>
  <c r="O69" i="5"/>
  <c r="N69" i="5"/>
  <c r="M69" i="5"/>
  <c r="L69" i="5"/>
  <c r="K69" i="5"/>
  <c r="P68" i="5"/>
  <c r="O68" i="5"/>
  <c r="N68" i="5"/>
  <c r="M68" i="5"/>
  <c r="L68" i="5"/>
  <c r="K68" i="5"/>
  <c r="P67" i="5"/>
  <c r="O67" i="5"/>
  <c r="N67" i="5"/>
  <c r="M67" i="5"/>
  <c r="L67" i="5"/>
  <c r="K67" i="5"/>
  <c r="P66" i="5"/>
  <c r="O66" i="5"/>
  <c r="N66" i="5"/>
  <c r="M66" i="5"/>
  <c r="L66" i="5"/>
  <c r="K66" i="5"/>
  <c r="P65" i="5"/>
  <c r="O65" i="5"/>
  <c r="N65" i="5"/>
  <c r="M65" i="5"/>
  <c r="L65" i="5"/>
  <c r="K65" i="5"/>
  <c r="P64" i="5"/>
  <c r="O64" i="5"/>
  <c r="N64" i="5"/>
  <c r="M64" i="5"/>
  <c r="L64" i="5"/>
  <c r="K64" i="5"/>
  <c r="P63" i="5"/>
  <c r="O63" i="5"/>
  <c r="N63" i="5"/>
  <c r="M63" i="5"/>
  <c r="L63" i="5"/>
  <c r="K63" i="5"/>
  <c r="P62" i="5"/>
  <c r="O62" i="5"/>
  <c r="N62" i="5"/>
  <c r="M62" i="5"/>
  <c r="L62" i="5"/>
  <c r="K62" i="5"/>
  <c r="P61" i="5"/>
  <c r="O61" i="5"/>
  <c r="N61" i="5"/>
  <c r="M61" i="5"/>
  <c r="L61" i="5"/>
  <c r="K61" i="5"/>
  <c r="P60" i="5"/>
  <c r="O60" i="5"/>
  <c r="N60" i="5"/>
  <c r="M60" i="5"/>
  <c r="L60" i="5"/>
  <c r="K60" i="5"/>
  <c r="P59" i="5"/>
  <c r="O59" i="5"/>
  <c r="N59" i="5"/>
  <c r="M59" i="5"/>
  <c r="L59" i="5"/>
  <c r="K59" i="5"/>
  <c r="P58" i="5"/>
  <c r="O58" i="5"/>
  <c r="N58" i="5"/>
  <c r="M58" i="5"/>
  <c r="L58" i="5"/>
  <c r="K58" i="5"/>
  <c r="P57" i="5"/>
  <c r="O57" i="5"/>
  <c r="N57" i="5"/>
  <c r="M57" i="5"/>
  <c r="L57" i="5"/>
  <c r="K57" i="5"/>
  <c r="P56" i="5"/>
  <c r="O56" i="5"/>
  <c r="N56" i="5"/>
  <c r="M56" i="5"/>
  <c r="L56" i="5"/>
  <c r="K56" i="5"/>
  <c r="P55" i="5"/>
  <c r="O55" i="5"/>
  <c r="N55" i="5"/>
  <c r="M55" i="5"/>
  <c r="L55" i="5"/>
  <c r="K55" i="5"/>
  <c r="P54" i="5"/>
  <c r="O54" i="5"/>
  <c r="N54" i="5"/>
  <c r="M54" i="5"/>
  <c r="L54" i="5"/>
  <c r="K54" i="5"/>
  <c r="P53" i="5"/>
  <c r="O53" i="5"/>
  <c r="N53" i="5"/>
  <c r="M53" i="5"/>
  <c r="L53" i="5"/>
  <c r="K53" i="5"/>
  <c r="P52" i="5"/>
  <c r="O52" i="5"/>
  <c r="N52" i="5"/>
  <c r="M52" i="5"/>
  <c r="L52" i="5"/>
  <c r="K52" i="5"/>
  <c r="P51" i="5"/>
  <c r="O51" i="5"/>
  <c r="N51" i="5"/>
  <c r="M51" i="5"/>
  <c r="L51" i="5"/>
  <c r="K51" i="5"/>
  <c r="P50" i="5"/>
  <c r="O50" i="5"/>
  <c r="N50" i="5"/>
  <c r="M50" i="5"/>
  <c r="L50" i="5"/>
  <c r="K50" i="5"/>
  <c r="P49" i="5"/>
  <c r="O49" i="5"/>
  <c r="N49" i="5"/>
  <c r="M49" i="5"/>
  <c r="L49" i="5"/>
  <c r="K49" i="5"/>
  <c r="P48" i="5"/>
  <c r="O48" i="5"/>
  <c r="N48" i="5"/>
  <c r="M48" i="5"/>
  <c r="L48" i="5"/>
  <c r="K48" i="5"/>
  <c r="P47" i="5"/>
  <c r="O47" i="5"/>
  <c r="N47" i="5"/>
  <c r="M47" i="5"/>
  <c r="L47" i="5"/>
  <c r="K47" i="5"/>
  <c r="P46" i="5"/>
  <c r="O46" i="5"/>
  <c r="N46" i="5"/>
  <c r="M46" i="5"/>
  <c r="L46" i="5"/>
  <c r="K46" i="5"/>
  <c r="P45" i="5"/>
  <c r="O45" i="5"/>
  <c r="N45" i="5"/>
  <c r="M45" i="5"/>
  <c r="L45" i="5"/>
  <c r="K45" i="5"/>
  <c r="P44" i="5"/>
  <c r="O44" i="5"/>
  <c r="N44" i="5"/>
  <c r="M44" i="5"/>
  <c r="L44" i="5"/>
  <c r="K44" i="5"/>
  <c r="P43" i="5"/>
  <c r="O43" i="5"/>
  <c r="N43" i="5"/>
  <c r="M43" i="5"/>
  <c r="L43" i="5"/>
  <c r="K43" i="5"/>
  <c r="P42" i="5"/>
  <c r="O42" i="5"/>
  <c r="N42" i="5"/>
  <c r="M42" i="5"/>
  <c r="L42" i="5"/>
  <c r="K42" i="5"/>
  <c r="P41" i="5"/>
  <c r="O41" i="5"/>
  <c r="N41" i="5"/>
  <c r="M41" i="5"/>
  <c r="L41" i="5"/>
  <c r="K41" i="5"/>
  <c r="P40" i="5"/>
  <c r="O40" i="5"/>
  <c r="N40" i="5"/>
  <c r="M40" i="5"/>
  <c r="L40" i="5"/>
  <c r="K40" i="5"/>
  <c r="P39" i="5"/>
  <c r="O39" i="5"/>
  <c r="N39" i="5"/>
  <c r="M39" i="5"/>
  <c r="L39" i="5"/>
  <c r="K39" i="5"/>
  <c r="P38" i="5"/>
  <c r="O38" i="5"/>
  <c r="N38" i="5"/>
  <c r="M38" i="5"/>
  <c r="L38" i="5"/>
  <c r="K38" i="5"/>
  <c r="P37" i="5"/>
  <c r="O37" i="5"/>
  <c r="N37" i="5"/>
  <c r="M37" i="5"/>
  <c r="L37" i="5"/>
  <c r="K37" i="5"/>
  <c r="P36" i="5"/>
  <c r="O36" i="5"/>
  <c r="N36" i="5"/>
  <c r="M36" i="5"/>
  <c r="L36" i="5"/>
  <c r="K36" i="5"/>
  <c r="P35" i="5"/>
  <c r="O35" i="5"/>
  <c r="N35" i="5"/>
  <c r="M35" i="5"/>
  <c r="L35" i="5"/>
  <c r="K35" i="5"/>
  <c r="P34" i="5"/>
  <c r="O34" i="5"/>
  <c r="N34" i="5"/>
  <c r="M34" i="5"/>
  <c r="L34" i="5"/>
  <c r="K34" i="5"/>
  <c r="P33" i="5"/>
  <c r="O33" i="5"/>
  <c r="N33" i="5"/>
  <c r="M33" i="5"/>
  <c r="L33" i="5"/>
  <c r="K33" i="5"/>
  <c r="P32" i="5"/>
  <c r="O32" i="5"/>
  <c r="N32" i="5"/>
  <c r="M32" i="5"/>
  <c r="L32" i="5"/>
  <c r="K32" i="5"/>
  <c r="P31" i="5"/>
  <c r="O31" i="5"/>
  <c r="N31" i="5"/>
  <c r="M31" i="5"/>
  <c r="L31" i="5"/>
  <c r="K31" i="5"/>
  <c r="P30" i="5"/>
  <c r="O30" i="5"/>
  <c r="N30" i="5"/>
  <c r="M30" i="5"/>
  <c r="L30" i="5"/>
  <c r="K30" i="5"/>
  <c r="P29" i="5"/>
  <c r="O29" i="5"/>
  <c r="N29" i="5"/>
  <c r="M29" i="5"/>
  <c r="L29" i="5"/>
  <c r="K29" i="5"/>
  <c r="P28" i="5"/>
  <c r="O28" i="5"/>
  <c r="N28" i="5"/>
  <c r="M28" i="5"/>
  <c r="L28" i="5"/>
  <c r="K28" i="5"/>
  <c r="P27" i="5"/>
  <c r="O27" i="5"/>
  <c r="N27" i="5"/>
  <c r="M27" i="5"/>
  <c r="L27" i="5"/>
  <c r="K27" i="5"/>
  <c r="P26" i="5"/>
  <c r="O26" i="5"/>
  <c r="N26" i="5"/>
  <c r="M26" i="5"/>
  <c r="L26" i="5"/>
  <c r="K26" i="5"/>
  <c r="P25" i="5"/>
  <c r="O25" i="5"/>
  <c r="N25" i="5"/>
  <c r="M25" i="5"/>
  <c r="L25" i="5"/>
  <c r="K25" i="5"/>
  <c r="P24" i="5"/>
  <c r="O24" i="5"/>
  <c r="N24" i="5"/>
  <c r="M24" i="5"/>
  <c r="L24" i="5"/>
  <c r="K24" i="5"/>
  <c r="P23" i="5"/>
  <c r="O23" i="5"/>
  <c r="N23" i="5"/>
  <c r="M23" i="5"/>
  <c r="L23" i="5"/>
  <c r="K23" i="5"/>
  <c r="P22" i="5"/>
  <c r="O22" i="5"/>
  <c r="N22" i="5"/>
  <c r="M22" i="5"/>
  <c r="L22" i="5"/>
  <c r="K22" i="5"/>
  <c r="P21" i="5"/>
  <c r="O21" i="5"/>
  <c r="N21" i="5"/>
  <c r="M21" i="5"/>
  <c r="L21" i="5"/>
  <c r="K21" i="5"/>
  <c r="P20" i="5"/>
  <c r="O20" i="5"/>
  <c r="N20" i="5"/>
  <c r="M20" i="5"/>
  <c r="L20" i="5"/>
  <c r="K20" i="5"/>
  <c r="P19" i="5"/>
  <c r="O19" i="5"/>
  <c r="N19" i="5"/>
  <c r="M19" i="5"/>
  <c r="L19" i="5"/>
  <c r="K19" i="5"/>
  <c r="P18" i="5"/>
  <c r="O18" i="5"/>
  <c r="N18" i="5"/>
  <c r="M18" i="5"/>
  <c r="L18" i="5"/>
  <c r="K18" i="5"/>
  <c r="P17" i="5"/>
  <c r="O17" i="5"/>
  <c r="N17" i="5"/>
  <c r="M17" i="5"/>
  <c r="L17" i="5"/>
  <c r="K17" i="5"/>
  <c r="P16" i="5"/>
  <c r="O16" i="5"/>
  <c r="N16" i="5"/>
  <c r="M16" i="5"/>
  <c r="L16" i="5"/>
  <c r="K16" i="5"/>
  <c r="P15" i="5"/>
  <c r="O15" i="5"/>
  <c r="N15" i="5"/>
  <c r="M15" i="5"/>
  <c r="L15" i="5"/>
  <c r="K15" i="5"/>
  <c r="P14" i="5"/>
  <c r="O14" i="5"/>
  <c r="N14" i="5"/>
  <c r="M14" i="5"/>
  <c r="L14" i="5"/>
  <c r="K14" i="5"/>
  <c r="P13" i="5"/>
  <c r="O13" i="5"/>
  <c r="N13" i="5"/>
  <c r="M13" i="5"/>
  <c r="L13" i="5"/>
  <c r="K13" i="5"/>
  <c r="P12" i="5"/>
  <c r="O12" i="5"/>
  <c r="N12" i="5"/>
  <c r="M12" i="5"/>
  <c r="L12" i="5"/>
  <c r="K12" i="5"/>
  <c r="P11" i="5"/>
  <c r="O11" i="5"/>
  <c r="N11" i="5"/>
  <c r="M11" i="5"/>
  <c r="L11" i="5"/>
  <c r="K11" i="5"/>
  <c r="X10" i="5"/>
  <c r="W10" i="5"/>
  <c r="V10" i="5"/>
  <c r="T10" i="5"/>
  <c r="S10" i="5"/>
  <c r="P10" i="5"/>
  <c r="O10" i="5"/>
  <c r="N10" i="5"/>
  <c r="M10" i="5"/>
  <c r="L10" i="5"/>
  <c r="K10" i="5"/>
  <c r="AB9" i="5"/>
  <c r="X9" i="5"/>
  <c r="W9" i="5"/>
  <c r="V9" i="5"/>
  <c r="U9" i="5"/>
  <c r="T9" i="5"/>
  <c r="S9" i="5"/>
  <c r="P9" i="5"/>
  <c r="O9" i="5"/>
  <c r="N9" i="5"/>
  <c r="M9" i="5"/>
  <c r="L9" i="5"/>
  <c r="K9" i="5"/>
  <c r="AB8" i="5"/>
  <c r="AA8" i="5"/>
  <c r="X8" i="5"/>
  <c r="W8" i="5"/>
  <c r="V8" i="5"/>
  <c r="U8" i="5"/>
  <c r="T8" i="5"/>
  <c r="S8" i="5"/>
  <c r="P8" i="5"/>
  <c r="O8" i="5"/>
  <c r="N8" i="5"/>
  <c r="M8" i="5"/>
  <c r="L8" i="5"/>
  <c r="K8" i="5"/>
  <c r="AA7" i="5"/>
  <c r="X7" i="5"/>
  <c r="W7" i="5"/>
  <c r="V7" i="5"/>
  <c r="U7" i="5"/>
  <c r="T7" i="5"/>
  <c r="S7" i="5"/>
  <c r="P7" i="5"/>
  <c r="O7" i="5"/>
  <c r="N7" i="5"/>
  <c r="M7" i="5"/>
  <c r="L7" i="5"/>
  <c r="K7" i="5"/>
  <c r="I7" i="5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I475" i="5" s="1"/>
  <c r="I476" i="5" s="1"/>
  <c r="I477" i="5" s="1"/>
  <c r="I478" i="5" s="1"/>
  <c r="I479" i="5" s="1"/>
  <c r="I480" i="5" s="1"/>
  <c r="I481" i="5" s="1"/>
  <c r="I482" i="5" s="1"/>
  <c r="I483" i="5" s="1"/>
  <c r="I484" i="5" s="1"/>
  <c r="I485" i="5" s="1"/>
  <c r="I486" i="5" s="1"/>
  <c r="I487" i="5" s="1"/>
  <c r="I488" i="5" s="1"/>
  <c r="I489" i="5" s="1"/>
  <c r="I490" i="5" s="1"/>
  <c r="I491" i="5" s="1"/>
  <c r="I492" i="5" s="1"/>
  <c r="I493" i="5" s="1"/>
  <c r="I494" i="5" s="1"/>
  <c r="I495" i="5" s="1"/>
  <c r="I496" i="5" s="1"/>
  <c r="I497" i="5" s="1"/>
  <c r="I498" i="5" s="1"/>
  <c r="I499" i="5" s="1"/>
  <c r="I500" i="5" s="1"/>
  <c r="I501" i="5" s="1"/>
  <c r="I502" i="5" s="1"/>
  <c r="I503" i="5" s="1"/>
  <c r="I504" i="5" s="1"/>
  <c r="I505" i="5" s="1"/>
  <c r="I506" i="5" s="1"/>
  <c r="I507" i="5" s="1"/>
  <c r="I508" i="5" s="1"/>
  <c r="I509" i="5" s="1"/>
  <c r="I510" i="5" s="1"/>
  <c r="I511" i="5" s="1"/>
  <c r="I512" i="5" s="1"/>
  <c r="I513" i="5" s="1"/>
  <c r="I514" i="5" s="1"/>
  <c r="I515" i="5" s="1"/>
  <c r="I516" i="5" s="1"/>
  <c r="I517" i="5" s="1"/>
  <c r="I518" i="5" s="1"/>
  <c r="I519" i="5" s="1"/>
  <c r="I520" i="5" s="1"/>
  <c r="I521" i="5" s="1"/>
  <c r="I522" i="5" s="1"/>
  <c r="I523" i="5" s="1"/>
  <c r="I524" i="5" s="1"/>
  <c r="I525" i="5" s="1"/>
  <c r="I526" i="5" s="1"/>
  <c r="I527" i="5" s="1"/>
  <c r="I528" i="5" s="1"/>
  <c r="I529" i="5" s="1"/>
  <c r="I530" i="5" s="1"/>
  <c r="I531" i="5" s="1"/>
  <c r="I532" i="5" s="1"/>
  <c r="I533" i="5" s="1"/>
  <c r="I534" i="5" s="1"/>
  <c r="I535" i="5" s="1"/>
  <c r="I536" i="5" s="1"/>
  <c r="I537" i="5" s="1"/>
  <c r="I538" i="5" s="1"/>
  <c r="I539" i="5" s="1"/>
  <c r="I540" i="5" s="1"/>
  <c r="I541" i="5" s="1"/>
  <c r="I542" i="5" s="1"/>
  <c r="I543" i="5" s="1"/>
  <c r="I544" i="5" s="1"/>
  <c r="I545" i="5" s="1"/>
  <c r="I546" i="5" s="1"/>
  <c r="I547" i="5" s="1"/>
  <c r="I548" i="5" s="1"/>
  <c r="I549" i="5" s="1"/>
  <c r="I550" i="5" s="1"/>
  <c r="I551" i="5" s="1"/>
  <c r="I552" i="5" s="1"/>
  <c r="I553" i="5" s="1"/>
  <c r="I554" i="5" s="1"/>
  <c r="I555" i="5" s="1"/>
  <c r="I556" i="5" s="1"/>
  <c r="I557" i="5" s="1"/>
  <c r="I558" i="5" s="1"/>
  <c r="I559" i="5" s="1"/>
  <c r="I560" i="5" s="1"/>
  <c r="I561" i="5" s="1"/>
  <c r="I562" i="5" s="1"/>
  <c r="I563" i="5" s="1"/>
  <c r="I564" i="5" s="1"/>
  <c r="I565" i="5" s="1"/>
  <c r="I566" i="5" s="1"/>
  <c r="I567" i="5" s="1"/>
  <c r="I568" i="5" s="1"/>
  <c r="I569" i="5" s="1"/>
  <c r="I570" i="5" s="1"/>
  <c r="I571" i="5" s="1"/>
  <c r="I572" i="5" s="1"/>
  <c r="I573" i="5" s="1"/>
  <c r="I574" i="5" s="1"/>
  <c r="I575" i="5" s="1"/>
  <c r="I576" i="5" s="1"/>
  <c r="I577" i="5" s="1"/>
  <c r="I578" i="5" s="1"/>
  <c r="I579" i="5" s="1"/>
  <c r="I580" i="5" s="1"/>
  <c r="I581" i="5" s="1"/>
  <c r="I582" i="5" s="1"/>
  <c r="I583" i="5" s="1"/>
  <c r="I584" i="5" s="1"/>
  <c r="I585" i="5" s="1"/>
  <c r="I586" i="5" s="1"/>
  <c r="I587" i="5" s="1"/>
  <c r="I588" i="5" s="1"/>
  <c r="I589" i="5" s="1"/>
  <c r="I590" i="5" s="1"/>
  <c r="I591" i="5" s="1"/>
  <c r="I592" i="5" s="1"/>
  <c r="I593" i="5" s="1"/>
  <c r="I594" i="5" s="1"/>
  <c r="I595" i="5" s="1"/>
  <c r="I596" i="5" s="1"/>
  <c r="I597" i="5" s="1"/>
  <c r="I598" i="5" s="1"/>
  <c r="I599" i="5" s="1"/>
  <c r="I600" i="5" s="1"/>
  <c r="I601" i="5" s="1"/>
  <c r="I602" i="5" s="1"/>
  <c r="I603" i="5" s="1"/>
  <c r="I604" i="5" s="1"/>
  <c r="I605" i="5" s="1"/>
  <c r="I606" i="5" s="1"/>
  <c r="I607" i="5" s="1"/>
  <c r="I608" i="5" s="1"/>
  <c r="I609" i="5" s="1"/>
  <c r="I610" i="5" s="1"/>
  <c r="I611" i="5" s="1"/>
  <c r="I612" i="5" s="1"/>
  <c r="I613" i="5" s="1"/>
  <c r="I614" i="5" s="1"/>
  <c r="I615" i="5" s="1"/>
  <c r="I616" i="5" s="1"/>
  <c r="I617" i="5" s="1"/>
  <c r="I618" i="5" s="1"/>
  <c r="I619" i="5" s="1"/>
  <c r="I620" i="5" s="1"/>
  <c r="I621" i="5" s="1"/>
  <c r="I622" i="5" s="1"/>
  <c r="I623" i="5" s="1"/>
  <c r="I624" i="5" s="1"/>
  <c r="I625" i="5" s="1"/>
  <c r="I626" i="5" s="1"/>
  <c r="I627" i="5" s="1"/>
  <c r="I628" i="5" s="1"/>
  <c r="I629" i="5" s="1"/>
  <c r="I630" i="5" s="1"/>
  <c r="I631" i="5" s="1"/>
  <c r="I632" i="5" s="1"/>
  <c r="I633" i="5" s="1"/>
  <c r="I634" i="5" s="1"/>
  <c r="I635" i="5" s="1"/>
  <c r="I636" i="5" s="1"/>
  <c r="I637" i="5" s="1"/>
  <c r="I638" i="5" s="1"/>
  <c r="I639" i="5" s="1"/>
  <c r="I640" i="5" s="1"/>
  <c r="I641" i="5" s="1"/>
  <c r="I642" i="5" s="1"/>
  <c r="I643" i="5" s="1"/>
  <c r="I644" i="5" s="1"/>
  <c r="I645" i="5" s="1"/>
  <c r="I646" i="5" s="1"/>
  <c r="I647" i="5" s="1"/>
  <c r="I648" i="5" s="1"/>
  <c r="I649" i="5" s="1"/>
  <c r="I650" i="5" s="1"/>
  <c r="I651" i="5" s="1"/>
  <c r="I652" i="5" s="1"/>
  <c r="I653" i="5" s="1"/>
  <c r="I654" i="5" s="1"/>
  <c r="I655" i="5" s="1"/>
  <c r="I656" i="5" s="1"/>
  <c r="AB6" i="5"/>
  <c r="AA6" i="5"/>
  <c r="X6" i="5"/>
  <c r="W6" i="5"/>
  <c r="V6" i="5"/>
  <c r="U6" i="5"/>
  <c r="T6" i="5"/>
  <c r="S6" i="5"/>
  <c r="P6" i="5"/>
  <c r="O6" i="5"/>
  <c r="N6" i="5"/>
  <c r="M6" i="5"/>
  <c r="L6" i="5"/>
  <c r="K6" i="5"/>
  <c r="I6" i="5"/>
  <c r="AB5" i="5"/>
  <c r="AA5" i="5"/>
  <c r="X5" i="5"/>
  <c r="W5" i="5"/>
  <c r="V5" i="5"/>
  <c r="U5" i="5"/>
  <c r="T5" i="5"/>
  <c r="S5" i="5"/>
  <c r="P5" i="5"/>
  <c r="O5" i="5"/>
  <c r="N5" i="5"/>
  <c r="M5" i="5"/>
  <c r="L5" i="5"/>
  <c r="K5" i="5"/>
  <c r="F126" i="10"/>
  <c r="D126" i="10"/>
  <c r="F125" i="10"/>
  <c r="D125" i="10"/>
  <c r="F124" i="10"/>
  <c r="D124" i="10"/>
  <c r="F123" i="10"/>
  <c r="D123" i="10"/>
  <c r="F122" i="10"/>
  <c r="D122" i="10"/>
  <c r="F121" i="10"/>
  <c r="D121" i="10"/>
  <c r="F120" i="10"/>
  <c r="D120" i="10"/>
  <c r="F119" i="10"/>
  <c r="D119" i="10"/>
  <c r="F118" i="10"/>
  <c r="D118" i="10"/>
  <c r="F117" i="10"/>
  <c r="D117" i="10"/>
  <c r="F116" i="10"/>
  <c r="D116" i="10"/>
  <c r="F115" i="10"/>
  <c r="D115" i="10"/>
  <c r="F114" i="10"/>
  <c r="D114" i="10"/>
  <c r="F113" i="10"/>
  <c r="D113" i="10"/>
  <c r="F112" i="10"/>
  <c r="D112" i="10"/>
  <c r="F111" i="10"/>
  <c r="D111" i="10"/>
  <c r="F110" i="10"/>
  <c r="D110" i="10"/>
  <c r="F109" i="10"/>
  <c r="D109" i="10"/>
  <c r="F108" i="10"/>
  <c r="D108" i="10"/>
  <c r="F107" i="10"/>
  <c r="D107" i="10"/>
  <c r="F106" i="10"/>
  <c r="D106" i="10"/>
  <c r="F105" i="10"/>
  <c r="D105" i="10"/>
  <c r="F104" i="10"/>
  <c r="D104" i="10"/>
  <c r="F103" i="10"/>
  <c r="D103" i="10"/>
  <c r="F102" i="10"/>
  <c r="D102" i="10"/>
  <c r="F101" i="10"/>
  <c r="D101" i="10"/>
  <c r="F100" i="10"/>
  <c r="D100" i="10"/>
  <c r="F99" i="10"/>
  <c r="D99" i="10"/>
  <c r="F98" i="10"/>
  <c r="D98" i="10"/>
  <c r="F97" i="10"/>
  <c r="D97" i="10"/>
  <c r="F96" i="10"/>
  <c r="D96" i="10"/>
  <c r="F95" i="10"/>
  <c r="D95" i="10"/>
  <c r="F94" i="10"/>
  <c r="D94" i="10"/>
  <c r="F93" i="10"/>
  <c r="D93" i="10"/>
  <c r="F92" i="10"/>
  <c r="D92" i="10"/>
  <c r="F91" i="10"/>
  <c r="D91" i="10"/>
  <c r="F90" i="10"/>
  <c r="D90" i="10"/>
  <c r="F89" i="10"/>
  <c r="D89" i="10"/>
  <c r="F88" i="10"/>
  <c r="D88" i="10"/>
  <c r="F87" i="10"/>
  <c r="D87" i="10"/>
  <c r="F86" i="10"/>
  <c r="D86" i="10"/>
  <c r="F85" i="10"/>
  <c r="D85" i="10"/>
  <c r="F84" i="10"/>
  <c r="D84" i="10"/>
  <c r="F83" i="10"/>
  <c r="D83" i="10"/>
  <c r="F82" i="10"/>
  <c r="D82" i="10"/>
  <c r="F81" i="10"/>
  <c r="D81" i="10"/>
  <c r="F80" i="10"/>
  <c r="D80" i="10"/>
  <c r="F79" i="10"/>
  <c r="D79" i="10"/>
  <c r="F78" i="10"/>
  <c r="D78" i="10"/>
  <c r="F77" i="10"/>
  <c r="D77" i="10"/>
  <c r="F76" i="10"/>
  <c r="D76" i="10"/>
  <c r="F75" i="10"/>
  <c r="D75" i="10"/>
  <c r="F74" i="10"/>
  <c r="D74" i="10"/>
  <c r="F73" i="10"/>
  <c r="D73" i="10"/>
  <c r="F72" i="10"/>
  <c r="D72" i="10"/>
  <c r="F71" i="10"/>
  <c r="D71" i="10"/>
  <c r="F70" i="10"/>
  <c r="D70" i="10"/>
  <c r="F69" i="10"/>
  <c r="D69" i="10"/>
  <c r="F68" i="10"/>
  <c r="D68" i="10"/>
  <c r="F67" i="10"/>
  <c r="D67" i="10"/>
  <c r="T66" i="10"/>
  <c r="F66" i="10"/>
  <c r="D66" i="10"/>
  <c r="T65" i="10"/>
  <c r="F65" i="10"/>
  <c r="D65" i="10"/>
  <c r="T64" i="10"/>
  <c r="F64" i="10"/>
  <c r="D64" i="10"/>
  <c r="T63" i="10"/>
  <c r="F63" i="10"/>
  <c r="D63" i="10"/>
  <c r="T62" i="10"/>
  <c r="F62" i="10"/>
  <c r="D62" i="10"/>
  <c r="T61" i="10"/>
  <c r="F61" i="10"/>
  <c r="D61" i="10"/>
  <c r="T60" i="10"/>
  <c r="F60" i="10"/>
  <c r="D60" i="10"/>
  <c r="T59" i="10"/>
  <c r="F59" i="10"/>
  <c r="D59" i="10"/>
  <c r="T58" i="10"/>
  <c r="F58" i="10"/>
  <c r="D58" i="10"/>
  <c r="T57" i="10"/>
  <c r="F57" i="10"/>
  <c r="D57" i="10"/>
  <c r="T56" i="10"/>
  <c r="F56" i="10"/>
  <c r="D56" i="10"/>
  <c r="T55" i="10"/>
  <c r="F55" i="10"/>
  <c r="D55" i="10"/>
  <c r="T54" i="10"/>
  <c r="F54" i="10"/>
  <c r="D54" i="10"/>
  <c r="T53" i="10"/>
  <c r="F53" i="10"/>
  <c r="D53" i="10"/>
  <c r="T52" i="10"/>
  <c r="F52" i="10"/>
  <c r="D52" i="10"/>
  <c r="T51" i="10"/>
  <c r="F51" i="10"/>
  <c r="D51" i="10"/>
  <c r="T50" i="10"/>
  <c r="F50" i="10"/>
  <c r="D50" i="10"/>
  <c r="T49" i="10"/>
  <c r="F49" i="10"/>
  <c r="D49" i="10"/>
  <c r="T48" i="10"/>
  <c r="F48" i="10"/>
  <c r="D48" i="10"/>
  <c r="T47" i="10"/>
  <c r="F47" i="10"/>
  <c r="D47" i="10"/>
  <c r="T46" i="10"/>
  <c r="F46" i="10"/>
  <c r="D46" i="10"/>
  <c r="T45" i="10"/>
  <c r="F45" i="10"/>
  <c r="D45" i="10"/>
  <c r="T44" i="10"/>
  <c r="F44" i="10"/>
  <c r="D44" i="10"/>
  <c r="T43" i="10"/>
  <c r="F43" i="10"/>
  <c r="D43" i="10"/>
  <c r="T42" i="10"/>
  <c r="F42" i="10"/>
  <c r="D42" i="10"/>
  <c r="T41" i="10"/>
  <c r="F41" i="10"/>
  <c r="D41" i="10"/>
  <c r="T40" i="10"/>
  <c r="F40" i="10"/>
  <c r="D40" i="10"/>
  <c r="T39" i="10"/>
  <c r="F39" i="10"/>
  <c r="D39" i="10"/>
  <c r="T38" i="10"/>
  <c r="F38" i="10"/>
  <c r="D38" i="10"/>
  <c r="T37" i="10"/>
  <c r="F37" i="10"/>
  <c r="D37" i="10"/>
  <c r="T36" i="10"/>
  <c r="F36" i="10"/>
  <c r="D36" i="10"/>
  <c r="F35" i="10"/>
  <c r="D35" i="10"/>
  <c r="F34" i="10"/>
  <c r="D34" i="10"/>
  <c r="F33" i="10"/>
  <c r="D33" i="10"/>
  <c r="F32" i="10"/>
  <c r="D32" i="10"/>
  <c r="F31" i="10"/>
  <c r="D31" i="10"/>
  <c r="F30" i="10"/>
  <c r="D30" i="10"/>
  <c r="F29" i="10"/>
  <c r="D29" i="10"/>
  <c r="F28" i="10"/>
  <c r="D28" i="10"/>
  <c r="F27" i="10"/>
  <c r="D27" i="10"/>
  <c r="D16" i="10"/>
  <c r="H125" i="10" s="1"/>
  <c r="G14" i="10"/>
  <c r="L12" i="10"/>
  <c r="L11" i="10"/>
  <c r="J7" i="10"/>
  <c r="J6" i="10"/>
  <c r="D5" i="10"/>
  <c r="F71" i="7"/>
  <c r="F70" i="7"/>
  <c r="J65" i="7"/>
  <c r="I65" i="7"/>
  <c r="J64" i="7"/>
  <c r="I64" i="7"/>
  <c r="J63" i="7"/>
  <c r="I63" i="7"/>
  <c r="J62" i="7"/>
  <c r="I62" i="7"/>
  <c r="J61" i="7"/>
  <c r="I61" i="7"/>
  <c r="E61" i="7"/>
  <c r="D61" i="7"/>
  <c r="J60" i="7"/>
  <c r="I60" i="7"/>
  <c r="E60" i="7"/>
  <c r="D60" i="7"/>
  <c r="E59" i="7"/>
  <c r="I53" i="7"/>
  <c r="H53" i="7"/>
  <c r="G53" i="7"/>
  <c r="I52" i="7"/>
  <c r="H52" i="7"/>
  <c r="G52" i="7"/>
  <c r="D47" i="7"/>
  <c r="D46" i="7"/>
  <c r="J42" i="7"/>
  <c r="J41" i="7"/>
  <c r="J40" i="7"/>
  <c r="J39" i="7"/>
  <c r="J38" i="7"/>
  <c r="J37" i="7"/>
  <c r="H33" i="7"/>
  <c r="H32" i="7"/>
  <c r="H31" i="7"/>
  <c r="H30" i="7"/>
  <c r="H29" i="7"/>
  <c r="F19" i="7"/>
  <c r="E19" i="7"/>
  <c r="D19" i="7"/>
  <c r="AA18" i="7"/>
  <c r="Z18" i="7"/>
  <c r="Y18" i="7"/>
  <c r="X18" i="7"/>
  <c r="W18" i="7"/>
  <c r="V18" i="7"/>
  <c r="U18" i="7"/>
  <c r="T18" i="7"/>
  <c r="S18" i="7"/>
  <c r="R18" i="7"/>
  <c r="AA17" i="7"/>
  <c r="Z17" i="7"/>
  <c r="Y17" i="7"/>
  <c r="X17" i="7"/>
  <c r="W17" i="7"/>
  <c r="V17" i="7"/>
  <c r="U17" i="7"/>
  <c r="T17" i="7"/>
  <c r="S17" i="7"/>
  <c r="R17" i="7"/>
  <c r="AA16" i="7"/>
  <c r="Z16" i="7"/>
  <c r="Y16" i="7"/>
  <c r="X16" i="7"/>
  <c r="W16" i="7"/>
  <c r="V16" i="7"/>
  <c r="U16" i="7"/>
  <c r="T16" i="7"/>
  <c r="S16" i="7"/>
  <c r="R16" i="7"/>
  <c r="AA15" i="7"/>
  <c r="Z15" i="7"/>
  <c r="Y15" i="7"/>
  <c r="X15" i="7"/>
  <c r="W15" i="7"/>
  <c r="V15" i="7"/>
  <c r="U15" i="7"/>
  <c r="T15" i="7"/>
  <c r="S15" i="7"/>
  <c r="R15" i="7"/>
  <c r="AA14" i="7"/>
  <c r="Z14" i="7"/>
  <c r="Y14" i="7"/>
  <c r="X14" i="7"/>
  <c r="W14" i="7"/>
  <c r="V14" i="7"/>
  <c r="U14" i="7"/>
  <c r="T14" i="7"/>
  <c r="S14" i="7"/>
  <c r="R14" i="7"/>
  <c r="AA13" i="7"/>
  <c r="Z13" i="7"/>
  <c r="Y13" i="7"/>
  <c r="X13" i="7"/>
  <c r="W13" i="7"/>
  <c r="V13" i="7"/>
  <c r="U13" i="7"/>
  <c r="T13" i="7"/>
  <c r="S13" i="7"/>
  <c r="R13" i="7"/>
  <c r="AA12" i="7"/>
  <c r="Z12" i="7"/>
  <c r="Y12" i="7"/>
  <c r="X12" i="7"/>
  <c r="W12" i="7"/>
  <c r="V12" i="7"/>
  <c r="U12" i="7"/>
  <c r="T12" i="7"/>
  <c r="S12" i="7"/>
  <c r="R12" i="7"/>
  <c r="AA11" i="7"/>
  <c r="Z11" i="7"/>
  <c r="Y11" i="7"/>
  <c r="X11" i="7"/>
  <c r="W11" i="7"/>
  <c r="V11" i="7"/>
  <c r="U11" i="7"/>
  <c r="T11" i="7"/>
  <c r="S11" i="7"/>
  <c r="R11" i="7"/>
  <c r="AA10" i="7"/>
  <c r="Z10" i="7"/>
  <c r="Y10" i="7"/>
  <c r="X10" i="7"/>
  <c r="W10" i="7"/>
  <c r="V10" i="7"/>
  <c r="U10" i="7"/>
  <c r="T10" i="7"/>
  <c r="S10" i="7"/>
  <c r="R10" i="7"/>
  <c r="D7" i="7"/>
  <c r="W200" i="12"/>
  <c r="W192" i="12"/>
  <c r="W184" i="12"/>
  <c r="W176" i="12"/>
  <c r="W168" i="12"/>
  <c r="W160" i="12"/>
  <c r="W152" i="12"/>
  <c r="W144" i="12"/>
  <c r="W136" i="12"/>
  <c r="W128" i="12"/>
  <c r="W120" i="12"/>
  <c r="W112" i="12"/>
  <c r="T102" i="12"/>
  <c r="P98" i="12"/>
  <c r="S97" i="12"/>
  <c r="X96" i="12"/>
  <c r="W91" i="12"/>
  <c r="Y85" i="12"/>
  <c r="P82" i="12"/>
  <c r="P202" i="12"/>
  <c r="W203" i="12"/>
  <c r="P205" i="12"/>
  <c r="W206" i="12"/>
  <c r="P200" i="12"/>
  <c r="W201" i="12"/>
  <c r="P203" i="12"/>
  <c r="W204" i="12"/>
  <c r="W196" i="12"/>
  <c r="W188" i="12"/>
  <c r="W180" i="12"/>
  <c r="W172" i="12"/>
  <c r="W164" i="12"/>
  <c r="W156" i="12"/>
  <c r="W148" i="12"/>
  <c r="W140" i="12"/>
  <c r="W132" i="12"/>
  <c r="W124" i="12"/>
  <c r="W116" i="12"/>
  <c r="W108" i="12"/>
  <c r="R100" i="12"/>
  <c r="W99" i="12"/>
  <c r="P90" i="12"/>
  <c r="W83" i="12"/>
  <c r="Z82" i="12"/>
  <c r="P206" i="12"/>
  <c r="W199" i="12"/>
  <c r="P201" i="12"/>
  <c r="P204" i="12"/>
  <c r="P196" i="12"/>
  <c r="P188" i="12"/>
  <c r="P180" i="12"/>
  <c r="P172" i="12"/>
  <c r="P164" i="12"/>
  <c r="P156" i="12"/>
  <c r="P148" i="12"/>
  <c r="P140" i="12"/>
  <c r="P132" i="12"/>
  <c r="P124" i="12"/>
  <c r="P116" i="12"/>
  <c r="P108" i="12"/>
  <c r="Y102" i="12"/>
  <c r="P99" i="12"/>
  <c r="X97" i="12"/>
  <c r="AA96" i="12"/>
  <c r="W92" i="12"/>
  <c r="P83" i="12"/>
  <c r="S82" i="12"/>
  <c r="X81" i="12"/>
  <c r="W76" i="12"/>
  <c r="T71" i="12"/>
  <c r="Y70" i="12"/>
  <c r="P67" i="12"/>
  <c r="X65" i="12"/>
  <c r="W205" i="12"/>
  <c r="P199" i="12"/>
  <c r="P191" i="12"/>
  <c r="P183" i="12"/>
  <c r="P175" i="12"/>
  <c r="P167" i="12"/>
  <c r="P159" i="12"/>
  <c r="P151" i="12"/>
  <c r="P143" i="12"/>
  <c r="P135" i="12"/>
  <c r="P127" i="12"/>
  <c r="P119" i="12"/>
  <c r="P111" i="12"/>
  <c r="W102" i="12"/>
  <c r="T97" i="12"/>
  <c r="Y96" i="12"/>
  <c r="P93" i="12"/>
  <c r="W86" i="12"/>
  <c r="Z85" i="12"/>
  <c r="Q82" i="12"/>
  <c r="T81" i="12"/>
  <c r="P77" i="12"/>
  <c r="R71" i="12"/>
  <c r="W70" i="12"/>
  <c r="Q66" i="12"/>
  <c r="T65" i="12"/>
  <c r="W195" i="12"/>
  <c r="W193" i="12"/>
  <c r="P185" i="12"/>
  <c r="W163" i="12"/>
  <c r="W161" i="12"/>
  <c r="P189" i="12"/>
  <c r="P187" i="12"/>
  <c r="W178" i="12"/>
  <c r="P157" i="12"/>
  <c r="P155" i="12"/>
  <c r="W197" i="12"/>
  <c r="W182" i="12"/>
  <c r="P174" i="12"/>
  <c r="W165" i="12"/>
  <c r="P178" i="12"/>
  <c r="P176" i="12"/>
  <c r="W167" i="12"/>
  <c r="P193" i="12"/>
  <c r="W171" i="12"/>
  <c r="W169" i="12"/>
  <c r="P161" i="12"/>
  <c r="P197" i="12"/>
  <c r="P195" i="12"/>
  <c r="W186" i="12"/>
  <c r="P165" i="12"/>
  <c r="P163" i="12"/>
  <c r="W202" i="12"/>
  <c r="W190" i="12"/>
  <c r="P182" i="12"/>
  <c r="W173" i="12"/>
  <c r="P186" i="12"/>
  <c r="P184" i="12"/>
  <c r="W175" i="12"/>
  <c r="P154" i="12"/>
  <c r="W179" i="12"/>
  <c r="W177" i="12"/>
  <c r="P169" i="12"/>
  <c r="W194" i="12"/>
  <c r="P173" i="12"/>
  <c r="P171" i="12"/>
  <c r="W162" i="12"/>
  <c r="P190" i="12"/>
  <c r="W181" i="12"/>
  <c r="W166" i="12"/>
  <c r="P158" i="12"/>
  <c r="W198" i="12"/>
  <c r="P194" i="12"/>
  <c r="P192" i="12"/>
  <c r="W183" i="12"/>
  <c r="P162" i="12"/>
  <c r="P160" i="12"/>
  <c r="W151" i="12"/>
  <c r="P130" i="12"/>
  <c r="P128" i="12"/>
  <c r="W119" i="12"/>
  <c r="X102" i="12"/>
  <c r="X100" i="12"/>
  <c r="W98" i="12"/>
  <c r="R97" i="12"/>
  <c r="R96" i="12"/>
  <c r="Q93" i="12"/>
  <c r="P89" i="12"/>
  <c r="Q78" i="12"/>
  <c r="AA71" i="12"/>
  <c r="P64" i="12"/>
  <c r="W62" i="12"/>
  <c r="Z61" i="12"/>
  <c r="Y56" i="12"/>
  <c r="P53" i="12"/>
  <c r="S52" i="12"/>
  <c r="X51" i="12"/>
  <c r="W46" i="12"/>
  <c r="Q42" i="12"/>
  <c r="P37" i="12"/>
  <c r="W187" i="12"/>
  <c r="W185" i="12"/>
  <c r="P177" i="12"/>
  <c r="W155" i="12"/>
  <c r="W153" i="12"/>
  <c r="P181" i="12"/>
  <c r="P179" i="12"/>
  <c r="W170" i="12"/>
  <c r="W189" i="12"/>
  <c r="W174" i="12"/>
  <c r="P166" i="12"/>
  <c r="W157" i="12"/>
  <c r="P198" i="12"/>
  <c r="W191" i="12"/>
  <c r="P170" i="12"/>
  <c r="P168" i="12"/>
  <c r="W159" i="12"/>
  <c r="P138" i="12"/>
  <c r="P136" i="12"/>
  <c r="W127" i="12"/>
  <c r="P103" i="12"/>
  <c r="P102" i="12"/>
  <c r="P101" i="12"/>
  <c r="Q100" i="12"/>
  <c r="AA81" i="12"/>
  <c r="P74" i="12"/>
  <c r="W71" i="12"/>
  <c r="T70" i="12"/>
  <c r="Q62" i="12"/>
  <c r="T61" i="12"/>
  <c r="Y60" i="12"/>
  <c r="P57" i="12"/>
  <c r="S56" i="12"/>
  <c r="X55" i="12"/>
  <c r="R51" i="12"/>
  <c r="W50" i="12"/>
  <c r="Y44" i="12"/>
  <c r="P41" i="12"/>
  <c r="X39" i="12"/>
  <c r="W137" i="12"/>
  <c r="P118" i="12"/>
  <c r="W115" i="12"/>
  <c r="P97" i="12"/>
  <c r="Y71" i="12"/>
  <c r="X70" i="12"/>
  <c r="W69" i="12"/>
  <c r="Z65" i="12"/>
  <c r="Y62" i="12"/>
  <c r="Y61" i="12"/>
  <c r="Q54" i="12"/>
  <c r="T52" i="12"/>
  <c r="T51" i="12"/>
  <c r="P42" i="12"/>
  <c r="S39" i="12"/>
  <c r="W38" i="12"/>
  <c r="AA35" i="12"/>
  <c r="R32" i="12"/>
  <c r="W31" i="12"/>
  <c r="Z30" i="12"/>
  <c r="P22" i="12"/>
  <c r="S21" i="12"/>
  <c r="X20" i="12"/>
  <c r="R16" i="12"/>
  <c r="W15" i="12"/>
  <c r="Q11" i="12"/>
  <c r="P6" i="12"/>
  <c r="S5" i="12"/>
  <c r="X4" i="12"/>
  <c r="P125" i="12"/>
  <c r="P113" i="12"/>
  <c r="W110" i="12"/>
  <c r="P88" i="12"/>
  <c r="X71" i="12"/>
  <c r="S70" i="12"/>
  <c r="Y65" i="12"/>
  <c r="W64" i="12"/>
  <c r="X62" i="12"/>
  <c r="X61" i="12"/>
  <c r="P54" i="12"/>
  <c r="R52" i="12"/>
  <c r="S51" i="12"/>
  <c r="W49" i="12"/>
  <c r="P40" i="12"/>
  <c r="R39" i="12"/>
  <c r="Z35" i="12"/>
  <c r="Q32" i="12"/>
  <c r="Y30" i="12"/>
  <c r="P27" i="12"/>
  <c r="S26" i="12"/>
  <c r="AA24" i="12"/>
  <c r="R21" i="12"/>
  <c r="W20" i="12"/>
  <c r="Q16" i="12"/>
  <c r="T15" i="12"/>
  <c r="P11" i="12"/>
  <c r="AA8" i="12"/>
  <c r="R5" i="12"/>
  <c r="W4" i="12"/>
  <c r="W158" i="12"/>
  <c r="W149" i="12"/>
  <c r="P147" i="12"/>
  <c r="P142" i="12"/>
  <c r="W139" i="12"/>
  <c r="AA100" i="12"/>
  <c r="X92" i="12"/>
  <c r="Q90" i="12"/>
  <c r="S71" i="12"/>
  <c r="R70" i="12"/>
  <c r="W68" i="12"/>
  <c r="X66" i="12"/>
  <c r="W65" i="12"/>
  <c r="W63" i="12"/>
  <c r="W61" i="12"/>
  <c r="X60" i="12"/>
  <c r="AA59" i="12"/>
  <c r="Q52" i="12"/>
  <c r="Q51" i="12"/>
  <c r="X48" i="12"/>
  <c r="Q39" i="12"/>
  <c r="W37" i="12"/>
  <c r="X36" i="12"/>
  <c r="Y35" i="12"/>
  <c r="P32" i="12"/>
  <c r="X30" i="12"/>
  <c r="AA29" i="12"/>
  <c r="R26" i="12"/>
  <c r="W25" i="12"/>
  <c r="Z24" i="12"/>
  <c r="Q21" i="12"/>
  <c r="Y19" i="12"/>
  <c r="P16" i="12"/>
  <c r="S15" i="12"/>
  <c r="W9" i="12"/>
  <c r="Z8" i="12"/>
  <c r="Q5" i="12"/>
  <c r="W122" i="12"/>
  <c r="P120" i="12"/>
  <c r="Z100" i="12"/>
  <c r="X93" i="12"/>
  <c r="Z81" i="12"/>
  <c r="W72" i="12"/>
  <c r="Q71" i="12"/>
  <c r="Q70" i="12"/>
  <c r="W67" i="12"/>
  <c r="W66" i="12"/>
  <c r="S65" i="12"/>
  <c r="S61" i="12"/>
  <c r="W60" i="12"/>
  <c r="Z59" i="12"/>
  <c r="P52" i="12"/>
  <c r="P51" i="12"/>
  <c r="W48" i="12"/>
  <c r="P39" i="12"/>
  <c r="W36" i="12"/>
  <c r="X35" i="12"/>
  <c r="W30" i="12"/>
  <c r="Z29" i="12"/>
  <c r="Q26" i="12"/>
  <c r="Y24" i="12"/>
  <c r="P21" i="12"/>
  <c r="X19" i="12"/>
  <c r="R15" i="12"/>
  <c r="W14" i="12"/>
  <c r="Y8" i="12"/>
  <c r="P5" i="12"/>
  <c r="P152" i="12"/>
  <c r="P149" i="12"/>
  <c r="P137" i="12"/>
  <c r="W134" i="12"/>
  <c r="W129" i="12"/>
  <c r="W117" i="12"/>
  <c r="P115" i="12"/>
  <c r="P110" i="12"/>
  <c r="W107" i="12"/>
  <c r="Y100" i="12"/>
  <c r="W93" i="12"/>
  <c r="Q92" i="12"/>
  <c r="P91" i="12"/>
  <c r="AA82" i="12"/>
  <c r="Y81" i="12"/>
  <c r="W75" i="12"/>
  <c r="W74" i="12"/>
  <c r="W73" i="12"/>
  <c r="P71" i="12"/>
  <c r="P70" i="12"/>
  <c r="R65" i="12"/>
  <c r="R62" i="12"/>
  <c r="R61" i="12"/>
  <c r="Y59" i="12"/>
  <c r="P50" i="12"/>
  <c r="Y45" i="12"/>
  <c r="AA44" i="12"/>
  <c r="W35" i="12"/>
  <c r="T30" i="12"/>
  <c r="Y29" i="12"/>
  <c r="P26" i="12"/>
  <c r="X24" i="12"/>
  <c r="W19" i="12"/>
  <c r="Q15" i="12"/>
  <c r="Y13" i="12"/>
  <c r="P10" i="12"/>
  <c r="X8" i="12"/>
  <c r="W146" i="12"/>
  <c r="P144" i="12"/>
  <c r="P122" i="12"/>
  <c r="W100" i="12"/>
  <c r="P92" i="12"/>
  <c r="AA85" i="12"/>
  <c r="AA83" i="12"/>
  <c r="Y82" i="12"/>
  <c r="W81" i="12"/>
  <c r="W80" i="12"/>
  <c r="P69" i="12"/>
  <c r="Q65" i="12"/>
  <c r="P62" i="12"/>
  <c r="Q61" i="12"/>
  <c r="X59" i="12"/>
  <c r="W47" i="12"/>
  <c r="X45" i="12"/>
  <c r="Z44" i="12"/>
  <c r="P38" i="12"/>
  <c r="T35" i="12"/>
  <c r="P31" i="12"/>
  <c r="S30" i="12"/>
  <c r="X29" i="12"/>
  <c r="W24" i="12"/>
  <c r="Q20" i="12"/>
  <c r="P15" i="12"/>
  <c r="X13" i="12"/>
  <c r="AA12" i="12"/>
  <c r="W8" i="12"/>
  <c r="Q4" i="12"/>
  <c r="W141" i="12"/>
  <c r="W131" i="12"/>
  <c r="P117" i="12"/>
  <c r="W101" i="12"/>
  <c r="T100" i="12"/>
  <c r="X85" i="12"/>
  <c r="Z83" i="12"/>
  <c r="X82" i="12"/>
  <c r="S81" i="12"/>
  <c r="Y78" i="12"/>
  <c r="P72" i="12"/>
  <c r="P66" i="12"/>
  <c r="P65" i="12"/>
  <c r="P63" i="12"/>
  <c r="P61" i="12"/>
  <c r="R60" i="12"/>
  <c r="W59" i="12"/>
  <c r="AA56" i="12"/>
  <c r="P49" i="12"/>
  <c r="W45" i="12"/>
  <c r="X44" i="12"/>
  <c r="Q36" i="12"/>
  <c r="S35" i="12"/>
  <c r="AA33" i="12"/>
  <c r="R30" i="12"/>
  <c r="W29" i="12"/>
  <c r="T24" i="12"/>
  <c r="P20" i="12"/>
  <c r="W13" i="12"/>
  <c r="Z12" i="12"/>
  <c r="T8" i="12"/>
  <c r="P4" i="12"/>
  <c r="P146" i="12"/>
  <c r="P139" i="12"/>
  <c r="P134" i="12"/>
  <c r="W114" i="12"/>
  <c r="P112" i="12"/>
  <c r="AA102" i="12"/>
  <c r="S100" i="12"/>
  <c r="W85" i="12"/>
  <c r="Y83" i="12"/>
  <c r="W82" i="12"/>
  <c r="R81" i="12"/>
  <c r="W79" i="12"/>
  <c r="X78" i="12"/>
  <c r="P68" i="12"/>
  <c r="Q60" i="12"/>
  <c r="T59" i="12"/>
  <c r="Z56" i="12"/>
  <c r="AA55" i="12"/>
  <c r="Q48" i="12"/>
  <c r="W44" i="12"/>
  <c r="P36" i="12"/>
  <c r="R35" i="12"/>
  <c r="W34" i="12"/>
  <c r="Z33" i="12"/>
  <c r="Q30" i="12"/>
  <c r="T29" i="12"/>
  <c r="P25" i="12"/>
  <c r="S24" i="12"/>
  <c r="R19" i="12"/>
  <c r="W18" i="12"/>
  <c r="Y12" i="12"/>
  <c r="P9" i="12"/>
  <c r="S8" i="12"/>
  <c r="X7" i="12"/>
  <c r="P129" i="12"/>
  <c r="W126" i="12"/>
  <c r="W109" i="12"/>
  <c r="Z102" i="12"/>
  <c r="P100" i="12"/>
  <c r="W94" i="12"/>
  <c r="T85" i="12"/>
  <c r="X83" i="12"/>
  <c r="T82" i="12"/>
  <c r="Q81" i="12"/>
  <c r="W78" i="12"/>
  <c r="W77" i="12"/>
  <c r="P75" i="12"/>
  <c r="P73" i="12"/>
  <c r="P60" i="12"/>
  <c r="S59" i="12"/>
  <c r="W58" i="12"/>
  <c r="X56" i="12"/>
  <c r="Z55" i="12"/>
  <c r="P48" i="12"/>
  <c r="R45" i="12"/>
  <c r="T44" i="12"/>
  <c r="Q35" i="12"/>
  <c r="Y33" i="12"/>
  <c r="P30" i="12"/>
  <c r="S29" i="12"/>
  <c r="X28" i="12"/>
  <c r="R24" i="12"/>
  <c r="W23" i="12"/>
  <c r="Q19" i="12"/>
  <c r="Y17" i="12"/>
  <c r="P14" i="12"/>
  <c r="X12" i="12"/>
  <c r="AA11" i="12"/>
  <c r="R8" i="12"/>
  <c r="W7" i="12"/>
  <c r="W143" i="12"/>
  <c r="P141" i="12"/>
  <c r="W121" i="12"/>
  <c r="P114" i="12"/>
  <c r="P107" i="12"/>
  <c r="S102" i="12"/>
  <c r="Z96" i="12"/>
  <c r="W95" i="12"/>
  <c r="S85" i="12"/>
  <c r="W84" i="12"/>
  <c r="T83" i="12"/>
  <c r="R82" i="12"/>
  <c r="P81" i="12"/>
  <c r="P76" i="12"/>
  <c r="R59" i="12"/>
  <c r="W57" i="12"/>
  <c r="W56" i="12"/>
  <c r="Y55" i="12"/>
  <c r="P47" i="12"/>
  <c r="P46" i="12"/>
  <c r="Q45" i="12"/>
  <c r="S44" i="12"/>
  <c r="P35" i="12"/>
  <c r="X33" i="12"/>
  <c r="AA32" i="12"/>
  <c r="R29" i="12"/>
  <c r="W28" i="12"/>
  <c r="Q24" i="12"/>
  <c r="P19" i="12"/>
  <c r="X17" i="12"/>
  <c r="AA16" i="12"/>
  <c r="R13" i="12"/>
  <c r="W12" i="12"/>
  <c r="Z11" i="12"/>
  <c r="Q8" i="12"/>
  <c r="W138" i="12"/>
  <c r="W133" i="12"/>
  <c r="R102" i="12"/>
  <c r="W96" i="12"/>
  <c r="R85" i="12"/>
  <c r="S83" i="12"/>
  <c r="P80" i="12"/>
  <c r="Q59" i="12"/>
  <c r="T56" i="12"/>
  <c r="W55" i="12"/>
  <c r="Y54" i="12"/>
  <c r="P45" i="12"/>
  <c r="R44" i="12"/>
  <c r="W43" i="12"/>
  <c r="W33" i="12"/>
  <c r="Z32" i="12"/>
  <c r="Q29" i="12"/>
  <c r="P24" i="12"/>
  <c r="AA21" i="12"/>
  <c r="W17" i="12"/>
  <c r="Z16" i="12"/>
  <c r="Q13" i="12"/>
  <c r="T12" i="12"/>
  <c r="Y11" i="12"/>
  <c r="P8" i="12"/>
  <c r="AA5" i="12"/>
  <c r="W154" i="12"/>
  <c r="W150" i="12"/>
  <c r="P131" i="12"/>
  <c r="W123" i="12"/>
  <c r="W111" i="12"/>
  <c r="P109" i="12"/>
  <c r="Q102" i="12"/>
  <c r="AA97" i="12"/>
  <c r="T96" i="12"/>
  <c r="P94" i="12"/>
  <c r="W87" i="12"/>
  <c r="Q85" i="12"/>
  <c r="R83" i="12"/>
  <c r="R78" i="12"/>
  <c r="P59" i="12"/>
  <c r="R56" i="12"/>
  <c r="T55" i="12"/>
  <c r="X54" i="12"/>
  <c r="AA52" i="12"/>
  <c r="Q44" i="12"/>
  <c r="X42" i="12"/>
  <c r="AA39" i="12"/>
  <c r="T33" i="12"/>
  <c r="Y32" i="12"/>
  <c r="P29" i="12"/>
  <c r="W22" i="12"/>
  <c r="Z21" i="12"/>
  <c r="Y16" i="12"/>
  <c r="P13" i="12"/>
  <c r="S12" i="12"/>
  <c r="X11" i="12"/>
  <c r="W6" i="12"/>
  <c r="Z5" i="12"/>
  <c r="W145" i="12"/>
  <c r="P126" i="12"/>
  <c r="P121" i="12"/>
  <c r="W118" i="12"/>
  <c r="W103" i="12"/>
  <c r="Z97" i="12"/>
  <c r="S96" i="12"/>
  <c r="P95" i="12"/>
  <c r="P86" i="12"/>
  <c r="P85" i="12"/>
  <c r="Q83" i="12"/>
  <c r="P79" i="12"/>
  <c r="P78" i="12"/>
  <c r="P58" i="12"/>
  <c r="Q56" i="12"/>
  <c r="S55" i="12"/>
  <c r="W54" i="12"/>
  <c r="Z52" i="12"/>
  <c r="AA51" i="12"/>
  <c r="P44" i="12"/>
  <c r="W42" i="12"/>
  <c r="Z39" i="12"/>
  <c r="P34" i="12"/>
  <c r="S33" i="12"/>
  <c r="X32" i="12"/>
  <c r="W27" i="12"/>
  <c r="Z26" i="12"/>
  <c r="Y21" i="12"/>
  <c r="P18" i="12"/>
  <c r="X16" i="12"/>
  <c r="AA15" i="12"/>
  <c r="R12" i="12"/>
  <c r="W11" i="12"/>
  <c r="Q7" i="12"/>
  <c r="Y5" i="12"/>
  <c r="W135" i="12"/>
  <c r="P133" i="12"/>
  <c r="Y97" i="12"/>
  <c r="Q96" i="12"/>
  <c r="X90" i="12"/>
  <c r="W88" i="12"/>
  <c r="P87" i="12"/>
  <c r="P84" i="12"/>
  <c r="P56" i="12"/>
  <c r="R55" i="12"/>
  <c r="Y52" i="12"/>
  <c r="Z51" i="12"/>
  <c r="W41" i="12"/>
  <c r="W40" i="12"/>
  <c r="Y39" i="12"/>
  <c r="R33" i="12"/>
  <c r="W32" i="12"/>
  <c r="Q28" i="12"/>
  <c r="Y26" i="12"/>
  <c r="P23" i="12"/>
  <c r="X21" i="12"/>
  <c r="R17" i="12"/>
  <c r="W16" i="12"/>
  <c r="Z15" i="12"/>
  <c r="Q12" i="12"/>
  <c r="T11" i="12"/>
  <c r="P7" i="12"/>
  <c r="X5" i="12"/>
  <c r="P153" i="12"/>
  <c r="P150" i="12"/>
  <c r="W147" i="12"/>
  <c r="W113" i="12"/>
  <c r="W97" i="12"/>
  <c r="P96" i="12"/>
  <c r="W90" i="12"/>
  <c r="AA70" i="12"/>
  <c r="Q55" i="12"/>
  <c r="W53" i="12"/>
  <c r="X52" i="12"/>
  <c r="Y51" i="12"/>
  <c r="W39" i="12"/>
  <c r="Q33" i="12"/>
  <c r="T32" i="12"/>
  <c r="P28" i="12"/>
  <c r="X26" i="12"/>
  <c r="W21" i="12"/>
  <c r="Q17" i="12"/>
  <c r="T16" i="12"/>
  <c r="Y15" i="12"/>
  <c r="P12" i="12"/>
  <c r="S11" i="12"/>
  <c r="W5" i="12"/>
  <c r="P145" i="12"/>
  <c r="W142" i="12"/>
  <c r="W130" i="12"/>
  <c r="W125" i="12"/>
  <c r="P123" i="12"/>
  <c r="Q97" i="12"/>
  <c r="W89" i="12"/>
  <c r="Z71" i="12"/>
  <c r="Z70" i="12"/>
  <c r="AA65" i="12"/>
  <c r="AA61" i="12"/>
  <c r="P55" i="12"/>
  <c r="R54" i="12"/>
  <c r="W52" i="12"/>
  <c r="W51" i="12"/>
  <c r="P43" i="12"/>
  <c r="T39" i="12"/>
  <c r="P33" i="12"/>
  <c r="S32" i="12"/>
  <c r="AA30" i="12"/>
  <c r="W26" i="12"/>
  <c r="T21" i="12"/>
  <c r="P17" i="12"/>
  <c r="S16" i="12"/>
  <c r="X15" i="12"/>
  <c r="R11" i="12"/>
  <c r="W10" i="12"/>
  <c r="T5" i="12"/>
  <c r="H28" i="7"/>
  <c r="L13" i="12" l="1"/>
  <c r="L19" i="12"/>
  <c r="L54" i="12"/>
  <c r="K66" i="12"/>
  <c r="K92" i="12"/>
  <c r="K7" i="12"/>
  <c r="K28" i="12"/>
  <c r="L60" i="12"/>
  <c r="L78" i="12"/>
  <c r="K20" i="12"/>
  <c r="J22" i="12"/>
  <c r="J25" i="12"/>
  <c r="J38" i="12"/>
  <c r="J40" i="12"/>
  <c r="J43" i="12"/>
  <c r="J46" i="12"/>
  <c r="J50" i="12"/>
  <c r="J72" i="12"/>
  <c r="M26" i="12"/>
  <c r="J84" i="12"/>
  <c r="J89" i="12"/>
  <c r="J101" i="12"/>
  <c r="J14" i="12"/>
  <c r="J58" i="12"/>
  <c r="J67" i="12"/>
  <c r="J75" i="12"/>
  <c r="J86" i="12"/>
  <c r="J98" i="12"/>
  <c r="L17" i="12"/>
  <c r="J18" i="12"/>
  <c r="J23" i="12"/>
  <c r="J41" i="12"/>
  <c r="J47" i="12"/>
  <c r="J64" i="12"/>
  <c r="K36" i="12"/>
  <c r="K48" i="12"/>
  <c r="L45" i="12"/>
  <c r="L62" i="12"/>
  <c r="J53" i="12"/>
  <c r="J68" i="12"/>
  <c r="J76" i="12"/>
  <c r="K90" i="12"/>
  <c r="K93" i="12"/>
  <c r="J99" i="12"/>
  <c r="K4" i="12"/>
  <c r="J6" i="12"/>
  <c r="J9" i="12"/>
  <c r="J27" i="12"/>
  <c r="J31" i="12"/>
  <c r="J57" i="12"/>
  <c r="J74" i="12"/>
  <c r="J10" i="12"/>
  <c r="J34" i="12"/>
  <c r="J69" i="12"/>
  <c r="J77" i="12"/>
  <c r="J80" i="12"/>
  <c r="J88" i="12"/>
  <c r="J91" i="12"/>
  <c r="J103" i="12"/>
  <c r="D275" i="8" a="1"/>
  <c r="D275" i="8" s="1"/>
  <c r="C291" i="8" a="1"/>
  <c r="C291" i="8" s="1"/>
  <c r="C307" i="8" a="1"/>
  <c r="C307" i="8" s="1"/>
  <c r="D331" i="8" a="1"/>
  <c r="D331" i="8" s="1"/>
  <c r="E339" i="8" a="1"/>
  <c r="E339" i="8" s="1"/>
  <c r="E363" i="8" a="1"/>
  <c r="E363" i="8" s="1"/>
  <c r="E371" i="8" a="1"/>
  <c r="E371" i="8" s="1"/>
  <c r="E411" i="8" a="1"/>
  <c r="E411" i="8" s="1"/>
  <c r="E443" i="8" a="1"/>
  <c r="E443" i="8" s="1"/>
  <c r="C451" i="8" a="1"/>
  <c r="C451" i="8" s="1"/>
  <c r="C475" i="8" a="1"/>
  <c r="C475" i="8" s="1"/>
  <c r="E499" i="8" a="1"/>
  <c r="E499" i="8" s="1"/>
  <c r="E523" i="8" a="1"/>
  <c r="E523" i="8" s="1"/>
  <c r="E291" i="8" a="1"/>
  <c r="E291" i="8" s="1"/>
  <c r="D291" i="8" a="1"/>
  <c r="D291" i="8" s="1"/>
  <c r="E299" i="8" a="1"/>
  <c r="E299" i="8" s="1"/>
  <c r="D299" i="8" a="1"/>
  <c r="D299" i="8" s="1"/>
  <c r="C299" i="8" a="1"/>
  <c r="C299" i="8" s="1"/>
  <c r="E323" i="8" a="1"/>
  <c r="E323" i="8" s="1"/>
  <c r="D323" i="8" a="1"/>
  <c r="D323" i="8" s="1"/>
  <c r="D363" i="8" a="1"/>
  <c r="D363" i="8" s="1"/>
  <c r="C363" i="8" a="1"/>
  <c r="C363" i="8" s="1"/>
  <c r="D371" i="8" a="1"/>
  <c r="D371" i="8" s="1"/>
  <c r="C371" i="8" a="1"/>
  <c r="C371" i="8" s="1"/>
  <c r="E395" i="8" a="1"/>
  <c r="E395" i="8" s="1"/>
  <c r="C395" i="8" a="1"/>
  <c r="C395" i="8" s="1"/>
  <c r="E419" i="8" a="1"/>
  <c r="E419" i="8" s="1"/>
  <c r="D419" i="8" a="1"/>
  <c r="D419" i="8" s="1"/>
  <c r="C419" i="8" a="1"/>
  <c r="C419" i="8" s="1"/>
  <c r="D427" i="8" a="1"/>
  <c r="D427" i="8" s="1"/>
  <c r="C427" i="8" a="1"/>
  <c r="C427" i="8" s="1"/>
  <c r="E467" i="8" a="1"/>
  <c r="E467" i="8" s="1"/>
  <c r="C467" i="8" a="1"/>
  <c r="C467" i="8" s="1"/>
  <c r="E475" i="8" a="1"/>
  <c r="E475" i="8" s="1"/>
  <c r="D475" i="8" a="1"/>
  <c r="D475" i="8" s="1"/>
  <c r="D491" i="8" a="1"/>
  <c r="D491" i="8" s="1"/>
  <c r="C491" i="8" a="1"/>
  <c r="C491" i="8" s="1"/>
  <c r="D499" i="8" a="1"/>
  <c r="D499" i="8" s="1"/>
  <c r="C499" i="8" a="1"/>
  <c r="C499" i="8" s="1"/>
  <c r="D270" i="8" a="1"/>
  <c r="D270" i="8" s="1"/>
  <c r="C270" i="8" a="1"/>
  <c r="C270" i="8" s="1"/>
  <c r="E270" i="8" a="1"/>
  <c r="E270" i="8" s="1"/>
  <c r="E278" i="8" a="1"/>
  <c r="E278" i="8" s="1"/>
  <c r="D278" i="8" a="1"/>
  <c r="D278" i="8" s="1"/>
  <c r="C278" i="8" a="1"/>
  <c r="C278" i="8" s="1"/>
  <c r="C286" i="8" a="1"/>
  <c r="C286" i="8" s="1"/>
  <c r="E286" i="8" a="1"/>
  <c r="E286" i="8" s="1"/>
  <c r="D286" i="8" a="1"/>
  <c r="D286" i="8" s="1"/>
  <c r="C294" i="8" a="1"/>
  <c r="C294" i="8" s="1"/>
  <c r="E294" i="8" a="1"/>
  <c r="E294" i="8" s="1"/>
  <c r="D294" i="8" a="1"/>
  <c r="D294" i="8" s="1"/>
  <c r="D302" i="8" a="1"/>
  <c r="D302" i="8" s="1"/>
  <c r="E302" i="8" a="1"/>
  <c r="E302" i="8" s="1"/>
  <c r="C302" i="8" a="1"/>
  <c r="C302" i="8" s="1"/>
  <c r="D310" i="8" a="1"/>
  <c r="D310" i="8" s="1"/>
  <c r="E310" i="8" a="1"/>
  <c r="E310" i="8" s="1"/>
  <c r="C310" i="8" a="1"/>
  <c r="C310" i="8" s="1"/>
  <c r="D318" i="8" a="1"/>
  <c r="D318" i="8" s="1"/>
  <c r="E318" i="8" a="1"/>
  <c r="E318" i="8" s="1"/>
  <c r="C318" i="8" a="1"/>
  <c r="C318" i="8" s="1"/>
  <c r="C326" i="8" a="1"/>
  <c r="C326" i="8" s="1"/>
  <c r="E326" i="8" a="1"/>
  <c r="E326" i="8" s="1"/>
  <c r="D326" i="8" a="1"/>
  <c r="D326" i="8" s="1"/>
  <c r="D334" i="8" a="1"/>
  <c r="D334" i="8" s="1"/>
  <c r="C334" i="8" a="1"/>
  <c r="C334" i="8" s="1"/>
  <c r="E334" i="8" a="1"/>
  <c r="E334" i="8" s="1"/>
  <c r="D342" i="8" a="1"/>
  <c r="D342" i="8" s="1"/>
  <c r="E342" i="8" a="1"/>
  <c r="E342" i="8" s="1"/>
  <c r="C342" i="8" a="1"/>
  <c r="C342" i="8" s="1"/>
  <c r="E350" i="8" a="1"/>
  <c r="E350" i="8" s="1"/>
  <c r="D350" i="8" a="1"/>
  <c r="D350" i="8" s="1"/>
  <c r="C350" i="8" a="1"/>
  <c r="C350" i="8" s="1"/>
  <c r="E358" i="8" a="1"/>
  <c r="E358" i="8" s="1"/>
  <c r="D358" i="8" a="1"/>
  <c r="D358" i="8" s="1"/>
  <c r="C358" i="8" a="1"/>
  <c r="C358" i="8" s="1"/>
  <c r="E366" i="8" a="1"/>
  <c r="E366" i="8" s="1"/>
  <c r="D366" i="8" a="1"/>
  <c r="D366" i="8" s="1"/>
  <c r="C366" i="8" a="1"/>
  <c r="C366" i="8" s="1"/>
  <c r="E374" i="8" a="1"/>
  <c r="E374" i="8" s="1"/>
  <c r="D374" i="8" a="1"/>
  <c r="D374" i="8" s="1"/>
  <c r="C374" i="8" a="1"/>
  <c r="C374" i="8" s="1"/>
  <c r="C382" i="8" a="1"/>
  <c r="C382" i="8" s="1"/>
  <c r="E382" i="8" a="1"/>
  <c r="E382" i="8" s="1"/>
  <c r="D382" i="8" a="1"/>
  <c r="D382" i="8" s="1"/>
  <c r="D390" i="8" a="1"/>
  <c r="D390" i="8" s="1"/>
  <c r="E390" i="8" a="1"/>
  <c r="E390" i="8" s="1"/>
  <c r="C390" i="8" a="1"/>
  <c r="C390" i="8" s="1"/>
  <c r="E398" i="8" a="1"/>
  <c r="E398" i="8" s="1"/>
  <c r="D398" i="8" a="1"/>
  <c r="D398" i="8" s="1"/>
  <c r="C398" i="8" a="1"/>
  <c r="C398" i="8" s="1"/>
  <c r="E406" i="8" a="1"/>
  <c r="E406" i="8" s="1"/>
  <c r="D406" i="8" a="1"/>
  <c r="D406" i="8" s="1"/>
  <c r="C406" i="8" a="1"/>
  <c r="C406" i="8" s="1"/>
  <c r="E414" i="8" a="1"/>
  <c r="E414" i="8" s="1"/>
  <c r="D414" i="8" a="1"/>
  <c r="D414" i="8" s="1"/>
  <c r="C414" i="8" a="1"/>
  <c r="C414" i="8" s="1"/>
  <c r="C422" i="8" a="1"/>
  <c r="C422" i="8" s="1"/>
  <c r="E422" i="8" a="1"/>
  <c r="E422" i="8" s="1"/>
  <c r="D422" i="8" a="1"/>
  <c r="D422" i="8" s="1"/>
  <c r="C430" i="8" a="1"/>
  <c r="C430" i="8" s="1"/>
  <c r="D430" i="8" a="1"/>
  <c r="D430" i="8" s="1"/>
  <c r="E430" i="8" a="1"/>
  <c r="E430" i="8" s="1"/>
  <c r="D438" i="8" a="1"/>
  <c r="D438" i="8" s="1"/>
  <c r="E438" i="8" a="1"/>
  <c r="E438" i="8" s="1"/>
  <c r="C438" i="8" a="1"/>
  <c r="C438" i="8" s="1"/>
  <c r="E446" i="8" a="1"/>
  <c r="E446" i="8" s="1"/>
  <c r="D446" i="8" a="1"/>
  <c r="D446" i="8" s="1"/>
  <c r="C446" i="8" a="1"/>
  <c r="C446" i="8" s="1"/>
  <c r="C454" i="8" a="1"/>
  <c r="C454" i="8" s="1"/>
  <c r="E454" i="8" a="1"/>
  <c r="E454" i="8" s="1"/>
  <c r="D454" i="8" a="1"/>
  <c r="D454" i="8" s="1"/>
  <c r="D462" i="8" a="1"/>
  <c r="D462" i="8" s="1"/>
  <c r="E462" i="8" a="1"/>
  <c r="E462" i="8" s="1"/>
  <c r="C462" i="8" a="1"/>
  <c r="C462" i="8" s="1"/>
  <c r="E470" i="8" a="1"/>
  <c r="E470" i="8" s="1"/>
  <c r="D470" i="8" a="1"/>
  <c r="D470" i="8" s="1"/>
  <c r="C470" i="8" a="1"/>
  <c r="C470" i="8" s="1"/>
  <c r="E478" i="8" a="1"/>
  <c r="E478" i="8" s="1"/>
  <c r="D478" i="8" a="1"/>
  <c r="D478" i="8" s="1"/>
  <c r="C478" i="8" a="1"/>
  <c r="C478" i="8" s="1"/>
  <c r="C486" i="8" a="1"/>
  <c r="C486" i="8" s="1"/>
  <c r="E486" i="8" a="1"/>
  <c r="E486" i="8" s="1"/>
  <c r="D486" i="8" a="1"/>
  <c r="D486" i="8" s="1"/>
  <c r="D494" i="8" a="1"/>
  <c r="D494" i="8" s="1"/>
  <c r="E494" i="8" a="1"/>
  <c r="E494" i="8" s="1"/>
  <c r="C494" i="8" a="1"/>
  <c r="C494" i="8" s="1"/>
  <c r="E502" i="8" a="1"/>
  <c r="E502" i="8" s="1"/>
  <c r="D502" i="8" a="1"/>
  <c r="D502" i="8" s="1"/>
  <c r="C502" i="8" a="1"/>
  <c r="C502" i="8" s="1"/>
  <c r="E510" i="8" a="1"/>
  <c r="E510" i="8" s="1"/>
  <c r="D510" i="8" a="1"/>
  <c r="D510" i="8" s="1"/>
  <c r="C510" i="8" a="1"/>
  <c r="C510" i="8" s="1"/>
  <c r="C518" i="8" a="1"/>
  <c r="C518" i="8" s="1"/>
  <c r="E518" i="8" a="1"/>
  <c r="E518" i="8" s="1"/>
  <c r="D518" i="8" a="1"/>
  <c r="D518" i="8" s="1"/>
  <c r="E526" i="8" a="1"/>
  <c r="E526" i="8" s="1"/>
  <c r="D526" i="8" a="1"/>
  <c r="D526" i="8" s="1"/>
  <c r="C526" i="8" a="1"/>
  <c r="C526" i="8" s="1"/>
  <c r="E534" i="8" a="1"/>
  <c r="E534" i="8" s="1"/>
  <c r="D534" i="8" a="1"/>
  <c r="D534" i="8" s="1"/>
  <c r="C534" i="8" a="1"/>
  <c r="C534" i="8" s="1"/>
  <c r="C542" i="8" a="1"/>
  <c r="C542" i="8" s="1"/>
  <c r="E542" i="8" a="1"/>
  <c r="E542" i="8" s="1"/>
  <c r="D542" i="8" a="1"/>
  <c r="D542" i="8" s="1"/>
  <c r="E550" i="8" a="1"/>
  <c r="E550" i="8" s="1"/>
  <c r="D550" i="8" a="1"/>
  <c r="D550" i="8" s="1"/>
  <c r="C550" i="8" a="1"/>
  <c r="C550" i="8" s="1"/>
  <c r="C558" i="8" a="1"/>
  <c r="C558" i="8" s="1"/>
  <c r="E558" i="8" a="1"/>
  <c r="E558" i="8" s="1"/>
  <c r="D558" i="8" a="1"/>
  <c r="D558" i="8" s="1"/>
  <c r="C566" i="8" a="1"/>
  <c r="C566" i="8" s="1"/>
  <c r="E566" i="8" a="1"/>
  <c r="E566" i="8" s="1"/>
  <c r="D566" i="8" a="1"/>
  <c r="D566" i="8" s="1"/>
  <c r="E574" i="8" a="1"/>
  <c r="E574" i="8" s="1"/>
  <c r="D574" i="8" a="1"/>
  <c r="D574" i="8" s="1"/>
  <c r="C574" i="8" a="1"/>
  <c r="C574" i="8" s="1"/>
  <c r="D582" i="8" a="1"/>
  <c r="D582" i="8" s="1"/>
  <c r="E582" i="8" a="1"/>
  <c r="E582" i="8" s="1"/>
  <c r="C582" i="8" a="1"/>
  <c r="C582" i="8" s="1"/>
  <c r="D257" i="8" a="1"/>
  <c r="D257" i="8" s="1"/>
  <c r="D313" i="8" a="1"/>
  <c r="D313" i="8" s="1"/>
  <c r="C329" i="8" a="1"/>
  <c r="C329" i="8" s="1"/>
  <c r="C337" i="8" a="1"/>
  <c r="C337" i="8" s="1"/>
  <c r="D345" i="8" a="1"/>
  <c r="D345" i="8" s="1"/>
  <c r="E401" i="8" a="1"/>
  <c r="E401" i="8" s="1"/>
  <c r="C409" i="8" a="1"/>
  <c r="C409" i="8" s="1"/>
  <c r="E465" i="8" a="1"/>
  <c r="E465" i="8" s="1"/>
  <c r="D505" i="8" a="1"/>
  <c r="D505" i="8" s="1"/>
  <c r="D513" i="8" a="1"/>
  <c r="D513" i="8" s="1"/>
  <c r="C521" i="8" a="1"/>
  <c r="C521" i="8" s="1"/>
  <c r="E577" i="8" a="1"/>
  <c r="E577" i="8" s="1"/>
  <c r="D585" i="8" a="1"/>
  <c r="D585" i="8" s="1"/>
  <c r="E289" i="8" a="1"/>
  <c r="E289" i="8" s="1"/>
  <c r="D289" i="8" a="1"/>
  <c r="D289" i="8" s="1"/>
  <c r="C289" i="8" a="1"/>
  <c r="C289" i="8" s="1"/>
  <c r="D305" i="8" a="1"/>
  <c r="D305" i="8" s="1"/>
  <c r="C305" i="8" a="1"/>
  <c r="C305" i="8" s="1"/>
  <c r="E329" i="8" a="1"/>
  <c r="E329" i="8" s="1"/>
  <c r="D329" i="8" a="1"/>
  <c r="D329" i="8" s="1"/>
  <c r="E345" i="8" a="1"/>
  <c r="E345" i="8" s="1"/>
  <c r="C345" i="8" a="1"/>
  <c r="C345" i="8" s="1"/>
  <c r="E353" i="8" a="1"/>
  <c r="E353" i="8" s="1"/>
  <c r="D353" i="8" a="1"/>
  <c r="D353" i="8" s="1"/>
  <c r="E393" i="8" a="1"/>
  <c r="E393" i="8" s="1"/>
  <c r="D393" i="8" a="1"/>
  <c r="D393" i="8" s="1"/>
  <c r="D409" i="8" a="1"/>
  <c r="D409" i="8" s="1"/>
  <c r="D417" i="8" a="1"/>
  <c r="D417" i="8" s="1"/>
  <c r="D433" i="8" a="1"/>
  <c r="D433" i="8" s="1"/>
  <c r="D441" i="8" a="1"/>
  <c r="D441" i="8" s="1"/>
  <c r="D449" i="8" a="1"/>
  <c r="D449" i="8" s="1"/>
  <c r="C457" i="8" a="1"/>
  <c r="C457" i="8" s="1"/>
  <c r="D465" i="8" a="1"/>
  <c r="D465" i="8" s="1"/>
  <c r="C465" i="8" a="1"/>
  <c r="C465" i="8" s="1"/>
  <c r="C473" i="8" a="1"/>
  <c r="C473" i="8" s="1"/>
  <c r="C481" i="8" a="1"/>
  <c r="C481" i="8" s="1"/>
  <c r="E513" i="8" a="1"/>
  <c r="E513" i="8" s="1"/>
  <c r="D521" i="8" a="1"/>
  <c r="D521" i="8" s="1"/>
  <c r="E529" i="8" a="1"/>
  <c r="E529" i="8" s="1"/>
  <c r="D529" i="8" a="1"/>
  <c r="D529" i="8" s="1"/>
  <c r="C529" i="8" a="1"/>
  <c r="C529" i="8" s="1"/>
  <c r="E537" i="8" a="1"/>
  <c r="E537" i="8" s="1"/>
  <c r="D537" i="8" a="1"/>
  <c r="D537" i="8" s="1"/>
  <c r="E545" i="8" a="1"/>
  <c r="E545" i="8" s="1"/>
  <c r="D545" i="8" a="1"/>
  <c r="D545" i="8" s="1"/>
  <c r="E553" i="8" a="1"/>
  <c r="E553" i="8" s="1"/>
  <c r="C561" i="8" a="1"/>
  <c r="C561" i="8" s="1"/>
  <c r="D569" i="8" a="1"/>
  <c r="D569" i="8" s="1"/>
  <c r="C577" i="8" a="1"/>
  <c r="C577" i="8" s="1"/>
  <c r="E585" i="8" a="1"/>
  <c r="E585" i="8" s="1"/>
  <c r="C601" i="8" a="1"/>
  <c r="C601" i="8" s="1"/>
  <c r="E609" i="8" a="1"/>
  <c r="E609" i="8" s="1"/>
  <c r="E617" i="8" a="1"/>
  <c r="E617" i="8" s="1"/>
  <c r="C260" i="8" a="1"/>
  <c r="C260" i="8" s="1"/>
  <c r="E260" i="8" a="1"/>
  <c r="E260" i="8" s="1"/>
  <c r="D260" i="8" a="1"/>
  <c r="D260" i="8" s="1"/>
  <c r="E268" i="8" a="1"/>
  <c r="E268" i="8" s="1"/>
  <c r="D268" i="8" a="1"/>
  <c r="D268" i="8" s="1"/>
  <c r="C268" i="8" a="1"/>
  <c r="C268" i="8" s="1"/>
  <c r="D276" i="8" a="1"/>
  <c r="D276" i="8" s="1"/>
  <c r="E276" i="8" a="1"/>
  <c r="E276" i="8" s="1"/>
  <c r="C276" i="8" a="1"/>
  <c r="C276" i="8" s="1"/>
  <c r="E284" i="8" a="1"/>
  <c r="E284" i="8" s="1"/>
  <c r="D284" i="8" a="1"/>
  <c r="D284" i="8" s="1"/>
  <c r="C284" i="8" a="1"/>
  <c r="C284" i="8" s="1"/>
  <c r="E292" i="8" a="1"/>
  <c r="E292" i="8" s="1"/>
  <c r="D292" i="8" a="1"/>
  <c r="D292" i="8" s="1"/>
  <c r="C292" i="8" a="1"/>
  <c r="C292" i="8" s="1"/>
  <c r="D300" i="8" a="1"/>
  <c r="D300" i="8" s="1"/>
  <c r="E300" i="8" a="1"/>
  <c r="E300" i="8" s="1"/>
  <c r="C300" i="8" a="1"/>
  <c r="C300" i="8" s="1"/>
  <c r="E308" i="8" a="1"/>
  <c r="E308" i="8" s="1"/>
  <c r="D308" i="8" a="1"/>
  <c r="D308" i="8" s="1"/>
  <c r="C308" i="8" a="1"/>
  <c r="C308" i="8" s="1"/>
  <c r="E332" i="8" a="1"/>
  <c r="E332" i="8" s="1"/>
  <c r="E340" i="8" a="1"/>
  <c r="E340" i="8" s="1"/>
  <c r="D356" i="8" a="1"/>
  <c r="D356" i="8" s="1"/>
  <c r="C380" i="8" a="1"/>
  <c r="C380" i="8" s="1"/>
  <c r="E388" i="8" a="1"/>
  <c r="E388" i="8" s="1"/>
  <c r="C396" i="8" a="1"/>
  <c r="C396" i="8" s="1"/>
  <c r="E428" i="8" a="1"/>
  <c r="E428" i="8" s="1"/>
  <c r="E444" i="8" a="1"/>
  <c r="E444" i="8" s="1"/>
  <c r="D452" i="8" a="1"/>
  <c r="D452" i="8" s="1"/>
  <c r="E460" i="8" a="1"/>
  <c r="E460" i="8" s="1"/>
  <c r="C468" i="8" a="1"/>
  <c r="C468" i="8" s="1"/>
  <c r="E476" i="8" a="1"/>
  <c r="E476" i="8" s="1"/>
  <c r="E484" i="8" a="1"/>
  <c r="E484" i="8" s="1"/>
  <c r="E492" i="8" a="1"/>
  <c r="E492" i="8" s="1"/>
  <c r="C500" i="8" a="1"/>
  <c r="C500" i="8" s="1"/>
  <c r="E524" i="8" a="1"/>
  <c r="E524" i="8" s="1"/>
  <c r="E620" i="8" a="1"/>
  <c r="E620" i="8" s="1"/>
  <c r="E255" i="8" a="1"/>
  <c r="E255" i="8" s="1"/>
  <c r="D255" i="8" a="1"/>
  <c r="D255" i="8" s="1"/>
  <c r="C255" i="8" a="1"/>
  <c r="C255" i="8" s="1"/>
  <c r="D263" i="8" a="1"/>
  <c r="D263" i="8" s="1"/>
  <c r="E263" i="8" a="1"/>
  <c r="E263" i="8" s="1"/>
  <c r="C263" i="8" a="1"/>
  <c r="C263" i="8" s="1"/>
  <c r="E271" i="8" a="1"/>
  <c r="E271" i="8" s="1"/>
  <c r="D271" i="8" a="1"/>
  <c r="D271" i="8" s="1"/>
  <c r="C271" i="8" a="1"/>
  <c r="C271" i="8" s="1"/>
  <c r="C279" i="8" a="1"/>
  <c r="C279" i="8" s="1"/>
  <c r="E279" i="8" a="1"/>
  <c r="E279" i="8" s="1"/>
  <c r="D279" i="8" a="1"/>
  <c r="D279" i="8" s="1"/>
  <c r="C287" i="8" a="1"/>
  <c r="C287" i="8" s="1"/>
  <c r="E287" i="8" a="1"/>
  <c r="E287" i="8" s="1"/>
  <c r="D287" i="8" a="1"/>
  <c r="D287" i="8" s="1"/>
  <c r="C295" i="8" a="1"/>
  <c r="C295" i="8" s="1"/>
  <c r="E295" i="8" a="1"/>
  <c r="E295" i="8" s="1"/>
  <c r="D295" i="8" a="1"/>
  <c r="D295" i="8" s="1"/>
  <c r="E303" i="8" a="1"/>
  <c r="E303" i="8" s="1"/>
  <c r="D303" i="8" a="1"/>
  <c r="D303" i="8" s="1"/>
  <c r="C303" i="8" a="1"/>
  <c r="C303" i="8" s="1"/>
  <c r="E311" i="8" a="1"/>
  <c r="E311" i="8" s="1"/>
  <c r="D311" i="8" a="1"/>
  <c r="D311" i="8" s="1"/>
  <c r="C311" i="8" a="1"/>
  <c r="C311" i="8" s="1"/>
  <c r="E319" i="8" a="1"/>
  <c r="E319" i="8" s="1"/>
  <c r="C319" i="8" a="1"/>
  <c r="C319" i="8" s="1"/>
  <c r="D319" i="8" a="1"/>
  <c r="D319" i="8" s="1"/>
  <c r="E327" i="8" a="1"/>
  <c r="E327" i="8" s="1"/>
  <c r="D327" i="8" a="1"/>
  <c r="D327" i="8" s="1"/>
  <c r="C327" i="8" a="1"/>
  <c r="C327" i="8" s="1"/>
  <c r="E335" i="8" a="1"/>
  <c r="E335" i="8" s="1"/>
  <c r="D335" i="8" a="1"/>
  <c r="D335" i="8" s="1"/>
  <c r="C335" i="8" a="1"/>
  <c r="C335" i="8" s="1"/>
  <c r="E343" i="8" a="1"/>
  <c r="E343" i="8" s="1"/>
  <c r="D343" i="8" a="1"/>
  <c r="D343" i="8" s="1"/>
  <c r="C343" i="8" a="1"/>
  <c r="C343" i="8" s="1"/>
  <c r="E351" i="8" a="1"/>
  <c r="E351" i="8" s="1"/>
  <c r="D351" i="8" a="1"/>
  <c r="D351" i="8" s="1"/>
  <c r="C351" i="8" a="1"/>
  <c r="C351" i="8" s="1"/>
  <c r="E359" i="8" a="1"/>
  <c r="E359" i="8" s="1"/>
  <c r="D359" i="8" a="1"/>
  <c r="D359" i="8" s="1"/>
  <c r="C359" i="8" a="1"/>
  <c r="C359" i="8" s="1"/>
  <c r="D367" i="8" a="1"/>
  <c r="D367" i="8" s="1"/>
  <c r="E367" i="8" a="1"/>
  <c r="E367" i="8" s="1"/>
  <c r="C367" i="8" a="1"/>
  <c r="C367" i="8" s="1"/>
  <c r="E375" i="8" a="1"/>
  <c r="E375" i="8" s="1"/>
  <c r="D375" i="8" a="1"/>
  <c r="D375" i="8" s="1"/>
  <c r="C375" i="8" a="1"/>
  <c r="C375" i="8" s="1"/>
  <c r="C383" i="8" a="1"/>
  <c r="C383" i="8" s="1"/>
  <c r="E383" i="8" a="1"/>
  <c r="E383" i="8" s="1"/>
  <c r="D383" i="8" a="1"/>
  <c r="D383" i="8" s="1"/>
  <c r="E391" i="8" a="1"/>
  <c r="E391" i="8" s="1"/>
  <c r="D391" i="8" a="1"/>
  <c r="D391" i="8" s="1"/>
  <c r="C391" i="8" a="1"/>
  <c r="C391" i="8" s="1"/>
  <c r="D399" i="8" a="1"/>
  <c r="D399" i="8" s="1"/>
  <c r="E399" i="8" a="1"/>
  <c r="E399" i="8" s="1"/>
  <c r="C399" i="8" a="1"/>
  <c r="C399" i="8" s="1"/>
  <c r="D407" i="8" a="1"/>
  <c r="D407" i="8" s="1"/>
  <c r="E407" i="8" a="1"/>
  <c r="E407" i="8" s="1"/>
  <c r="C407" i="8" a="1"/>
  <c r="C407" i="8" s="1"/>
  <c r="C415" i="8" a="1"/>
  <c r="C415" i="8" s="1"/>
  <c r="E415" i="8" a="1"/>
  <c r="E415" i="8" s="1"/>
  <c r="D415" i="8" a="1"/>
  <c r="D415" i="8" s="1"/>
  <c r="C423" i="8" a="1"/>
  <c r="C423" i="8" s="1"/>
  <c r="E423" i="8" a="1"/>
  <c r="E423" i="8" s="1"/>
  <c r="D423" i="8" a="1"/>
  <c r="D423" i="8" s="1"/>
  <c r="E431" i="8" a="1"/>
  <c r="E431" i="8" s="1"/>
  <c r="D431" i="8" a="1"/>
  <c r="D431" i="8" s="1"/>
  <c r="C431" i="8" a="1"/>
  <c r="C431" i="8" s="1"/>
  <c r="D439" i="8" a="1"/>
  <c r="D439" i="8" s="1"/>
  <c r="E439" i="8" a="1"/>
  <c r="E439" i="8" s="1"/>
  <c r="C439" i="8" a="1"/>
  <c r="C439" i="8" s="1"/>
  <c r="E447" i="8" a="1"/>
  <c r="E447" i="8" s="1"/>
  <c r="D447" i="8" a="1"/>
  <c r="D447" i="8" s="1"/>
  <c r="C447" i="8" a="1"/>
  <c r="C447" i="8" s="1"/>
  <c r="C455" i="8" a="1"/>
  <c r="C455" i="8" s="1"/>
  <c r="E455" i="8" a="1"/>
  <c r="E455" i="8" s="1"/>
  <c r="D455" i="8" a="1"/>
  <c r="D455" i="8" s="1"/>
  <c r="E463" i="8" a="1"/>
  <c r="E463" i="8" s="1"/>
  <c r="D463" i="8" a="1"/>
  <c r="D463" i="8" s="1"/>
  <c r="C463" i="8" a="1"/>
  <c r="C463" i="8" s="1"/>
  <c r="D471" i="8" a="1"/>
  <c r="D471" i="8" s="1"/>
  <c r="E471" i="8" a="1"/>
  <c r="E471" i="8" s="1"/>
  <c r="C471" i="8" a="1"/>
  <c r="C471" i="8" s="1"/>
  <c r="E479" i="8" a="1"/>
  <c r="E479" i="8" s="1"/>
  <c r="D479" i="8" a="1"/>
  <c r="D479" i="8" s="1"/>
  <c r="C479" i="8" a="1"/>
  <c r="C479" i="8" s="1"/>
  <c r="C487" i="8" a="1"/>
  <c r="C487" i="8" s="1"/>
  <c r="E487" i="8" a="1"/>
  <c r="E487" i="8" s="1"/>
  <c r="D487" i="8" a="1"/>
  <c r="D487" i="8" s="1"/>
  <c r="E495" i="8" a="1"/>
  <c r="E495" i="8" s="1"/>
  <c r="D495" i="8" a="1"/>
  <c r="D495" i="8" s="1"/>
  <c r="C495" i="8" a="1"/>
  <c r="C495" i="8" s="1"/>
  <c r="D503" i="8" a="1"/>
  <c r="D503" i="8" s="1"/>
  <c r="E503" i="8" a="1"/>
  <c r="E503" i="8" s="1"/>
  <c r="C503" i="8" a="1"/>
  <c r="C503" i="8" s="1"/>
  <c r="C511" i="8" a="1"/>
  <c r="C511" i="8" s="1"/>
  <c r="E511" i="8" a="1"/>
  <c r="E511" i="8" s="1"/>
  <c r="D511" i="8" a="1"/>
  <c r="D511" i="8" s="1"/>
  <c r="E519" i="8" a="1"/>
  <c r="E519" i="8" s="1"/>
  <c r="D519" i="8" a="1"/>
  <c r="D519" i="8" s="1"/>
  <c r="C519" i="8" a="1"/>
  <c r="C519" i="8" s="1"/>
  <c r="E527" i="8" a="1"/>
  <c r="E527" i="8" s="1"/>
  <c r="D527" i="8" a="1"/>
  <c r="D527" i="8" s="1"/>
  <c r="C527" i="8" a="1"/>
  <c r="C527" i="8" s="1"/>
  <c r="C535" i="8" a="1"/>
  <c r="C535" i="8" s="1"/>
  <c r="E535" i="8" a="1"/>
  <c r="E535" i="8" s="1"/>
  <c r="D535" i="8" a="1"/>
  <c r="D535" i="8" s="1"/>
  <c r="E543" i="8" a="1"/>
  <c r="E543" i="8" s="1"/>
  <c r="D543" i="8" a="1"/>
  <c r="D543" i="8" s="1"/>
  <c r="C543" i="8" a="1"/>
  <c r="C543" i="8" s="1"/>
  <c r="D551" i="8" a="1"/>
  <c r="D551" i="8" s="1"/>
  <c r="C551" i="8" a="1"/>
  <c r="C551" i="8" s="1"/>
  <c r="E551" i="8" a="1"/>
  <c r="E551" i="8" s="1"/>
  <c r="C559" i="8" a="1"/>
  <c r="C559" i="8" s="1"/>
  <c r="D559" i="8" a="1"/>
  <c r="D559" i="8" s="1"/>
  <c r="E559" i="8" a="1"/>
  <c r="E559" i="8" s="1"/>
  <c r="D567" i="8" a="1"/>
  <c r="D567" i="8" s="1"/>
  <c r="E567" i="8" a="1"/>
  <c r="E567" i="8" s="1"/>
  <c r="C567" i="8" a="1"/>
  <c r="C567" i="8" s="1"/>
  <c r="C575" i="8" a="1"/>
  <c r="C575" i="8" s="1"/>
  <c r="E575" i="8" a="1"/>
  <c r="E575" i="8" s="1"/>
  <c r="D575" i="8" a="1"/>
  <c r="D575" i="8" s="1"/>
  <c r="E583" i="8" a="1"/>
  <c r="E583" i="8" s="1"/>
  <c r="D583" i="8" a="1"/>
  <c r="D583" i="8" s="1"/>
  <c r="C583" i="8" a="1"/>
  <c r="C583" i="8" s="1"/>
  <c r="D591" i="8" a="1"/>
  <c r="D591" i="8" s="1"/>
  <c r="E591" i="8" a="1"/>
  <c r="E591" i="8" s="1"/>
  <c r="C591" i="8" a="1"/>
  <c r="C591" i="8" s="1"/>
  <c r="E599" i="8" a="1"/>
  <c r="E599" i="8" s="1"/>
  <c r="D599" i="8" a="1"/>
  <c r="D599" i="8" s="1"/>
  <c r="C599" i="8" a="1"/>
  <c r="C599" i="8" s="1"/>
  <c r="C607" i="8" a="1"/>
  <c r="C607" i="8" s="1"/>
  <c r="E607" i="8" a="1"/>
  <c r="E607" i="8" s="1"/>
  <c r="D607" i="8" a="1"/>
  <c r="D607" i="8" s="1"/>
  <c r="E615" i="8" a="1"/>
  <c r="E615" i="8" s="1"/>
  <c r="D615" i="8" a="1"/>
  <c r="D615" i="8" s="1"/>
  <c r="C615" i="8" a="1"/>
  <c r="C615" i="8" s="1"/>
  <c r="E258" i="8" a="1"/>
  <c r="E258" i="8" s="1"/>
  <c r="D258" i="8" a="1"/>
  <c r="D258" i="8" s="1"/>
  <c r="C258" i="8" a="1"/>
  <c r="C258" i="8" s="1"/>
  <c r="E266" i="8" a="1"/>
  <c r="E266" i="8" s="1"/>
  <c r="D266" i="8" a="1"/>
  <c r="D266" i="8" s="1"/>
  <c r="C266" i="8" a="1"/>
  <c r="C266" i="8" s="1"/>
  <c r="D274" i="8" a="1"/>
  <c r="D274" i="8" s="1"/>
  <c r="E274" i="8" a="1"/>
  <c r="E274" i="8" s="1"/>
  <c r="C274" i="8" a="1"/>
  <c r="C274" i="8" s="1"/>
  <c r="E282" i="8" a="1"/>
  <c r="E282" i="8" s="1"/>
  <c r="D282" i="8" a="1"/>
  <c r="D282" i="8" s="1"/>
  <c r="C282" i="8" a="1"/>
  <c r="C282" i="8" s="1"/>
  <c r="E290" i="8" a="1"/>
  <c r="E290" i="8" s="1"/>
  <c r="D290" i="8" a="1"/>
  <c r="D290" i="8" s="1"/>
  <c r="C290" i="8" a="1"/>
  <c r="C290" i="8" s="1"/>
  <c r="E298" i="8" a="1"/>
  <c r="E298" i="8" s="1"/>
  <c r="D298" i="8" a="1"/>
  <c r="D298" i="8" s="1"/>
  <c r="C298" i="8" a="1"/>
  <c r="C298" i="8" s="1"/>
  <c r="E306" i="8" a="1"/>
  <c r="E306" i="8" s="1"/>
  <c r="D306" i="8" a="1"/>
  <c r="D306" i="8" s="1"/>
  <c r="C306" i="8" a="1"/>
  <c r="C306" i="8" s="1"/>
  <c r="E314" i="8" a="1"/>
  <c r="E314" i="8" s="1"/>
  <c r="D314" i="8" a="1"/>
  <c r="D314" i="8" s="1"/>
  <c r="C314" i="8" a="1"/>
  <c r="C314" i="8" s="1"/>
  <c r="E322" i="8" a="1"/>
  <c r="E322" i="8" s="1"/>
  <c r="D322" i="8" a="1"/>
  <c r="D322" i="8" s="1"/>
  <c r="C322" i="8" a="1"/>
  <c r="C322" i="8" s="1"/>
  <c r="D330" i="8" a="1"/>
  <c r="D330" i="8" s="1"/>
  <c r="E330" i="8" a="1"/>
  <c r="E330" i="8" s="1"/>
  <c r="C330" i="8" a="1"/>
  <c r="C330" i="8" s="1"/>
  <c r="E338" i="8" a="1"/>
  <c r="E338" i="8" s="1"/>
  <c r="D338" i="8" a="1"/>
  <c r="D338" i="8" s="1"/>
  <c r="C338" i="8" a="1"/>
  <c r="C338" i="8" s="1"/>
  <c r="C346" i="8" a="1"/>
  <c r="C346" i="8" s="1"/>
  <c r="E346" i="8" a="1"/>
  <c r="E346" i="8" s="1"/>
  <c r="D346" i="8" a="1"/>
  <c r="D346" i="8" s="1"/>
  <c r="E354" i="8" a="1"/>
  <c r="E354" i="8" s="1"/>
  <c r="D354" i="8" a="1"/>
  <c r="D354" i="8" s="1"/>
  <c r="C354" i="8" a="1"/>
  <c r="C354" i="8" s="1"/>
  <c r="C362" i="8" a="1"/>
  <c r="C362" i="8" s="1"/>
  <c r="E362" i="8" a="1"/>
  <c r="E362" i="8" s="1"/>
  <c r="D362" i="8" a="1"/>
  <c r="D362" i="8" s="1"/>
  <c r="E370" i="8" a="1"/>
  <c r="E370" i="8" s="1"/>
  <c r="D370" i="8" a="1"/>
  <c r="D370" i="8" s="1"/>
  <c r="C370" i="8" a="1"/>
  <c r="C370" i="8" s="1"/>
  <c r="D378" i="8" a="1"/>
  <c r="D378" i="8" s="1"/>
  <c r="E378" i="8" a="1"/>
  <c r="E378" i="8" s="1"/>
  <c r="C378" i="8" a="1"/>
  <c r="C378" i="8" s="1"/>
  <c r="E386" i="8" a="1"/>
  <c r="E386" i="8" s="1"/>
  <c r="D386" i="8" a="1"/>
  <c r="D386" i="8" s="1"/>
  <c r="C386" i="8" a="1"/>
  <c r="C386" i="8" s="1"/>
  <c r="D394" i="8" a="1"/>
  <c r="D394" i="8" s="1"/>
  <c r="C394" i="8" a="1"/>
  <c r="C394" i="8" s="1"/>
  <c r="E394" i="8" a="1"/>
  <c r="E394" i="8" s="1"/>
  <c r="E402" i="8" a="1"/>
  <c r="E402" i="8" s="1"/>
  <c r="D402" i="8" a="1"/>
  <c r="D402" i="8" s="1"/>
  <c r="C402" i="8" a="1"/>
  <c r="C402" i="8" s="1"/>
  <c r="E410" i="8" a="1"/>
  <c r="E410" i="8" s="1"/>
  <c r="D410" i="8" a="1"/>
  <c r="D410" i="8" s="1"/>
  <c r="C410" i="8" a="1"/>
  <c r="C410" i="8" s="1"/>
  <c r="E426" i="8" a="1"/>
  <c r="E426" i="8" s="1"/>
  <c r="C426" i="8" a="1"/>
  <c r="C426" i="8" s="1"/>
  <c r="D426" i="8" a="1"/>
  <c r="D426" i="8" s="1"/>
  <c r="E434" i="8" a="1"/>
  <c r="E434" i="8" s="1"/>
  <c r="D434" i="8" a="1"/>
  <c r="D434" i="8" s="1"/>
  <c r="C434" i="8" a="1"/>
  <c r="C434" i="8" s="1"/>
  <c r="E442" i="8" a="1"/>
  <c r="E442" i="8" s="1"/>
  <c r="D442" i="8" a="1"/>
  <c r="D442" i="8" s="1"/>
  <c r="C442" i="8" a="1"/>
  <c r="C442" i="8" s="1"/>
  <c r="E450" i="8" a="1"/>
  <c r="E450" i="8" s="1"/>
  <c r="C450" i="8" a="1"/>
  <c r="C450" i="8" s="1"/>
  <c r="D450" i="8" a="1"/>
  <c r="D450" i="8" s="1"/>
  <c r="E458" i="8" a="1"/>
  <c r="E458" i="8" s="1"/>
  <c r="D458" i="8" a="1"/>
  <c r="D458" i="8" s="1"/>
  <c r="C458" i="8" a="1"/>
  <c r="C458" i="8" s="1"/>
  <c r="D466" i="8" a="1"/>
  <c r="D466" i="8" s="1"/>
  <c r="C466" i="8" a="1"/>
  <c r="C466" i="8" s="1"/>
  <c r="E466" i="8" a="1"/>
  <c r="E466" i="8" s="1"/>
  <c r="E474" i="8" a="1"/>
  <c r="E474" i="8" s="1"/>
  <c r="D474" i="8" a="1"/>
  <c r="D474" i="8" s="1"/>
  <c r="C474" i="8" a="1"/>
  <c r="C474" i="8" s="1"/>
  <c r="D482" i="8" a="1"/>
  <c r="D482" i="8" s="1"/>
  <c r="C482" i="8" a="1"/>
  <c r="C482" i="8" s="1"/>
  <c r="E482" i="8" a="1"/>
  <c r="E482" i="8" s="1"/>
  <c r="E490" i="8" a="1"/>
  <c r="E490" i="8" s="1"/>
  <c r="D490" i="8" a="1"/>
  <c r="D490" i="8" s="1"/>
  <c r="C490" i="8" a="1"/>
  <c r="C490" i="8" s="1"/>
  <c r="E498" i="8" a="1"/>
  <c r="E498" i="8" s="1"/>
  <c r="C498" i="8" a="1"/>
  <c r="C498" i="8" s="1"/>
  <c r="D498" i="8" a="1"/>
  <c r="D498" i="8" s="1"/>
  <c r="C506" i="8" a="1"/>
  <c r="C506" i="8" s="1"/>
  <c r="E506" i="8" a="1"/>
  <c r="E506" i="8" s="1"/>
  <c r="D506" i="8" a="1"/>
  <c r="D506" i="8" s="1"/>
  <c r="D514" i="8" a="1"/>
  <c r="D514" i="8" s="1"/>
  <c r="E514" i="8" a="1"/>
  <c r="E514" i="8" s="1"/>
  <c r="C514" i="8" a="1"/>
  <c r="C514" i="8" s="1"/>
  <c r="E522" i="8" a="1"/>
  <c r="E522" i="8" s="1"/>
  <c r="D522" i="8" a="1"/>
  <c r="D522" i="8" s="1"/>
  <c r="C522" i="8" a="1"/>
  <c r="C522" i="8" s="1"/>
  <c r="C530" i="8" a="1"/>
  <c r="C530" i="8" s="1"/>
  <c r="D530" i="8" a="1"/>
  <c r="D530" i="8" s="1"/>
  <c r="E530" i="8" a="1"/>
  <c r="E530" i="8" s="1"/>
  <c r="E538" i="8" a="1"/>
  <c r="E538" i="8" s="1"/>
  <c r="D538" i="8" a="1"/>
  <c r="D538" i="8" s="1"/>
  <c r="C538" i="8" a="1"/>
  <c r="C538" i="8" s="1"/>
  <c r="D546" i="8" a="1"/>
  <c r="D546" i="8" s="1"/>
  <c r="C546" i="8" a="1"/>
  <c r="C546" i="8" s="1"/>
  <c r="E546" i="8" a="1"/>
  <c r="E546" i="8" s="1"/>
  <c r="C554" i="8" a="1"/>
  <c r="C554" i="8" s="1"/>
  <c r="D554" i="8" a="1"/>
  <c r="D554" i="8" s="1"/>
  <c r="E554" i="8" a="1"/>
  <c r="E554" i="8" s="1"/>
  <c r="E562" i="8" a="1"/>
  <c r="E562" i="8" s="1"/>
  <c r="D562" i="8" a="1"/>
  <c r="D562" i="8" s="1"/>
  <c r="C562" i="8" a="1"/>
  <c r="C562" i="8" s="1"/>
  <c r="C570" i="8" a="1"/>
  <c r="C570" i="8" s="1"/>
  <c r="E570" i="8" a="1"/>
  <c r="E570" i="8" s="1"/>
  <c r="D570" i="8" a="1"/>
  <c r="D570" i="8" s="1"/>
  <c r="C578" i="8" a="1"/>
  <c r="C578" i="8" s="1"/>
  <c r="D578" i="8" a="1"/>
  <c r="D578" i="8" s="1"/>
  <c r="E578" i="8" a="1"/>
  <c r="E578" i="8" s="1"/>
  <c r="D418" i="8" a="1"/>
  <c r="D418" i="8" s="1"/>
  <c r="E418" i="8" a="1"/>
  <c r="E418" i="8" s="1"/>
  <c r="C418" i="8" a="1"/>
  <c r="C418" i="8" s="1"/>
  <c r="U10" i="5"/>
  <c r="E261" i="8" a="1"/>
  <c r="E261" i="8" s="1"/>
  <c r="D261" i="8" a="1"/>
  <c r="D261" i="8" s="1"/>
  <c r="C261" i="8" a="1"/>
  <c r="C261" i="8" s="1"/>
  <c r="C269" i="8" a="1"/>
  <c r="C269" i="8" s="1"/>
  <c r="E269" i="8" a="1"/>
  <c r="E269" i="8" s="1"/>
  <c r="D269" i="8" a="1"/>
  <c r="D269" i="8" s="1"/>
  <c r="E277" i="8" a="1"/>
  <c r="E277" i="8" s="1"/>
  <c r="D277" i="8" a="1"/>
  <c r="D277" i="8" s="1"/>
  <c r="C277" i="8" a="1"/>
  <c r="C277" i="8" s="1"/>
  <c r="E285" i="8" a="1"/>
  <c r="E285" i="8" s="1"/>
  <c r="D285" i="8" a="1"/>
  <c r="D285" i="8" s="1"/>
  <c r="C285" i="8" a="1"/>
  <c r="C285" i="8" s="1"/>
  <c r="E293" i="8" a="1"/>
  <c r="E293" i="8" s="1"/>
  <c r="D293" i="8" a="1"/>
  <c r="D293" i="8" s="1"/>
  <c r="C293" i="8" a="1"/>
  <c r="C293" i="8" s="1"/>
  <c r="D301" i="8" a="1"/>
  <c r="D301" i="8" s="1"/>
  <c r="E301" i="8" a="1"/>
  <c r="E301" i="8" s="1"/>
  <c r="C301" i="8" a="1"/>
  <c r="C301" i="8" s="1"/>
  <c r="C309" i="8" a="1"/>
  <c r="C309" i="8" s="1"/>
  <c r="E309" i="8" a="1"/>
  <c r="E309" i="8" s="1"/>
  <c r="D309" i="8" a="1"/>
  <c r="D309" i="8" s="1"/>
  <c r="E317" i="8" a="1"/>
  <c r="E317" i="8" s="1"/>
  <c r="D317" i="8" a="1"/>
  <c r="D317" i="8" s="1"/>
  <c r="C317" i="8" a="1"/>
  <c r="C317" i="8" s="1"/>
  <c r="E325" i="8" a="1"/>
  <c r="E325" i="8" s="1"/>
  <c r="D325" i="8" a="1"/>
  <c r="D325" i="8" s="1"/>
  <c r="C325" i="8" a="1"/>
  <c r="C325" i="8" s="1"/>
  <c r="E333" i="8" a="1"/>
  <c r="E333" i="8" s="1"/>
  <c r="D333" i="8" a="1"/>
  <c r="D333" i="8" s="1"/>
  <c r="C333" i="8" a="1"/>
  <c r="C333" i="8" s="1"/>
  <c r="C341" i="8" a="1"/>
  <c r="C341" i="8" s="1"/>
  <c r="E341" i="8" a="1"/>
  <c r="E341" i="8" s="1"/>
  <c r="D341" i="8" a="1"/>
  <c r="D341" i="8" s="1"/>
  <c r="E349" i="8" a="1"/>
  <c r="E349" i="8" s="1"/>
  <c r="D349" i="8" a="1"/>
  <c r="D349" i="8" s="1"/>
  <c r="C349" i="8" a="1"/>
  <c r="C349" i="8" s="1"/>
  <c r="C357" i="8" a="1"/>
  <c r="C357" i="8" s="1"/>
  <c r="E357" i="8" a="1"/>
  <c r="E357" i="8" s="1"/>
  <c r="D357" i="8" a="1"/>
  <c r="D357" i="8" s="1"/>
  <c r="D365" i="8" a="1"/>
  <c r="D365" i="8" s="1"/>
  <c r="C365" i="8" a="1"/>
  <c r="C365" i="8" s="1"/>
  <c r="E365" i="8" a="1"/>
  <c r="E365" i="8" s="1"/>
  <c r="E373" i="8" a="1"/>
  <c r="E373" i="8" s="1"/>
  <c r="D373" i="8" a="1"/>
  <c r="D373" i="8" s="1"/>
  <c r="C373" i="8" a="1"/>
  <c r="C373" i="8" s="1"/>
  <c r="E381" i="8" a="1"/>
  <c r="E381" i="8" s="1"/>
  <c r="C381" i="8" a="1"/>
  <c r="C381" i="8" s="1"/>
  <c r="D381" i="8" a="1"/>
  <c r="D381" i="8" s="1"/>
  <c r="D389" i="8" a="1"/>
  <c r="D389" i="8" s="1"/>
  <c r="E389" i="8" a="1"/>
  <c r="E389" i="8" s="1"/>
  <c r="C389" i="8" a="1"/>
  <c r="C389" i="8" s="1"/>
  <c r="E397" i="8" a="1"/>
  <c r="E397" i="8" s="1"/>
  <c r="D397" i="8" a="1"/>
  <c r="D397" i="8" s="1"/>
  <c r="C397" i="8" a="1"/>
  <c r="C397" i="8" s="1"/>
  <c r="E405" i="8" a="1"/>
  <c r="E405" i="8" s="1"/>
  <c r="C405" i="8" a="1"/>
  <c r="C405" i="8" s="1"/>
  <c r="D405" i="8" a="1"/>
  <c r="D405" i="8" s="1"/>
  <c r="E413" i="8" a="1"/>
  <c r="E413" i="8" s="1"/>
  <c r="D413" i="8" a="1"/>
  <c r="D413" i="8" s="1"/>
  <c r="C413" i="8" a="1"/>
  <c r="C413" i="8" s="1"/>
  <c r="E421" i="8" a="1"/>
  <c r="E421" i="8" s="1"/>
  <c r="D421" i="8" a="1"/>
  <c r="D421" i="8" s="1"/>
  <c r="C421" i="8" a="1"/>
  <c r="C421" i="8" s="1"/>
  <c r="C429" i="8" a="1"/>
  <c r="C429" i="8" s="1"/>
  <c r="E429" i="8" a="1"/>
  <c r="E429" i="8" s="1"/>
  <c r="D429" i="8" a="1"/>
  <c r="D429" i="8" s="1"/>
  <c r="E437" i="8" a="1"/>
  <c r="E437" i="8" s="1"/>
  <c r="D437" i="8" a="1"/>
  <c r="D437" i="8" s="1"/>
  <c r="C437" i="8" a="1"/>
  <c r="C437" i="8" s="1"/>
  <c r="E445" i="8" a="1"/>
  <c r="E445" i="8" s="1"/>
  <c r="D445" i="8" a="1"/>
  <c r="D445" i="8" s="1"/>
  <c r="C445" i="8" a="1"/>
  <c r="C445" i="8" s="1"/>
  <c r="E453" i="8" a="1"/>
  <c r="E453" i="8" s="1"/>
  <c r="C453" i="8" a="1"/>
  <c r="C453" i="8" s="1"/>
  <c r="D453" i="8" a="1"/>
  <c r="D453" i="8" s="1"/>
  <c r="D461" i="8" a="1"/>
  <c r="D461" i="8" s="1"/>
  <c r="E461" i="8" a="1"/>
  <c r="E461" i="8" s="1"/>
  <c r="C461" i="8" a="1"/>
  <c r="C461" i="8" s="1"/>
  <c r="E469" i="8" a="1"/>
  <c r="E469" i="8" s="1"/>
  <c r="D469" i="8" a="1"/>
  <c r="D469" i="8" s="1"/>
  <c r="C469" i="8" a="1"/>
  <c r="C469" i="8" s="1"/>
  <c r="C477" i="8" a="1"/>
  <c r="C477" i="8" s="1"/>
  <c r="D477" i="8" a="1"/>
  <c r="D477" i="8" s="1"/>
  <c r="E477" i="8" a="1"/>
  <c r="E477" i="8" s="1"/>
  <c r="E485" i="8" a="1"/>
  <c r="E485" i="8" s="1"/>
  <c r="D485" i="8" a="1"/>
  <c r="D485" i="8" s="1"/>
  <c r="C485" i="8" a="1"/>
  <c r="C485" i="8" s="1"/>
  <c r="D493" i="8" a="1"/>
  <c r="D493" i="8" s="1"/>
  <c r="C493" i="8" a="1"/>
  <c r="C493" i="8" s="1"/>
  <c r="E493" i="8" a="1"/>
  <c r="E493" i="8" s="1"/>
  <c r="D501" i="8" a="1"/>
  <c r="D501" i="8" s="1"/>
  <c r="E501" i="8" a="1"/>
  <c r="E501" i="8" s="1"/>
  <c r="C501" i="8" a="1"/>
  <c r="C501" i="8" s="1"/>
  <c r="E509" i="8" a="1"/>
  <c r="E509" i="8" s="1"/>
  <c r="D509" i="8" a="1"/>
  <c r="D509" i="8" s="1"/>
  <c r="C509" i="8" a="1"/>
  <c r="C509" i="8" s="1"/>
  <c r="C517" i="8" a="1"/>
  <c r="C517" i="8" s="1"/>
  <c r="E517" i="8" a="1"/>
  <c r="E517" i="8" s="1"/>
  <c r="D517" i="8" a="1"/>
  <c r="D517" i="8" s="1"/>
  <c r="C525" i="8" a="1"/>
  <c r="C525" i="8" s="1"/>
  <c r="D525" i="8" a="1"/>
  <c r="D525" i="8" s="1"/>
  <c r="E525" i="8" a="1"/>
  <c r="E525" i="8" s="1"/>
  <c r="E533" i="8" a="1"/>
  <c r="E533" i="8" s="1"/>
  <c r="D533" i="8" a="1"/>
  <c r="D533" i="8" s="1"/>
  <c r="C533" i="8" a="1"/>
  <c r="C533" i="8" s="1"/>
  <c r="C541" i="8" a="1"/>
  <c r="C541" i="8" s="1"/>
  <c r="E541" i="8" a="1"/>
  <c r="E541" i="8" s="1"/>
  <c r="D541" i="8" a="1"/>
  <c r="D541" i="8" s="1"/>
  <c r="D549" i="8" a="1"/>
  <c r="D549" i="8" s="1"/>
  <c r="E549" i="8" a="1"/>
  <c r="E549" i="8" s="1"/>
  <c r="C549" i="8" a="1"/>
  <c r="C549" i="8" s="1"/>
  <c r="E557" i="8" a="1"/>
  <c r="E557" i="8" s="1"/>
  <c r="D557" i="8" a="1"/>
  <c r="D557" i="8" s="1"/>
  <c r="C557" i="8" a="1"/>
  <c r="C557" i="8" s="1"/>
  <c r="D565" i="8" a="1"/>
  <c r="D565" i="8" s="1"/>
  <c r="E565" i="8" a="1"/>
  <c r="E565" i="8" s="1"/>
  <c r="C565" i="8" a="1"/>
  <c r="C565" i="8" s="1"/>
  <c r="D573" i="8" a="1"/>
  <c r="D573" i="8" s="1"/>
  <c r="E573" i="8" a="1"/>
  <c r="E573" i="8" s="1"/>
  <c r="C573" i="8" a="1"/>
  <c r="C573" i="8" s="1"/>
  <c r="E581" i="8" a="1"/>
  <c r="E581" i="8" s="1"/>
  <c r="D581" i="8" a="1"/>
  <c r="D581" i="8" s="1"/>
  <c r="C581" i="8" a="1"/>
  <c r="C581" i="8" s="1"/>
  <c r="E589" i="8" a="1"/>
  <c r="E589" i="8" s="1"/>
  <c r="D589" i="8" a="1"/>
  <c r="D589" i="8" s="1"/>
  <c r="C589" i="8" a="1"/>
  <c r="C589" i="8" s="1"/>
  <c r="E264" i="8" a="1"/>
  <c r="E264" i="8" s="1"/>
  <c r="C264" i="8" a="1"/>
  <c r="C264" i="8" s="1"/>
  <c r="D264" i="8" a="1"/>
  <c r="D264" i="8" s="1"/>
  <c r="D272" i="8" a="1"/>
  <c r="D272" i="8" s="1"/>
  <c r="E272" i="8" a="1"/>
  <c r="E272" i="8" s="1"/>
  <c r="C272" i="8" a="1"/>
  <c r="C272" i="8" s="1"/>
  <c r="E280" i="8" a="1"/>
  <c r="E280" i="8" s="1"/>
  <c r="D280" i="8" a="1"/>
  <c r="D280" i="8" s="1"/>
  <c r="C280" i="8" a="1"/>
  <c r="C280" i="8" s="1"/>
  <c r="C288" i="8" a="1"/>
  <c r="C288" i="8" s="1"/>
  <c r="D288" i="8" a="1"/>
  <c r="D288" i="8" s="1"/>
  <c r="E288" i="8" a="1"/>
  <c r="E288" i="8" s="1"/>
  <c r="D296" i="8" a="1"/>
  <c r="D296" i="8" s="1"/>
  <c r="E296" i="8" a="1"/>
  <c r="E296" i="8" s="1"/>
  <c r="C296" i="8" a="1"/>
  <c r="C296" i="8" s="1"/>
  <c r="E304" i="8" a="1"/>
  <c r="E304" i="8" s="1"/>
  <c r="D304" i="8" a="1"/>
  <c r="D304" i="8" s="1"/>
  <c r="C304" i="8" a="1"/>
  <c r="C304" i="8" s="1"/>
  <c r="E312" i="8" a="1"/>
  <c r="E312" i="8" s="1"/>
  <c r="D312" i="8" a="1"/>
  <c r="D312" i="8" s="1"/>
  <c r="C312" i="8" a="1"/>
  <c r="C312" i="8" s="1"/>
  <c r="D320" i="8" a="1"/>
  <c r="D320" i="8" s="1"/>
  <c r="E328" i="8" a="1"/>
  <c r="E328" i="8" s="1"/>
  <c r="C336" i="8" a="1"/>
  <c r="C336" i="8" s="1"/>
  <c r="C344" i="8" a="1"/>
  <c r="C344" i="8" s="1"/>
  <c r="D352" i="8" a="1"/>
  <c r="D352" i="8" s="1"/>
  <c r="E360" i="8" a="1"/>
  <c r="E360" i="8" s="1"/>
  <c r="E368" i="8" a="1"/>
  <c r="E368" i="8" s="1"/>
  <c r="E376" i="8" a="1"/>
  <c r="E376" i="8" s="1"/>
  <c r="E384" i="8" a="1"/>
  <c r="E384" i="8" s="1"/>
  <c r="E392" i="8" a="1"/>
  <c r="E392" i="8" s="1"/>
  <c r="C400" i="8" a="1"/>
  <c r="C400" i="8" s="1"/>
  <c r="D416" i="8" a="1"/>
  <c r="D416" i="8" s="1"/>
  <c r="D424" i="8" a="1"/>
  <c r="D424" i="8" s="1"/>
  <c r="D432" i="8" a="1"/>
  <c r="D432" i="8" s="1"/>
  <c r="D440" i="8" a="1"/>
  <c r="D440" i="8" s="1"/>
  <c r="E448" i="8" a="1"/>
  <c r="E448" i="8" s="1"/>
  <c r="E456" i="8" a="1"/>
  <c r="E456" i="8" s="1"/>
  <c r="E464" i="8" a="1"/>
  <c r="E464" i="8" s="1"/>
  <c r="E472" i="8" a="1"/>
  <c r="E472" i="8" s="1"/>
  <c r="E480" i="8" a="1"/>
  <c r="E480" i="8" s="1"/>
  <c r="E488" i="8" a="1"/>
  <c r="E488" i="8" s="1"/>
  <c r="D496" i="8" a="1"/>
  <c r="D496" i="8" s="1"/>
  <c r="E504" i="8" a="1"/>
  <c r="E504" i="8" s="1"/>
  <c r="E259" i="8" a="1"/>
  <c r="E259" i="8" s="1"/>
  <c r="C259" i="8" a="1"/>
  <c r="C259" i="8" s="1"/>
  <c r="E267" i="8" a="1"/>
  <c r="E267" i="8" s="1"/>
  <c r="D283" i="8" a="1"/>
  <c r="D283" i="8" s="1"/>
  <c r="C283" i="8" a="1"/>
  <c r="C283" i="8" s="1"/>
  <c r="E315" i="8" a="1"/>
  <c r="E315" i="8" s="1"/>
  <c r="C323" i="8" a="1"/>
  <c r="C323" i="8" s="1"/>
  <c r="E347" i="8" a="1"/>
  <c r="E347" i="8" s="1"/>
  <c r="C347" i="8" a="1"/>
  <c r="C347" i="8" s="1"/>
  <c r="E355" i="8" a="1"/>
  <c r="E355" i="8" s="1"/>
  <c r="D379" i="8" a="1"/>
  <c r="D379" i="8" s="1"/>
  <c r="C387" i="8" a="1"/>
  <c r="C387" i="8" s="1"/>
  <c r="D395" i="8" a="1"/>
  <c r="D395" i="8" s="1"/>
  <c r="C403" i="8" a="1"/>
  <c r="C403" i="8" s="1"/>
  <c r="E403" i="8" a="1"/>
  <c r="E403" i="8" s="1"/>
  <c r="E427" i="8" a="1"/>
  <c r="E427" i="8" s="1"/>
  <c r="E435" i="8" a="1"/>
  <c r="E435" i="8" s="1"/>
  <c r="C435" i="8" a="1"/>
  <c r="C435" i="8" s="1"/>
  <c r="E459" i="8" a="1"/>
  <c r="E459" i="8" s="1"/>
  <c r="C459" i="8" a="1"/>
  <c r="C459" i="8" s="1"/>
  <c r="D467" i="8" a="1"/>
  <c r="D467" i="8" s="1"/>
  <c r="E483" i="8" a="1"/>
  <c r="E483" i="8" s="1"/>
  <c r="D483" i="8" a="1"/>
  <c r="D483" i="8" s="1"/>
  <c r="E491" i="8" a="1"/>
  <c r="E491" i="8" s="1"/>
  <c r="C507" i="8" a="1"/>
  <c r="C507" i="8" s="1"/>
  <c r="D515" i="8" a="1"/>
  <c r="D515" i="8" s="1"/>
  <c r="E515" i="8" a="1"/>
  <c r="E515" i="8" s="1"/>
  <c r="E531" i="8" a="1"/>
  <c r="E531" i="8" s="1"/>
  <c r="D531" i="8" a="1"/>
  <c r="D531" i="8" s="1"/>
  <c r="D539" i="8" a="1"/>
  <c r="D539" i="8" s="1"/>
  <c r="E539" i="8" a="1"/>
  <c r="E539" i="8" s="1"/>
  <c r="E555" i="8" a="1"/>
  <c r="E555" i="8" s="1"/>
  <c r="D555" i="8" a="1"/>
  <c r="D555" i="8" s="1"/>
  <c r="C563" i="8" a="1"/>
  <c r="C563" i="8" s="1"/>
  <c r="C571" i="8" a="1"/>
  <c r="C571" i="8" s="1"/>
  <c r="E579" i="8" a="1"/>
  <c r="E579" i="8" s="1"/>
  <c r="D579" i="8" a="1"/>
  <c r="D579" i="8" s="1"/>
  <c r="D587" i="8" a="1"/>
  <c r="D587" i="8" s="1"/>
  <c r="C603" i="8" a="1"/>
  <c r="C603" i="8" s="1"/>
  <c r="C611" i="8" a="1"/>
  <c r="C611" i="8" s="1"/>
  <c r="D619" i="8" a="1"/>
  <c r="D619" i="8" s="1"/>
  <c r="D627" i="8" a="1"/>
  <c r="D627" i="8" s="1"/>
  <c r="E627" i="8" a="1"/>
  <c r="E627" i="8" s="1"/>
  <c r="C643" i="8" a="1"/>
  <c r="C643" i="8" s="1"/>
  <c r="E651" i="8" a="1"/>
  <c r="E651" i="8" s="1"/>
  <c r="E257" i="8" a="1"/>
  <c r="E257" i="8" s="1"/>
  <c r="E275" i="8" a="1"/>
  <c r="E275" i="8" s="1"/>
  <c r="D307" i="8" a="1"/>
  <c r="D307" i="8" s="1"/>
  <c r="E331" i="8" a="1"/>
  <c r="E331" i="8" s="1"/>
  <c r="D344" i="8" a="1"/>
  <c r="D344" i="8" s="1"/>
  <c r="D380" i="8" a="1"/>
  <c r="D380" i="8" s="1"/>
  <c r="D387" i="8" a="1"/>
  <c r="D387" i="8" s="1"/>
  <c r="D451" i="8" a="1"/>
  <c r="D451" i="8" s="1"/>
  <c r="E528" i="8" a="1"/>
  <c r="E528" i="8" s="1"/>
  <c r="D536" i="8" a="1"/>
  <c r="D536" i="8" s="1"/>
  <c r="C544" i="8" a="1"/>
  <c r="C544" i="8" s="1"/>
  <c r="C590" i="8" a="1"/>
  <c r="C590" i="8" s="1"/>
  <c r="C605" i="8" a="1"/>
  <c r="C605" i="8" s="1"/>
  <c r="D621" i="8" a="1"/>
  <c r="D621" i="8" s="1"/>
  <c r="C638" i="8" a="1"/>
  <c r="C638" i="8" s="1"/>
  <c r="C646" i="8" a="1"/>
  <c r="C646" i="8" s="1"/>
  <c r="C320" i="8" a="1"/>
  <c r="C320" i="8" s="1"/>
  <c r="C332" i="8" a="1"/>
  <c r="C332" i="8" s="1"/>
  <c r="E344" i="8" a="1"/>
  <c r="E344" i="8" s="1"/>
  <c r="C356" i="8" a="1"/>
  <c r="C356" i="8" s="1"/>
  <c r="E380" i="8" a="1"/>
  <c r="E380" i="8" s="1"/>
  <c r="C552" i="8" a="1"/>
  <c r="C552" i="8" s="1"/>
  <c r="D590" i="8" a="1"/>
  <c r="D590" i="8" s="1"/>
  <c r="D605" i="8" a="1"/>
  <c r="D605" i="8" s="1"/>
  <c r="C614" i="8" a="1"/>
  <c r="C614" i="8" s="1"/>
  <c r="C630" i="8" a="1"/>
  <c r="C630" i="8" s="1"/>
  <c r="E598" i="8" a="1"/>
  <c r="E598" i="8" s="1"/>
  <c r="C598" i="8" a="1"/>
  <c r="C598" i="8" s="1"/>
  <c r="C622" i="8" a="1"/>
  <c r="C622" i="8" s="1"/>
  <c r="D622" i="8" a="1"/>
  <c r="D622" i="8" s="1"/>
  <c r="E638" i="8" a="1"/>
  <c r="E638" i="8" s="1"/>
  <c r="E646" i="8" a="1"/>
  <c r="E646" i="8" s="1"/>
  <c r="E654" i="8" a="1"/>
  <c r="E654" i="8" s="1"/>
  <c r="D654" i="8" a="1"/>
  <c r="D654" i="8" s="1"/>
  <c r="C654" i="8" a="1"/>
  <c r="C654" i="8" s="1"/>
  <c r="D332" i="8" a="1"/>
  <c r="D332" i="8" s="1"/>
  <c r="D388" i="8" a="1"/>
  <c r="D388" i="8" s="1"/>
  <c r="C460" i="8" a="1"/>
  <c r="C460" i="8" s="1"/>
  <c r="C484" i="8" a="1"/>
  <c r="C484" i="8" s="1"/>
  <c r="D552" i="8" a="1"/>
  <c r="D552" i="8" s="1"/>
  <c r="C606" i="8" a="1"/>
  <c r="C606" i="8" s="1"/>
  <c r="D614" i="8" a="1"/>
  <c r="D614" i="8" s="1"/>
  <c r="E622" i="8" a="1"/>
  <c r="E622" i="8" s="1"/>
  <c r="D630" i="8" a="1"/>
  <c r="D630" i="8" s="1"/>
  <c r="D639" i="8" a="1"/>
  <c r="D639" i="8" s="1"/>
  <c r="C647" i="8" a="1"/>
  <c r="C647" i="8" s="1"/>
  <c r="C368" i="8" a="1"/>
  <c r="C368" i="8" s="1"/>
  <c r="D460" i="8" a="1"/>
  <c r="D460" i="8" s="1"/>
  <c r="D576" i="8" a="1"/>
  <c r="D576" i="8" s="1"/>
  <c r="D598" i="8" a="1"/>
  <c r="D598" i="8" s="1"/>
  <c r="D606" i="8" a="1"/>
  <c r="D606" i="8" s="1"/>
  <c r="E639" i="8" a="1"/>
  <c r="E639" i="8" s="1"/>
  <c r="E265" i="8" a="1"/>
  <c r="E265" i="8" s="1"/>
  <c r="D265" i="8" a="1"/>
  <c r="D265" i="8" s="1"/>
  <c r="E273" i="8" a="1"/>
  <c r="E273" i="8" s="1"/>
  <c r="D281" i="8" a="1"/>
  <c r="D281" i="8" s="1"/>
  <c r="E297" i="8" a="1"/>
  <c r="E297" i="8" s="1"/>
  <c r="D297" i="8" a="1"/>
  <c r="D297" i="8" s="1"/>
  <c r="E305" i="8" a="1"/>
  <c r="E305" i="8" s="1"/>
  <c r="C321" i="8" a="1"/>
  <c r="C321" i="8" s="1"/>
  <c r="D337" i="8" a="1"/>
  <c r="D337" i="8" s="1"/>
  <c r="C353" i="8" a="1"/>
  <c r="C353" i="8" s="1"/>
  <c r="E361" i="8" a="1"/>
  <c r="E361" i="8" s="1"/>
  <c r="E369" i="8" a="1"/>
  <c r="E369" i="8" s="1"/>
  <c r="D369" i="8" a="1"/>
  <c r="D369" i="8" s="1"/>
  <c r="D377" i="8" a="1"/>
  <c r="D377" i="8" s="1"/>
  <c r="E377" i="8" a="1"/>
  <c r="E377" i="8" s="1"/>
  <c r="C385" i="8" a="1"/>
  <c r="C385" i="8" s="1"/>
  <c r="E385" i="8" a="1"/>
  <c r="E385" i="8" s="1"/>
  <c r="C393" i="8" a="1"/>
  <c r="C393" i="8" s="1"/>
  <c r="D401" i="8" a="1"/>
  <c r="D401" i="8" s="1"/>
  <c r="E409" i="8" a="1"/>
  <c r="E409" i="8" s="1"/>
  <c r="E417" i="8" a="1"/>
  <c r="E417" i="8" s="1"/>
  <c r="C417" i="8" a="1"/>
  <c r="C417" i="8" s="1"/>
  <c r="E425" i="8" a="1"/>
  <c r="E425" i="8" s="1"/>
  <c r="E433" i="8" a="1"/>
  <c r="E433" i="8" s="1"/>
  <c r="E441" i="8" a="1"/>
  <c r="E441" i="8" s="1"/>
  <c r="C441" i="8" a="1"/>
  <c r="C441" i="8" s="1"/>
  <c r="E449" i="8" a="1"/>
  <c r="E449" i="8" s="1"/>
  <c r="C449" i="8" a="1"/>
  <c r="C449" i="8" s="1"/>
  <c r="D457" i="8" a="1"/>
  <c r="D457" i="8" s="1"/>
  <c r="E457" i="8" a="1"/>
  <c r="E457" i="8" s="1"/>
  <c r="E473" i="8" a="1"/>
  <c r="E473" i="8" s="1"/>
  <c r="D473" i="8" a="1"/>
  <c r="D473" i="8" s="1"/>
  <c r="D481" i="8" a="1"/>
  <c r="D481" i="8" s="1"/>
  <c r="C489" i="8" a="1"/>
  <c r="C489" i="8" s="1"/>
  <c r="E497" i="8" a="1"/>
  <c r="E497" i="8" s="1"/>
  <c r="C497" i="8" a="1"/>
  <c r="C497" i="8" s="1"/>
  <c r="E505" i="8" a="1"/>
  <c r="E505" i="8" s="1"/>
  <c r="C505" i="8" a="1"/>
  <c r="C505" i="8" s="1"/>
  <c r="C513" i="8" a="1"/>
  <c r="C513" i="8" s="1"/>
  <c r="E521" i="8" a="1"/>
  <c r="E521" i="8" s="1"/>
  <c r="C537" i="8" a="1"/>
  <c r="C537" i="8" s="1"/>
  <c r="C545" i="8" a="1"/>
  <c r="C545" i="8" s="1"/>
  <c r="C553" i="8" a="1"/>
  <c r="C553" i="8" s="1"/>
  <c r="D561" i="8" a="1"/>
  <c r="D561" i="8" s="1"/>
  <c r="E569" i="8" a="1"/>
  <c r="E569" i="8" s="1"/>
  <c r="E593" i="8" a="1"/>
  <c r="E593" i="8" s="1"/>
  <c r="D593" i="8" a="1"/>
  <c r="D593" i="8" s="1"/>
  <c r="D601" i="8" a="1"/>
  <c r="D601" i="8" s="1"/>
  <c r="E601" i="8" a="1"/>
  <c r="E601" i="8" s="1"/>
  <c r="D609" i="8" a="1"/>
  <c r="D609" i="8" s="1"/>
  <c r="C617" i="8" a="1"/>
  <c r="C617" i="8" s="1"/>
  <c r="E633" i="8" a="1"/>
  <c r="E633" i="8" s="1"/>
  <c r="D633" i="8" a="1"/>
  <c r="D633" i="8" s="1"/>
  <c r="E641" i="8" a="1"/>
  <c r="E641" i="8" s="1"/>
  <c r="D649" i="8" a="1"/>
  <c r="D649" i="8" s="1"/>
  <c r="C649" i="8" a="1"/>
  <c r="C649" i="8" s="1"/>
  <c r="D321" i="8" a="1"/>
  <c r="D321" i="8" s="1"/>
  <c r="D339" i="8" a="1"/>
  <c r="D339" i="8" s="1"/>
  <c r="C424" i="8" a="1"/>
  <c r="C424" i="8" s="1"/>
  <c r="C432" i="8" a="1"/>
  <c r="C432" i="8" s="1"/>
  <c r="D476" i="8" a="1"/>
  <c r="D476" i="8" s="1"/>
  <c r="D492" i="8" a="1"/>
  <c r="D492" i="8" s="1"/>
  <c r="D507" i="8" a="1"/>
  <c r="D507" i="8" s="1"/>
  <c r="C523" i="8" a="1"/>
  <c r="C523" i="8" s="1"/>
  <c r="D553" i="8" a="1"/>
  <c r="D553" i="8" s="1"/>
  <c r="E561" i="8" a="1"/>
  <c r="E561" i="8" s="1"/>
  <c r="C569" i="8" a="1"/>
  <c r="C569" i="8" s="1"/>
  <c r="C584" i="8" a="1"/>
  <c r="C584" i="8" s="1"/>
  <c r="C624" i="8" a="1"/>
  <c r="C624" i="8" s="1"/>
  <c r="D631" i="8" a="1"/>
  <c r="D631" i="8" s="1"/>
  <c r="D640" i="8" a="1"/>
  <c r="D640" i="8" s="1"/>
  <c r="D648" i="8" a="1"/>
  <c r="D648" i="8" s="1"/>
  <c r="C328" i="8" a="1"/>
  <c r="C328" i="8" s="1"/>
  <c r="E631" i="8" a="1"/>
  <c r="E631" i="8" s="1"/>
  <c r="C316" i="8" a="1"/>
  <c r="C316" i="8" s="1"/>
  <c r="D324" i="8" a="1"/>
  <c r="D324" i="8" s="1"/>
  <c r="C348" i="8" a="1"/>
  <c r="C348" i="8" s="1"/>
  <c r="E356" i="8" a="1"/>
  <c r="E356" i="8" s="1"/>
  <c r="D364" i="8" a="1"/>
  <c r="D364" i="8" s="1"/>
  <c r="D372" i="8" a="1"/>
  <c r="D372" i="8" s="1"/>
  <c r="E372" i="8" a="1"/>
  <c r="E372" i="8" s="1"/>
  <c r="C388" i="8" a="1"/>
  <c r="C388" i="8" s="1"/>
  <c r="E396" i="8" a="1"/>
  <c r="E396" i="8" s="1"/>
  <c r="D396" i="8" a="1"/>
  <c r="D396" i="8" s="1"/>
  <c r="E404" i="8" a="1"/>
  <c r="E404" i="8" s="1"/>
  <c r="E412" i="8" a="1"/>
  <c r="E412" i="8" s="1"/>
  <c r="C412" i="8" a="1"/>
  <c r="C412" i="8" s="1"/>
  <c r="D420" i="8" a="1"/>
  <c r="D420" i="8" s="1"/>
  <c r="E420" i="8" a="1"/>
  <c r="E420" i="8" s="1"/>
  <c r="E436" i="8" a="1"/>
  <c r="E436" i="8" s="1"/>
  <c r="C436" i="8" a="1"/>
  <c r="C436" i="8" s="1"/>
  <c r="C444" i="8" a="1"/>
  <c r="C444" i="8" s="1"/>
  <c r="D444" i="8" a="1"/>
  <c r="D444" i="8" s="1"/>
  <c r="E452" i="8" a="1"/>
  <c r="E452" i="8" s="1"/>
  <c r="C452" i="8" a="1"/>
  <c r="C452" i="8" s="1"/>
  <c r="E468" i="8" a="1"/>
  <c r="E468" i="8" s="1"/>
  <c r="D468" i="8" a="1"/>
  <c r="D468" i="8" s="1"/>
  <c r="C476" i="8" a="1"/>
  <c r="C476" i="8" s="1"/>
  <c r="D484" i="8" a="1"/>
  <c r="D484" i="8" s="1"/>
  <c r="C492" i="8" a="1"/>
  <c r="C492" i="8" s="1"/>
  <c r="D500" i="8" a="1"/>
  <c r="D500" i="8" s="1"/>
  <c r="C508" i="8" a="1"/>
  <c r="C508" i="8" s="1"/>
  <c r="E516" i="8" a="1"/>
  <c r="E516" i="8" s="1"/>
  <c r="D532" i="8" a="1"/>
  <c r="D532" i="8" s="1"/>
  <c r="E540" i="8" a="1"/>
  <c r="E540" i="8" s="1"/>
  <c r="E548" i="8" a="1"/>
  <c r="E548" i="8" s="1"/>
  <c r="D556" i="8" a="1"/>
  <c r="D556" i="8" s="1"/>
  <c r="C564" i="8" a="1"/>
  <c r="C564" i="8" s="1"/>
  <c r="D564" i="8" a="1"/>
  <c r="D564" i="8" s="1"/>
  <c r="D572" i="8" a="1"/>
  <c r="D572" i="8" s="1"/>
  <c r="D580" i="8" a="1"/>
  <c r="D580" i="8" s="1"/>
  <c r="E588" i="8" a="1"/>
  <c r="E588" i="8" s="1"/>
  <c r="D588" i="8" a="1"/>
  <c r="D588" i="8" s="1"/>
  <c r="C596" i="8" a="1"/>
  <c r="C596" i="8" s="1"/>
  <c r="C604" i="8" a="1"/>
  <c r="C604" i="8" s="1"/>
  <c r="C612" i="8" a="1"/>
  <c r="C612" i="8" s="1"/>
  <c r="E628" i="8" a="1"/>
  <c r="E628" i="8" s="1"/>
  <c r="D628" i="8" a="1"/>
  <c r="D628" i="8" s="1"/>
  <c r="D636" i="8" a="1"/>
  <c r="D636" i="8" s="1"/>
  <c r="D644" i="8" a="1"/>
  <c r="D644" i="8" s="1"/>
  <c r="C644" i="8" a="1"/>
  <c r="C644" i="8" s="1"/>
  <c r="E652" i="8" a="1"/>
  <c r="E652" i="8" s="1"/>
  <c r="D652" i="8" a="1"/>
  <c r="D652" i="8" s="1"/>
  <c r="C652" i="8" a="1"/>
  <c r="C652" i="8" s="1"/>
  <c r="D259" i="8" a="1"/>
  <c r="D259" i="8" s="1"/>
  <c r="C297" i="8" a="1"/>
  <c r="C297" i="8" s="1"/>
  <c r="D315" i="8" a="1"/>
  <c r="D315" i="8" s="1"/>
  <c r="C369" i="8" a="1"/>
  <c r="C369" i="8" s="1"/>
  <c r="C404" i="8" a="1"/>
  <c r="C404" i="8" s="1"/>
  <c r="D411" i="8" a="1"/>
  <c r="D411" i="8" s="1"/>
  <c r="C425" i="8" a="1"/>
  <c r="C425" i="8" s="1"/>
  <c r="C440" i="8" a="1"/>
  <c r="C440" i="8" s="1"/>
  <c r="E500" i="8" a="1"/>
  <c r="E500" i="8" s="1"/>
  <c r="D508" i="8" a="1"/>
  <c r="D508" i="8" s="1"/>
  <c r="C516" i="8" a="1"/>
  <c r="C516" i="8" s="1"/>
  <c r="C532" i="8" a="1"/>
  <c r="C532" i="8" s="1"/>
  <c r="C539" i="8" a="1"/>
  <c r="C539" i="8" s="1"/>
  <c r="D547" i="8" a="1"/>
  <c r="D547" i="8" s="1"/>
  <c r="D577" i="8" a="1"/>
  <c r="D577" i="8" s="1"/>
  <c r="C585" i="8" a="1"/>
  <c r="C585" i="8" s="1"/>
  <c r="C593" i="8" a="1"/>
  <c r="C593" i="8" s="1"/>
  <c r="C616" i="8" a="1"/>
  <c r="C616" i="8" s="1"/>
  <c r="C625" i="8" a="1"/>
  <c r="C625" i="8" s="1"/>
  <c r="C641" i="8" a="1"/>
  <c r="C641" i="8" s="1"/>
  <c r="E649" i="8" a="1"/>
  <c r="E649" i="8" s="1"/>
  <c r="C267" i="8" a="1"/>
  <c r="C267" i="8" s="1"/>
  <c r="C273" i="8" a="1"/>
  <c r="C273" i="8" s="1"/>
  <c r="D316" i="8" a="1"/>
  <c r="D316" i="8" s="1"/>
  <c r="C340" i="8" a="1"/>
  <c r="C340" i="8" s="1"/>
  <c r="C364" i="8" a="1"/>
  <c r="C364" i="8" s="1"/>
  <c r="C376" i="8" a="1"/>
  <c r="C376" i="8" s="1"/>
  <c r="D404" i="8" a="1"/>
  <c r="D404" i="8" s="1"/>
  <c r="D425" i="8" a="1"/>
  <c r="D425" i="8" s="1"/>
  <c r="C433" i="8" a="1"/>
  <c r="C433" i="8" s="1"/>
  <c r="C448" i="8" a="1"/>
  <c r="C448" i="8" s="1"/>
  <c r="E508" i="8" a="1"/>
  <c r="E508" i="8" s="1"/>
  <c r="D516" i="8" a="1"/>
  <c r="D516" i="8" s="1"/>
  <c r="C524" i="8" a="1"/>
  <c r="C524" i="8" s="1"/>
  <c r="C555" i="8" a="1"/>
  <c r="C555" i="8" s="1"/>
  <c r="C600" i="8" a="1"/>
  <c r="C600" i="8" s="1"/>
  <c r="C609" i="8" a="1"/>
  <c r="C609" i="8" s="1"/>
  <c r="C633" i="8" a="1"/>
  <c r="C633" i="8" s="1"/>
  <c r="D641" i="8" a="1"/>
  <c r="D641" i="8" s="1"/>
  <c r="C650" i="8" a="1"/>
  <c r="C650" i="8" s="1"/>
  <c r="E623" i="8" a="1"/>
  <c r="E623" i="8" s="1"/>
  <c r="D623" i="8" a="1"/>
  <c r="D623" i="8" s="1"/>
  <c r="E647" i="8" a="1"/>
  <c r="E647" i="8" s="1"/>
  <c r="E655" i="8" a="1"/>
  <c r="E655" i="8" s="1"/>
  <c r="D655" i="8" a="1"/>
  <c r="D655" i="8" s="1"/>
  <c r="C655" i="8" a="1"/>
  <c r="C655" i="8" s="1"/>
  <c r="E316" i="8" a="1"/>
  <c r="E316" i="8" s="1"/>
  <c r="D340" i="8" a="1"/>
  <c r="D340" i="8" s="1"/>
  <c r="D448" i="8" a="1"/>
  <c r="D448" i="8" s="1"/>
  <c r="D524" i="8" a="1"/>
  <c r="D524" i="8" s="1"/>
  <c r="E532" i="8" a="1"/>
  <c r="E532" i="8" s="1"/>
  <c r="C540" i="8" a="1"/>
  <c r="C540" i="8" s="1"/>
  <c r="C548" i="8" a="1"/>
  <c r="C548" i="8" s="1"/>
  <c r="C556" i="8" a="1"/>
  <c r="C556" i="8" s="1"/>
  <c r="D563" i="8" a="1"/>
  <c r="D563" i="8" s="1"/>
  <c r="D571" i="8" a="1"/>
  <c r="D571" i="8" s="1"/>
  <c r="C594" i="8" a="1"/>
  <c r="C594" i="8" s="1"/>
  <c r="D617" i="8" a="1"/>
  <c r="D617" i="8" s="1"/>
  <c r="C634" i="8" a="1"/>
  <c r="C634" i="8" s="1"/>
  <c r="C642" i="8" a="1"/>
  <c r="C642" i="8" s="1"/>
  <c r="E364" i="8" a="1"/>
  <c r="E364" i="8" s="1"/>
  <c r="D384" i="8" a="1"/>
  <c r="D384" i="8" s="1"/>
  <c r="D412" i="8" a="1"/>
  <c r="D412" i="8" s="1"/>
  <c r="D540" i="8" a="1"/>
  <c r="D540" i="8" s="1"/>
  <c r="E21" i="7" s="1"/>
  <c r="D548" i="8" a="1"/>
  <c r="D548" i="8" s="1"/>
  <c r="D594" i="8" a="1"/>
  <c r="D594" i="8" s="1"/>
  <c r="C610" i="8" a="1"/>
  <c r="C610" i="8" s="1"/>
  <c r="C651" i="8" a="1"/>
  <c r="C651" i="8" s="1"/>
  <c r="D586" i="8" a="1"/>
  <c r="D586" i="8" s="1"/>
  <c r="E602" i="8" a="1"/>
  <c r="E602" i="8" s="1"/>
  <c r="D618" i="8" a="1"/>
  <c r="D618" i="8" s="1"/>
  <c r="C618" i="8" a="1"/>
  <c r="C618" i="8" s="1"/>
  <c r="D626" i="8" a="1"/>
  <c r="D626" i="8" s="1"/>
  <c r="E634" i="8" a="1"/>
  <c r="E634" i="8" s="1"/>
  <c r="E642" i="8" a="1"/>
  <c r="E642" i="8" s="1"/>
  <c r="D650" i="8" a="1"/>
  <c r="D650" i="8" s="1"/>
  <c r="C360" i="8" a="1"/>
  <c r="C360" i="8" s="1"/>
  <c r="D392" i="8" a="1"/>
  <c r="D392" i="8" s="1"/>
  <c r="D464" i="8" a="1"/>
  <c r="D464" i="8" s="1"/>
  <c r="C480" i="8" a="1"/>
  <c r="C480" i="8" s="1"/>
  <c r="E556" i="8" a="1"/>
  <c r="E556" i="8" s="1"/>
  <c r="E564" i="8" a="1"/>
  <c r="E564" i="8" s="1"/>
  <c r="C572" i="8" a="1"/>
  <c r="C572" i="8" s="1"/>
  <c r="C580" i="8" a="1"/>
  <c r="C580" i="8" s="1"/>
  <c r="E586" i="8" a="1"/>
  <c r="E586" i="8" s="1"/>
  <c r="C602" i="8" a="1"/>
  <c r="C602" i="8" s="1"/>
  <c r="D610" i="8" a="1"/>
  <c r="D610" i="8" s="1"/>
  <c r="E618" i="8" a="1"/>
  <c r="E618" i="8" s="1"/>
  <c r="E626" i="8" a="1"/>
  <c r="E626" i="8" s="1"/>
  <c r="C635" i="8" a="1"/>
  <c r="C635" i="8" s="1"/>
  <c r="D643" i="8" a="1"/>
  <c r="D643" i="8" s="1"/>
  <c r="D348" i="8" a="1"/>
  <c r="D348" i="8" s="1"/>
  <c r="D360" i="8" a="1"/>
  <c r="D360" i="8" s="1"/>
  <c r="C456" i="8" a="1"/>
  <c r="C456" i="8" s="1"/>
  <c r="C472" i="8" a="1"/>
  <c r="C472" i="8" s="1"/>
  <c r="D480" i="8" a="1"/>
  <c r="D480" i="8" s="1"/>
  <c r="C587" i="8" a="1"/>
  <c r="C587" i="8" s="1"/>
  <c r="C595" i="8" a="1"/>
  <c r="C595" i="8" s="1"/>
  <c r="D602" i="8" a="1"/>
  <c r="D602" i="8" s="1"/>
  <c r="C619" i="8" a="1"/>
  <c r="C619" i="8" s="1"/>
  <c r="D635" i="8" a="1"/>
  <c r="D635" i="8" s="1"/>
  <c r="C597" i="8" a="1"/>
  <c r="C597" i="8" s="1"/>
  <c r="E597" i="8" a="1"/>
  <c r="E597" i="8" s="1"/>
  <c r="D613" i="8" a="1"/>
  <c r="D613" i="8" s="1"/>
  <c r="C613" i="8" a="1"/>
  <c r="C613" i="8" s="1"/>
  <c r="C621" i="8" a="1"/>
  <c r="C621" i="8" s="1"/>
  <c r="D629" i="8" a="1"/>
  <c r="D629" i="8" s="1"/>
  <c r="D637" i="8" a="1"/>
  <c r="D637" i="8" s="1"/>
  <c r="E637" i="8" a="1"/>
  <c r="E637" i="8" s="1"/>
  <c r="C653" i="8" a="1"/>
  <c r="C653" i="8" s="1"/>
  <c r="E653" i="8" a="1"/>
  <c r="E653" i="8" s="1"/>
  <c r="D653" i="8" a="1"/>
  <c r="D653" i="8" s="1"/>
  <c r="C324" i="8" a="1"/>
  <c r="C324" i="8" s="1"/>
  <c r="E348" i="8" a="1"/>
  <c r="E348" i="8" s="1"/>
  <c r="C428" i="8" a="1"/>
  <c r="C428" i="8" s="1"/>
  <c r="D488" i="8" a="1"/>
  <c r="D488" i="8" s="1"/>
  <c r="E572" i="8" a="1"/>
  <c r="E572" i="8" s="1"/>
  <c r="E580" i="8" a="1"/>
  <c r="E580" i="8" s="1"/>
  <c r="D595" i="8" a="1"/>
  <c r="D595" i="8" s="1"/>
  <c r="D603" i="8" a="1"/>
  <c r="D603" i="8" s="1"/>
  <c r="D611" i="8" a="1"/>
  <c r="D611" i="8" s="1"/>
  <c r="C628" i="8" a="1"/>
  <c r="C628" i="8" s="1"/>
  <c r="E644" i="8" a="1"/>
  <c r="E644" i="8" s="1"/>
  <c r="E324" i="8" a="1"/>
  <c r="E324" i="8" s="1"/>
  <c r="C420" i="8" a="1"/>
  <c r="C420" i="8" s="1"/>
  <c r="D428" i="8" a="1"/>
  <c r="D428" i="8" s="1"/>
  <c r="C504" i="8" a="1"/>
  <c r="C504" i="8" s="1"/>
  <c r="C588" i="8" a="1"/>
  <c r="C588" i="8" s="1"/>
  <c r="C620" i="8" a="1"/>
  <c r="C620" i="8" s="1"/>
  <c r="C636" i="8" a="1"/>
  <c r="C636" i="8" s="1"/>
  <c r="C645" i="8" a="1"/>
  <c r="C645" i="8" s="1"/>
  <c r="E320" i="8" a="1"/>
  <c r="E320" i="8" s="1"/>
  <c r="D328" i="8" a="1"/>
  <c r="D328" i="8" s="1"/>
  <c r="D336" i="8" a="1"/>
  <c r="D336" i="8" s="1"/>
  <c r="E352" i="8" a="1"/>
  <c r="E352" i="8" s="1"/>
  <c r="C352" i="8" a="1"/>
  <c r="C352" i="8" s="1"/>
  <c r="D368" i="8" a="1"/>
  <c r="D368" i="8" s="1"/>
  <c r="D376" i="8" a="1"/>
  <c r="D376" i="8" s="1"/>
  <c r="C384" i="8" a="1"/>
  <c r="C384" i="8" s="1"/>
  <c r="C392" i="8" a="1"/>
  <c r="C392" i="8" s="1"/>
  <c r="D400" i="8" a="1"/>
  <c r="D400" i="8" s="1"/>
  <c r="D408" i="8" a="1"/>
  <c r="D408" i="8" s="1"/>
  <c r="E408" i="8" a="1"/>
  <c r="E408" i="8" s="1"/>
  <c r="E416" i="8" a="1"/>
  <c r="E416" i="8" s="1"/>
  <c r="C416" i="8" a="1"/>
  <c r="C416" i="8" s="1"/>
  <c r="E424" i="8" a="1"/>
  <c r="E424" i="8" s="1"/>
  <c r="E432" i="8" a="1"/>
  <c r="E432" i="8" s="1"/>
  <c r="E440" i="8" a="1"/>
  <c r="E440" i="8" s="1"/>
  <c r="D456" i="8" a="1"/>
  <c r="D456" i="8" s="1"/>
  <c r="C464" i="8" a="1"/>
  <c r="C464" i="8" s="1"/>
  <c r="D472" i="8" a="1"/>
  <c r="D472" i="8" s="1"/>
  <c r="C488" i="8" a="1"/>
  <c r="C488" i="8" s="1"/>
  <c r="E496" i="8" a="1"/>
  <c r="E496" i="8" s="1"/>
  <c r="C496" i="8" a="1"/>
  <c r="C496" i="8" s="1"/>
  <c r="C512" i="8" a="1"/>
  <c r="C512" i="8" s="1"/>
  <c r="D520" i="8" a="1"/>
  <c r="D520" i="8" s="1"/>
  <c r="E520" i="8" a="1"/>
  <c r="E520" i="8" s="1"/>
  <c r="C536" i="8" a="1"/>
  <c r="C536" i="8" s="1"/>
  <c r="E544" i="8" a="1"/>
  <c r="E544" i="8" s="1"/>
  <c r="E560" i="8" a="1"/>
  <c r="E560" i="8" s="1"/>
  <c r="D560" i="8" a="1"/>
  <c r="D560" i="8" s="1"/>
  <c r="D568" i="8" a="1"/>
  <c r="D568" i="8" s="1"/>
  <c r="E568" i="8" a="1"/>
  <c r="E568" i="8" s="1"/>
  <c r="C576" i="8" a="1"/>
  <c r="C576" i="8" s="1"/>
  <c r="E584" i="8" a="1"/>
  <c r="E584" i="8" s="1"/>
  <c r="D592" i="8" a="1"/>
  <c r="D592" i="8" s="1"/>
  <c r="E592" i="8" a="1"/>
  <c r="E592" i="8" s="1"/>
  <c r="D600" i="8" a="1"/>
  <c r="D600" i="8" s="1"/>
  <c r="D608" i="8" a="1"/>
  <c r="D608" i="8" s="1"/>
  <c r="C608" i="8" a="1"/>
  <c r="C608" i="8" s="1"/>
  <c r="E616" i="8" a="1"/>
  <c r="E616" i="8" s="1"/>
  <c r="E624" i="8" a="1"/>
  <c r="E624" i="8" s="1"/>
  <c r="C632" i="8" a="1"/>
  <c r="C632" i="8" s="1"/>
  <c r="D632" i="8" a="1"/>
  <c r="D632" i="8" s="1"/>
  <c r="C640" i="8" a="1"/>
  <c r="C640" i="8" s="1"/>
  <c r="C648" i="8" a="1"/>
  <c r="C648" i="8" s="1"/>
  <c r="E656" i="8" a="1"/>
  <c r="E656" i="8" s="1"/>
  <c r="D656" i="8" a="1"/>
  <c r="D656" i="8" s="1"/>
  <c r="C656" i="8" a="1"/>
  <c r="C656" i="8" s="1"/>
  <c r="C257" i="8" a="1"/>
  <c r="C257" i="8" s="1"/>
  <c r="E281" i="8" a="1"/>
  <c r="E281" i="8" s="1"/>
  <c r="C313" i="8" a="1"/>
  <c r="C313" i="8" s="1"/>
  <c r="C355" i="8" a="1"/>
  <c r="C355" i="8" s="1"/>
  <c r="D361" i="8" a="1"/>
  <c r="D361" i="8" s="1"/>
  <c r="E379" i="8" a="1"/>
  <c r="E379" i="8" s="1"/>
  <c r="E400" i="8" a="1"/>
  <c r="E400" i="8" s="1"/>
  <c r="D443" i="8" a="1"/>
  <c r="D443" i="8" s="1"/>
  <c r="E481" i="8" a="1"/>
  <c r="E481" i="8" s="1"/>
  <c r="D489" i="8" a="1"/>
  <c r="D489" i="8" s="1"/>
  <c r="D504" i="8" a="1"/>
  <c r="D504" i="8" s="1"/>
  <c r="D512" i="8" a="1"/>
  <c r="D512" i="8" s="1"/>
  <c r="C520" i="8" a="1"/>
  <c r="C520" i="8" s="1"/>
  <c r="C528" i="8" a="1"/>
  <c r="C528" i="8" s="1"/>
  <c r="D596" i="8" a="1"/>
  <c r="D596" i="8" s="1"/>
  <c r="D604" i="8" a="1"/>
  <c r="D604" i="8" s="1"/>
  <c r="D612" i="8" a="1"/>
  <c r="D612" i="8" s="1"/>
  <c r="D620" i="8" a="1"/>
  <c r="D620" i="8" s="1"/>
  <c r="C629" i="8" a="1"/>
  <c r="C629" i="8" s="1"/>
  <c r="E636" i="8" a="1"/>
  <c r="E636" i="8" s="1"/>
  <c r="D645" i="8" a="1"/>
  <c r="D645" i="8" s="1"/>
  <c r="E336" i="8" a="1"/>
  <c r="E336" i="8" s="1"/>
  <c r="D355" i="8" a="1"/>
  <c r="D355" i="8" s="1"/>
  <c r="C372" i="8" a="1"/>
  <c r="C372" i="8" s="1"/>
  <c r="C401" i="8" a="1"/>
  <c r="C401" i="8" s="1"/>
  <c r="C408" i="8" a="1"/>
  <c r="C408" i="8" s="1"/>
  <c r="D436" i="8" a="1"/>
  <c r="D436" i="8" s="1"/>
  <c r="E489" i="8" a="1"/>
  <c r="E489" i="8" s="1"/>
  <c r="D497" i="8" a="1"/>
  <c r="D497" i="8" s="1"/>
  <c r="E512" i="8" a="1"/>
  <c r="E512" i="8" s="1"/>
  <c r="E596" i="8" a="1"/>
  <c r="E596" i="8" s="1"/>
  <c r="E604" i="8" a="1"/>
  <c r="E604" i="8" s="1"/>
  <c r="E612" i="8" a="1"/>
  <c r="E612" i="8" s="1"/>
  <c r="C637" i="8" a="1"/>
  <c r="C637" i="8" s="1"/>
  <c r="T67" i="10"/>
  <c r="D20" i="7"/>
  <c r="D21" i="7"/>
  <c r="E20" i="7"/>
  <c r="M5" i="8"/>
  <c r="N7" i="8"/>
  <c r="M9" i="8"/>
  <c r="K5" i="8"/>
  <c r="J79" i="12"/>
  <c r="J95" i="12"/>
  <c r="J94" i="12"/>
  <c r="J73" i="12"/>
  <c r="J37" i="12"/>
  <c r="J49" i="12"/>
  <c r="J63" i="12"/>
  <c r="K42" i="12"/>
  <c r="J87" i="12"/>
  <c r="AA5" i="10"/>
  <c r="E7" i="8" a="1"/>
  <c r="E7" i="8" s="1"/>
  <c r="D7" i="8" a="1"/>
  <c r="D7" i="8" s="1"/>
  <c r="C7" i="8" a="1"/>
  <c r="C7" i="8" s="1"/>
  <c r="E39" i="8" a="1"/>
  <c r="E39" i="8" s="1"/>
  <c r="D39" i="8" a="1"/>
  <c r="D39" i="8" s="1"/>
  <c r="C39" i="8" a="1"/>
  <c r="C39" i="8" s="1"/>
  <c r="E151" i="8" a="1"/>
  <c r="E151" i="8" s="1"/>
  <c r="D151" i="8" a="1"/>
  <c r="D151" i="8" s="1"/>
  <c r="C151" i="8" a="1"/>
  <c r="C151" i="8" s="1"/>
  <c r="E6" i="8" a="1"/>
  <c r="E6" i="8" s="1"/>
  <c r="D6" i="8" a="1"/>
  <c r="D6" i="8" s="1"/>
  <c r="C6" i="8" a="1"/>
  <c r="C6" i="8" s="1"/>
  <c r="E5" i="8" a="1"/>
  <c r="E5" i="8" s="1"/>
  <c r="H5" i="8" s="1"/>
  <c r="C5" i="8" a="1"/>
  <c r="C5" i="8" s="1"/>
  <c r="F5" i="8" s="1"/>
  <c r="F6" i="8" s="1"/>
  <c r="F7" i="8" s="1"/>
  <c r="E21" i="8" a="1"/>
  <c r="E21" i="8" s="1"/>
  <c r="D21" i="8" a="1"/>
  <c r="D21" i="8" s="1"/>
  <c r="C21" i="8" a="1"/>
  <c r="C21" i="8" s="1"/>
  <c r="C37" i="8" a="1"/>
  <c r="C37" i="8" s="1"/>
  <c r="E37" i="8" a="1"/>
  <c r="E37" i="8" s="1"/>
  <c r="D37" i="8" a="1"/>
  <c r="D37" i="8" s="1"/>
  <c r="E53" i="8" a="1"/>
  <c r="E53" i="8" s="1"/>
  <c r="D53" i="8" a="1"/>
  <c r="D53" i="8" s="1"/>
  <c r="C53" i="8" a="1"/>
  <c r="C53" i="8" s="1"/>
  <c r="E69" i="8" a="1"/>
  <c r="E69" i="8" s="1"/>
  <c r="D69" i="8" a="1"/>
  <c r="D69" i="8" s="1"/>
  <c r="C69" i="8" a="1"/>
  <c r="C69" i="8" s="1"/>
  <c r="E85" i="8" a="1"/>
  <c r="E85" i="8" s="1"/>
  <c r="D85" i="8" a="1"/>
  <c r="D85" i="8" s="1"/>
  <c r="C85" i="8" a="1"/>
  <c r="C85" i="8" s="1"/>
  <c r="E101" i="8" a="1"/>
  <c r="E101" i="8" s="1"/>
  <c r="D101" i="8" a="1"/>
  <c r="D101" i="8" s="1"/>
  <c r="C101" i="8" a="1"/>
  <c r="C101" i="8" s="1"/>
  <c r="E117" i="8" a="1"/>
  <c r="E117" i="8" s="1"/>
  <c r="D117" i="8" a="1"/>
  <c r="D117" i="8" s="1"/>
  <c r="C117" i="8" a="1"/>
  <c r="C117" i="8" s="1"/>
  <c r="E133" i="8" a="1"/>
  <c r="E133" i="8" s="1"/>
  <c r="D133" i="8" a="1"/>
  <c r="D133" i="8" s="1"/>
  <c r="C133" i="8" a="1"/>
  <c r="C133" i="8" s="1"/>
  <c r="E149" i="8" a="1"/>
  <c r="E149" i="8" s="1"/>
  <c r="D149" i="8" a="1"/>
  <c r="D149" i="8" s="1"/>
  <c r="C149" i="8" a="1"/>
  <c r="C149" i="8" s="1"/>
  <c r="E165" i="8" a="1"/>
  <c r="E165" i="8" s="1"/>
  <c r="D165" i="8" a="1"/>
  <c r="D165" i="8" s="1"/>
  <c r="C165" i="8" a="1"/>
  <c r="C165" i="8" s="1"/>
  <c r="E181" i="8" a="1"/>
  <c r="E181" i="8" s="1"/>
  <c r="D181" i="8" a="1"/>
  <c r="D181" i="8" s="1"/>
  <c r="C181" i="8" a="1"/>
  <c r="C181" i="8" s="1"/>
  <c r="E197" i="8" a="1"/>
  <c r="E197" i="8" s="1"/>
  <c r="D197" i="8" a="1"/>
  <c r="D197" i="8" s="1"/>
  <c r="C197" i="8" a="1"/>
  <c r="C197" i="8" s="1"/>
  <c r="E213" i="8" a="1"/>
  <c r="E213" i="8" s="1"/>
  <c r="D213" i="8" a="1"/>
  <c r="D213" i="8" s="1"/>
  <c r="C213" i="8" a="1"/>
  <c r="C213" i="8" s="1"/>
  <c r="E229" i="8" a="1"/>
  <c r="E229" i="8" s="1"/>
  <c r="D229" i="8" a="1"/>
  <c r="D229" i="8" s="1"/>
  <c r="C229" i="8" a="1"/>
  <c r="C229" i="8" s="1"/>
  <c r="E245" i="8" a="1"/>
  <c r="E245" i="8" s="1"/>
  <c r="D245" i="8" a="1"/>
  <c r="D245" i="8" s="1"/>
  <c r="C245" i="8" a="1"/>
  <c r="C245" i="8" s="1"/>
  <c r="E12" i="8" a="1"/>
  <c r="E12" i="8" s="1"/>
  <c r="D12" i="8" a="1"/>
  <c r="D12" i="8" s="1"/>
  <c r="C12" i="8" a="1"/>
  <c r="C12" i="8" s="1"/>
  <c r="E28" i="8" a="1"/>
  <c r="E28" i="8" s="1"/>
  <c r="D28" i="8" a="1"/>
  <c r="D28" i="8" s="1"/>
  <c r="C28" i="8" a="1"/>
  <c r="C28" i="8" s="1"/>
  <c r="E44" i="8" a="1"/>
  <c r="E44" i="8" s="1"/>
  <c r="D44" i="8" a="1"/>
  <c r="D44" i="8" s="1"/>
  <c r="C44" i="8" a="1"/>
  <c r="C44" i="8" s="1"/>
  <c r="E60" i="8" a="1"/>
  <c r="E60" i="8" s="1"/>
  <c r="D60" i="8" a="1"/>
  <c r="D60" i="8" s="1"/>
  <c r="C60" i="8" a="1"/>
  <c r="C60" i="8" s="1"/>
  <c r="E76" i="8" a="1"/>
  <c r="E76" i="8" s="1"/>
  <c r="D76" i="8" a="1"/>
  <c r="D76" i="8" s="1"/>
  <c r="C76" i="8" a="1"/>
  <c r="C76" i="8" s="1"/>
  <c r="C92" i="8" a="1"/>
  <c r="C92" i="8" s="1"/>
  <c r="E92" i="8" a="1"/>
  <c r="E92" i="8" s="1"/>
  <c r="D92" i="8" a="1"/>
  <c r="D92" i="8" s="1"/>
  <c r="E108" i="8" a="1"/>
  <c r="E108" i="8" s="1"/>
  <c r="D108" i="8" a="1"/>
  <c r="D108" i="8" s="1"/>
  <c r="C108" i="8" a="1"/>
  <c r="C108" i="8" s="1"/>
  <c r="C124" i="8" a="1"/>
  <c r="C124" i="8" s="1"/>
  <c r="E124" i="8" a="1"/>
  <c r="E124" i="8" s="1"/>
  <c r="D124" i="8" a="1"/>
  <c r="D124" i="8" s="1"/>
  <c r="E140" i="8" a="1"/>
  <c r="E140" i="8" s="1"/>
  <c r="D140" i="8" a="1"/>
  <c r="D140" i="8" s="1"/>
  <c r="C140" i="8" a="1"/>
  <c r="C140" i="8" s="1"/>
  <c r="E156" i="8" a="1"/>
  <c r="E156" i="8" s="1"/>
  <c r="D156" i="8" a="1"/>
  <c r="D156" i="8" s="1"/>
  <c r="C156" i="8" a="1"/>
  <c r="C156" i="8" s="1"/>
  <c r="C172" i="8" a="1"/>
  <c r="C172" i="8" s="1"/>
  <c r="E172" i="8" a="1"/>
  <c r="E172" i="8" s="1"/>
  <c r="D172" i="8" a="1"/>
  <c r="D172" i="8" s="1"/>
  <c r="E188" i="8" a="1"/>
  <c r="E188" i="8" s="1"/>
  <c r="D188" i="8" a="1"/>
  <c r="D188" i="8" s="1"/>
  <c r="C188" i="8" a="1"/>
  <c r="C188" i="8" s="1"/>
  <c r="E204" i="8" a="1"/>
  <c r="E204" i="8" s="1"/>
  <c r="D204" i="8" a="1"/>
  <c r="D204" i="8" s="1"/>
  <c r="C204" i="8" a="1"/>
  <c r="C204" i="8" s="1"/>
  <c r="E220" i="8" a="1"/>
  <c r="E220" i="8" s="1"/>
  <c r="D220" i="8" a="1"/>
  <c r="D220" i="8" s="1"/>
  <c r="C220" i="8" a="1"/>
  <c r="C220" i="8" s="1"/>
  <c r="C236" i="8" a="1"/>
  <c r="C236" i="8" s="1"/>
  <c r="E236" i="8" a="1"/>
  <c r="E236" i="8" s="1"/>
  <c r="D236" i="8" a="1"/>
  <c r="D236" i="8" s="1"/>
  <c r="E252" i="8" a="1"/>
  <c r="E252" i="8" s="1"/>
  <c r="D252" i="8" a="1"/>
  <c r="D252" i="8" s="1"/>
  <c r="C252" i="8" a="1"/>
  <c r="C252" i="8" s="1"/>
  <c r="E19" i="8" a="1"/>
  <c r="E19" i="8" s="1"/>
  <c r="D19" i="8" a="1"/>
  <c r="D19" i="8" s="1"/>
  <c r="C19" i="8" a="1"/>
  <c r="C19" i="8" s="1"/>
  <c r="E35" i="8" a="1"/>
  <c r="E35" i="8" s="1"/>
  <c r="D35" i="8" a="1"/>
  <c r="D35" i="8" s="1"/>
  <c r="C35" i="8" a="1"/>
  <c r="C35" i="8" s="1"/>
  <c r="E51" i="8" a="1"/>
  <c r="E51" i="8" s="1"/>
  <c r="D51" i="8" a="1"/>
  <c r="D51" i="8" s="1"/>
  <c r="C51" i="8" a="1"/>
  <c r="C51" i="8" s="1"/>
  <c r="C67" i="8" a="1"/>
  <c r="C67" i="8" s="1"/>
  <c r="E67" i="8" a="1"/>
  <c r="E67" i="8" s="1"/>
  <c r="D67" i="8" a="1"/>
  <c r="D67" i="8" s="1"/>
  <c r="E83" i="8" a="1"/>
  <c r="E83" i="8" s="1"/>
  <c r="D83" i="8" a="1"/>
  <c r="D83" i="8" s="1"/>
  <c r="C83" i="8" a="1"/>
  <c r="C83" i="8" s="1"/>
  <c r="C99" i="8" a="1"/>
  <c r="C99" i="8" s="1"/>
  <c r="E99" i="8" a="1"/>
  <c r="E99" i="8" s="1"/>
  <c r="D99" i="8" a="1"/>
  <c r="D99" i="8" s="1"/>
  <c r="E115" i="8" a="1"/>
  <c r="E115" i="8" s="1"/>
  <c r="D115" i="8" a="1"/>
  <c r="D115" i="8" s="1"/>
  <c r="C115" i="8" a="1"/>
  <c r="C115" i="8" s="1"/>
  <c r="C131" i="8" a="1"/>
  <c r="C131" i="8" s="1"/>
  <c r="E131" i="8" a="1"/>
  <c r="E131" i="8" s="1"/>
  <c r="D131" i="8" a="1"/>
  <c r="D131" i="8" s="1"/>
  <c r="E147" i="8" a="1"/>
  <c r="E147" i="8" s="1"/>
  <c r="D147" i="8" a="1"/>
  <c r="D147" i="8" s="1"/>
  <c r="C147" i="8" a="1"/>
  <c r="C147" i="8" s="1"/>
  <c r="E163" i="8" a="1"/>
  <c r="E163" i="8" s="1"/>
  <c r="D163" i="8" a="1"/>
  <c r="D163" i="8" s="1"/>
  <c r="C163" i="8" a="1"/>
  <c r="C163" i="8" s="1"/>
  <c r="D179" i="8" a="1"/>
  <c r="D179" i="8" s="1"/>
  <c r="C179" i="8" a="1"/>
  <c r="C179" i="8" s="1"/>
  <c r="E179" i="8" a="1"/>
  <c r="E179" i="8" s="1"/>
  <c r="E195" i="8" a="1"/>
  <c r="E195" i="8" s="1"/>
  <c r="D195" i="8" a="1"/>
  <c r="D195" i="8" s="1"/>
  <c r="C195" i="8" a="1"/>
  <c r="C195" i="8" s="1"/>
  <c r="E211" i="8" a="1"/>
  <c r="E211" i="8" s="1"/>
  <c r="D211" i="8" a="1"/>
  <c r="D211" i="8" s="1"/>
  <c r="C211" i="8" a="1"/>
  <c r="C211" i="8" s="1"/>
  <c r="E227" i="8" a="1"/>
  <c r="E227" i="8" s="1"/>
  <c r="D227" i="8" a="1"/>
  <c r="D227" i="8" s="1"/>
  <c r="C227" i="8" a="1"/>
  <c r="C227" i="8" s="1"/>
  <c r="E243" i="8" a="1"/>
  <c r="E243" i="8" s="1"/>
  <c r="D243" i="8" a="1"/>
  <c r="D243" i="8" s="1"/>
  <c r="C243" i="8" a="1"/>
  <c r="C243" i="8" s="1"/>
  <c r="E26" i="8" a="1"/>
  <c r="E26" i="8" s="1"/>
  <c r="D26" i="8" a="1"/>
  <c r="D26" i="8" s="1"/>
  <c r="C26" i="8" a="1"/>
  <c r="C26" i="8" s="1"/>
  <c r="E42" i="8" a="1"/>
  <c r="E42" i="8" s="1"/>
  <c r="D42" i="8" a="1"/>
  <c r="D42" i="8" s="1"/>
  <c r="C42" i="8" a="1"/>
  <c r="C42" i="8" s="1"/>
  <c r="E58" i="8" a="1"/>
  <c r="E58" i="8" s="1"/>
  <c r="D58" i="8" a="1"/>
  <c r="D58" i="8" s="1"/>
  <c r="C58" i="8" a="1"/>
  <c r="C58" i="8" s="1"/>
  <c r="C74" i="8" a="1"/>
  <c r="C74" i="8" s="1"/>
  <c r="E74" i="8" a="1"/>
  <c r="E74" i="8" s="1"/>
  <c r="D74" i="8" a="1"/>
  <c r="D74" i="8" s="1"/>
  <c r="E90" i="8" a="1"/>
  <c r="E90" i="8" s="1"/>
  <c r="D90" i="8" a="1"/>
  <c r="D90" i="8" s="1"/>
  <c r="C90" i="8" a="1"/>
  <c r="C90" i="8" s="1"/>
  <c r="C106" i="8" a="1"/>
  <c r="C106" i="8" s="1"/>
  <c r="E106" i="8" a="1"/>
  <c r="E106" i="8" s="1"/>
  <c r="D106" i="8" a="1"/>
  <c r="D106" i="8" s="1"/>
  <c r="E122" i="8" a="1"/>
  <c r="E122" i="8" s="1"/>
  <c r="D122" i="8" a="1"/>
  <c r="D122" i="8" s="1"/>
  <c r="C122" i="8" a="1"/>
  <c r="C122" i="8" s="1"/>
  <c r="D138" i="8" a="1"/>
  <c r="D138" i="8" s="1"/>
  <c r="C138" i="8" a="1"/>
  <c r="C138" i="8" s="1"/>
  <c r="E138" i="8" a="1"/>
  <c r="E138" i="8" s="1"/>
  <c r="E154" i="8" a="1"/>
  <c r="E154" i="8" s="1"/>
  <c r="D154" i="8" a="1"/>
  <c r="D154" i="8" s="1"/>
  <c r="C154" i="8" a="1"/>
  <c r="C154" i="8" s="1"/>
  <c r="E170" i="8" a="1"/>
  <c r="E170" i="8" s="1"/>
  <c r="D170" i="8" a="1"/>
  <c r="D170" i="8" s="1"/>
  <c r="C170" i="8" a="1"/>
  <c r="C170" i="8" s="1"/>
  <c r="D186" i="8" a="1"/>
  <c r="D186" i="8" s="1"/>
  <c r="C186" i="8" a="1"/>
  <c r="C186" i="8" s="1"/>
  <c r="E186" i="8" a="1"/>
  <c r="E186" i="8" s="1"/>
  <c r="E202" i="8" a="1"/>
  <c r="E202" i="8" s="1"/>
  <c r="D202" i="8" a="1"/>
  <c r="D202" i="8" s="1"/>
  <c r="C202" i="8" a="1"/>
  <c r="C202" i="8" s="1"/>
  <c r="C218" i="8" a="1"/>
  <c r="C218" i="8" s="1"/>
  <c r="E218" i="8" a="1"/>
  <c r="E218" i="8" s="1"/>
  <c r="D218" i="8" a="1"/>
  <c r="D218" i="8" s="1"/>
  <c r="E234" i="8" a="1"/>
  <c r="E234" i="8" s="1"/>
  <c r="D234" i="8" a="1"/>
  <c r="D234" i="8" s="1"/>
  <c r="C234" i="8" a="1"/>
  <c r="C234" i="8" s="1"/>
  <c r="E250" i="8" a="1"/>
  <c r="E250" i="8" s="1"/>
  <c r="D250" i="8" a="1"/>
  <c r="D250" i="8" s="1"/>
  <c r="C250" i="8" a="1"/>
  <c r="C250" i="8" s="1"/>
  <c r="E17" i="8" a="1"/>
  <c r="E17" i="8" s="1"/>
  <c r="D17" i="8" a="1"/>
  <c r="D17" i="8" s="1"/>
  <c r="C17" i="8" a="1"/>
  <c r="C17" i="8" s="1"/>
  <c r="D33" i="8" a="1"/>
  <c r="D33" i="8" s="1"/>
  <c r="C33" i="8" a="1"/>
  <c r="C33" i="8" s="1"/>
  <c r="E33" i="8" a="1"/>
  <c r="E33" i="8" s="1"/>
  <c r="E49" i="8" a="1"/>
  <c r="E49" i="8" s="1"/>
  <c r="D49" i="8" a="1"/>
  <c r="D49" i="8" s="1"/>
  <c r="C49" i="8" a="1"/>
  <c r="C49" i="8" s="1"/>
  <c r="E65" i="8" a="1"/>
  <c r="E65" i="8" s="1"/>
  <c r="D65" i="8" a="1"/>
  <c r="D65" i="8" s="1"/>
  <c r="C65" i="8" a="1"/>
  <c r="C65" i="8" s="1"/>
  <c r="C81" i="8" a="1"/>
  <c r="C81" i="8" s="1"/>
  <c r="E81" i="8" a="1"/>
  <c r="E81" i="8" s="1"/>
  <c r="D81" i="8" a="1"/>
  <c r="D81" i="8" s="1"/>
  <c r="E97" i="8" a="1"/>
  <c r="E97" i="8" s="1"/>
  <c r="D97" i="8" a="1"/>
  <c r="D97" i="8" s="1"/>
  <c r="C97" i="8" a="1"/>
  <c r="C97" i="8" s="1"/>
  <c r="C113" i="8" a="1"/>
  <c r="C113" i="8" s="1"/>
  <c r="E113" i="8" a="1"/>
  <c r="E113" i="8" s="1"/>
  <c r="D113" i="8" a="1"/>
  <c r="D113" i="8" s="1"/>
  <c r="E129" i="8" a="1"/>
  <c r="E129" i="8" s="1"/>
  <c r="D129" i="8" a="1"/>
  <c r="D129" i="8" s="1"/>
  <c r="C129" i="8" a="1"/>
  <c r="C129" i="8" s="1"/>
  <c r="E145" i="8" a="1"/>
  <c r="E145" i="8" s="1"/>
  <c r="D145" i="8" a="1"/>
  <c r="D145" i="8" s="1"/>
  <c r="C145" i="8" a="1"/>
  <c r="C145" i="8" s="1"/>
  <c r="E161" i="8" a="1"/>
  <c r="E161" i="8" s="1"/>
  <c r="D161" i="8" a="1"/>
  <c r="D161" i="8" s="1"/>
  <c r="C161" i="8" a="1"/>
  <c r="C161" i="8" s="1"/>
  <c r="E177" i="8" a="1"/>
  <c r="E177" i="8" s="1"/>
  <c r="D177" i="8" a="1"/>
  <c r="D177" i="8" s="1"/>
  <c r="C177" i="8" a="1"/>
  <c r="C177" i="8" s="1"/>
  <c r="E193" i="8" a="1"/>
  <c r="E193" i="8" s="1"/>
  <c r="D193" i="8" a="1"/>
  <c r="D193" i="8" s="1"/>
  <c r="C193" i="8" a="1"/>
  <c r="C193" i="8" s="1"/>
  <c r="D209" i="8" a="1"/>
  <c r="D209" i="8" s="1"/>
  <c r="C209" i="8" a="1"/>
  <c r="C209" i="8" s="1"/>
  <c r="E209" i="8" a="1"/>
  <c r="E209" i="8" s="1"/>
  <c r="D225" i="8" a="1"/>
  <c r="D225" i="8" s="1"/>
  <c r="C225" i="8" a="1"/>
  <c r="C225" i="8" s="1"/>
  <c r="E225" i="8" a="1"/>
  <c r="E225" i="8" s="1"/>
  <c r="E241" i="8" a="1"/>
  <c r="E241" i="8" s="1"/>
  <c r="D241" i="8" a="1"/>
  <c r="D241" i="8" s="1"/>
  <c r="C241" i="8" a="1"/>
  <c r="C241" i="8" s="1"/>
  <c r="E24" i="8" a="1"/>
  <c r="E24" i="8" s="1"/>
  <c r="D24" i="8" a="1"/>
  <c r="D24" i="8" s="1"/>
  <c r="C24" i="8" a="1"/>
  <c r="C24" i="8" s="1"/>
  <c r="E40" i="8" a="1"/>
  <c r="E40" i="8" s="1"/>
  <c r="D40" i="8" a="1"/>
  <c r="D40" i="8" s="1"/>
  <c r="C40" i="8" a="1"/>
  <c r="C40" i="8" s="1"/>
  <c r="C56" i="8" a="1"/>
  <c r="C56" i="8" s="1"/>
  <c r="E56" i="8" a="1"/>
  <c r="E56" i="8" s="1"/>
  <c r="D56" i="8" a="1"/>
  <c r="D56" i="8" s="1"/>
  <c r="E72" i="8" a="1"/>
  <c r="E72" i="8" s="1"/>
  <c r="D72" i="8" a="1"/>
  <c r="D72" i="8" s="1"/>
  <c r="C72" i="8" a="1"/>
  <c r="C72" i="8" s="1"/>
  <c r="C88" i="8" a="1"/>
  <c r="C88" i="8" s="1"/>
  <c r="E88" i="8" a="1"/>
  <c r="E88" i="8" s="1"/>
  <c r="D88" i="8" a="1"/>
  <c r="D88" i="8" s="1"/>
  <c r="E104" i="8" a="1"/>
  <c r="E104" i="8" s="1"/>
  <c r="D104" i="8" a="1"/>
  <c r="D104" i="8" s="1"/>
  <c r="C104" i="8" a="1"/>
  <c r="C104" i="8" s="1"/>
  <c r="C120" i="8" a="1"/>
  <c r="C120" i="8" s="1"/>
  <c r="E120" i="8" a="1"/>
  <c r="E120" i="8" s="1"/>
  <c r="D120" i="8" a="1"/>
  <c r="D120" i="8" s="1"/>
  <c r="E136" i="8" a="1"/>
  <c r="E136" i="8" s="1"/>
  <c r="D136" i="8" a="1"/>
  <c r="D136" i="8" s="1"/>
  <c r="C136" i="8" a="1"/>
  <c r="C136" i="8" s="1"/>
  <c r="E152" i="8" a="1"/>
  <c r="E152" i="8" s="1"/>
  <c r="D152" i="8" a="1"/>
  <c r="D152" i="8" s="1"/>
  <c r="C152" i="8" a="1"/>
  <c r="C152" i="8" s="1"/>
  <c r="C168" i="8" a="1"/>
  <c r="C168" i="8" s="1"/>
  <c r="E168" i="8" a="1"/>
  <c r="E168" i="8" s="1"/>
  <c r="D168" i="8" a="1"/>
  <c r="D168" i="8" s="1"/>
  <c r="E184" i="8" a="1"/>
  <c r="E184" i="8" s="1"/>
  <c r="D184" i="8" a="1"/>
  <c r="D184" i="8" s="1"/>
  <c r="C184" i="8" a="1"/>
  <c r="C184" i="8" s="1"/>
  <c r="E200" i="8" a="1"/>
  <c r="E200" i="8" s="1"/>
  <c r="D200" i="8" a="1"/>
  <c r="D200" i="8" s="1"/>
  <c r="C200" i="8" a="1"/>
  <c r="C200" i="8" s="1"/>
  <c r="E216" i="8" a="1"/>
  <c r="E216" i="8" s="1"/>
  <c r="D216" i="8" a="1"/>
  <c r="D216" i="8" s="1"/>
  <c r="C216" i="8" a="1"/>
  <c r="C216" i="8" s="1"/>
  <c r="E232" i="8" a="1"/>
  <c r="E232" i="8" s="1"/>
  <c r="D232" i="8" a="1"/>
  <c r="D232" i="8" s="1"/>
  <c r="C232" i="8" a="1"/>
  <c r="C232" i="8" s="1"/>
  <c r="C248" i="8" a="1"/>
  <c r="C248" i="8" s="1"/>
  <c r="E248" i="8" a="1"/>
  <c r="E248" i="8" s="1"/>
  <c r="D248" i="8" a="1"/>
  <c r="D248" i="8" s="1"/>
  <c r="E15" i="8" a="1"/>
  <c r="E15" i="8" s="1"/>
  <c r="D15" i="8" a="1"/>
  <c r="D15" i="8" s="1"/>
  <c r="C15" i="8" a="1"/>
  <c r="C15" i="8" s="1"/>
  <c r="E31" i="8" a="1"/>
  <c r="E31" i="8" s="1"/>
  <c r="D31" i="8" a="1"/>
  <c r="D31" i="8" s="1"/>
  <c r="C31" i="8" a="1"/>
  <c r="C31" i="8" s="1"/>
  <c r="E47" i="8" a="1"/>
  <c r="E47" i="8" s="1"/>
  <c r="D47" i="8" a="1"/>
  <c r="D47" i="8" s="1"/>
  <c r="C47" i="8" a="1"/>
  <c r="C47" i="8" s="1"/>
  <c r="D63" i="8" a="1"/>
  <c r="D63" i="8" s="1"/>
  <c r="C63" i="8" a="1"/>
  <c r="C63" i="8" s="1"/>
  <c r="E63" i="8" a="1"/>
  <c r="E63" i="8" s="1"/>
  <c r="E79" i="8" a="1"/>
  <c r="E79" i="8" s="1"/>
  <c r="D79" i="8" a="1"/>
  <c r="D79" i="8" s="1"/>
  <c r="C79" i="8" a="1"/>
  <c r="C79" i="8" s="1"/>
  <c r="D95" i="8" a="1"/>
  <c r="D95" i="8" s="1"/>
  <c r="C95" i="8" a="1"/>
  <c r="C95" i="8" s="1"/>
  <c r="E95" i="8" a="1"/>
  <c r="E95" i="8" s="1"/>
  <c r="E111" i="8" a="1"/>
  <c r="E111" i="8" s="1"/>
  <c r="D111" i="8" a="1"/>
  <c r="D111" i="8" s="1"/>
  <c r="C111" i="8" a="1"/>
  <c r="C111" i="8" s="1"/>
  <c r="D127" i="8" a="1"/>
  <c r="D127" i="8" s="1"/>
  <c r="C127" i="8" a="1"/>
  <c r="C127" i="8" s="1"/>
  <c r="E127" i="8" a="1"/>
  <c r="E127" i="8" s="1"/>
  <c r="E143" i="8" a="1"/>
  <c r="E143" i="8" s="1"/>
  <c r="D143" i="8" a="1"/>
  <c r="D143" i="8" s="1"/>
  <c r="C143" i="8" a="1"/>
  <c r="C143" i="8" s="1"/>
  <c r="E159" i="8" a="1"/>
  <c r="E159" i="8" s="1"/>
  <c r="D159" i="8" a="1"/>
  <c r="D159" i="8" s="1"/>
  <c r="C159" i="8" a="1"/>
  <c r="C159" i="8" s="1"/>
  <c r="D175" i="8" a="1"/>
  <c r="D175" i="8" s="1"/>
  <c r="C175" i="8" a="1"/>
  <c r="C175" i="8" s="1"/>
  <c r="E175" i="8" a="1"/>
  <c r="E175" i="8" s="1"/>
  <c r="E191" i="8" a="1"/>
  <c r="E191" i="8" s="1"/>
  <c r="D191" i="8" a="1"/>
  <c r="D191" i="8" s="1"/>
  <c r="C191" i="8" a="1"/>
  <c r="C191" i="8" s="1"/>
  <c r="E207" i="8" a="1"/>
  <c r="E207" i="8" s="1"/>
  <c r="D207" i="8" a="1"/>
  <c r="D207" i="8" s="1"/>
  <c r="C207" i="8" a="1"/>
  <c r="C207" i="8" s="1"/>
  <c r="E223" i="8" a="1"/>
  <c r="E223" i="8" s="1"/>
  <c r="D223" i="8" a="1"/>
  <c r="D223" i="8" s="1"/>
  <c r="C223" i="8" a="1"/>
  <c r="C223" i="8" s="1"/>
  <c r="E239" i="8" a="1"/>
  <c r="E239" i="8" s="1"/>
  <c r="D239" i="8" a="1"/>
  <c r="D239" i="8" s="1"/>
  <c r="C239" i="8" a="1"/>
  <c r="C239" i="8" s="1"/>
  <c r="C22" i="8" a="1"/>
  <c r="C22" i="8" s="1"/>
  <c r="E22" i="8" a="1"/>
  <c r="E22" i="8" s="1"/>
  <c r="D22" i="8" a="1"/>
  <c r="D22" i="8" s="1"/>
  <c r="E38" i="8" a="1"/>
  <c r="E38" i="8" s="1"/>
  <c r="D38" i="8" a="1"/>
  <c r="D38" i="8" s="1"/>
  <c r="C38" i="8" a="1"/>
  <c r="C38" i="8" s="1"/>
  <c r="E54" i="8" a="1"/>
  <c r="E54" i="8" s="1"/>
  <c r="D54" i="8" a="1"/>
  <c r="D54" i="8" s="1"/>
  <c r="C54" i="8" a="1"/>
  <c r="C54" i="8" s="1"/>
  <c r="E70" i="8" a="1"/>
  <c r="E70" i="8" s="1"/>
  <c r="D70" i="8" a="1"/>
  <c r="D70" i="8" s="1"/>
  <c r="C70" i="8" a="1"/>
  <c r="C70" i="8" s="1"/>
  <c r="E86" i="8" a="1"/>
  <c r="E86" i="8" s="1"/>
  <c r="D86" i="8" a="1"/>
  <c r="D86" i="8" s="1"/>
  <c r="C86" i="8" a="1"/>
  <c r="C86" i="8" s="1"/>
  <c r="D102" i="8" a="1"/>
  <c r="D102" i="8" s="1"/>
  <c r="C102" i="8" a="1"/>
  <c r="C102" i="8" s="1"/>
  <c r="E102" i="8" a="1"/>
  <c r="E102" i="8" s="1"/>
  <c r="E118" i="8" a="1"/>
  <c r="E118" i="8" s="1"/>
  <c r="D118" i="8" a="1"/>
  <c r="D118" i="8" s="1"/>
  <c r="C118" i="8" a="1"/>
  <c r="C118" i="8" s="1"/>
  <c r="E134" i="8" a="1"/>
  <c r="E134" i="8" s="1"/>
  <c r="D134" i="8" a="1"/>
  <c r="D134" i="8" s="1"/>
  <c r="C134" i="8" a="1"/>
  <c r="C134" i="8" s="1"/>
  <c r="E150" i="8" a="1"/>
  <c r="E150" i="8" s="1"/>
  <c r="D150" i="8" a="1"/>
  <c r="D150" i="8" s="1"/>
  <c r="C150" i="8" a="1"/>
  <c r="C150" i="8" s="1"/>
  <c r="E166" i="8" a="1"/>
  <c r="E166" i="8" s="1"/>
  <c r="D166" i="8" a="1"/>
  <c r="D166" i="8" s="1"/>
  <c r="C166" i="8" a="1"/>
  <c r="C166" i="8" s="1"/>
  <c r="E182" i="8" a="1"/>
  <c r="E182" i="8" s="1"/>
  <c r="D182" i="8" a="1"/>
  <c r="D182" i="8" s="1"/>
  <c r="C182" i="8" a="1"/>
  <c r="C182" i="8" s="1"/>
  <c r="C198" i="8" a="1"/>
  <c r="C198" i="8" s="1"/>
  <c r="E198" i="8" a="1"/>
  <c r="E198" i="8" s="1"/>
  <c r="D198" i="8" a="1"/>
  <c r="D198" i="8" s="1"/>
  <c r="E214" i="8" a="1"/>
  <c r="E214" i="8" s="1"/>
  <c r="D214" i="8" a="1"/>
  <c r="D214" i="8" s="1"/>
  <c r="C214" i="8" a="1"/>
  <c r="C214" i="8" s="1"/>
  <c r="E230" i="8" a="1"/>
  <c r="E230" i="8" s="1"/>
  <c r="D230" i="8" a="1"/>
  <c r="D230" i="8" s="1"/>
  <c r="C230" i="8" a="1"/>
  <c r="C230" i="8" s="1"/>
  <c r="E246" i="8" a="1"/>
  <c r="E246" i="8" s="1"/>
  <c r="D246" i="8" a="1"/>
  <c r="D246" i="8" s="1"/>
  <c r="C246" i="8" a="1"/>
  <c r="C246" i="8" s="1"/>
  <c r="E262" i="8" a="1"/>
  <c r="E262" i="8" s="1"/>
  <c r="D262" i="8" a="1"/>
  <c r="D262" i="8" s="1"/>
  <c r="C262" i="8" a="1"/>
  <c r="C262" i="8" s="1"/>
  <c r="E13" i="8" a="1"/>
  <c r="E13" i="8" s="1"/>
  <c r="D13" i="8" a="1"/>
  <c r="D13" i="8" s="1"/>
  <c r="C13" i="8" a="1"/>
  <c r="C13" i="8" s="1"/>
  <c r="E29" i="8" a="1"/>
  <c r="E29" i="8" s="1"/>
  <c r="D29" i="8" a="1"/>
  <c r="D29" i="8" s="1"/>
  <c r="C29" i="8" a="1"/>
  <c r="C29" i="8" s="1"/>
  <c r="E45" i="8" a="1"/>
  <c r="E45" i="8" s="1"/>
  <c r="D45" i="8" a="1"/>
  <c r="D45" i="8" s="1"/>
  <c r="C45" i="8" a="1"/>
  <c r="C45" i="8" s="1"/>
  <c r="E61" i="8" a="1"/>
  <c r="E61" i="8" s="1"/>
  <c r="D61" i="8" a="1"/>
  <c r="D61" i="8" s="1"/>
  <c r="C61" i="8" a="1"/>
  <c r="C61" i="8" s="1"/>
  <c r="D77" i="8" a="1"/>
  <c r="D77" i="8" s="1"/>
  <c r="C77" i="8" a="1"/>
  <c r="C77" i="8" s="1"/>
  <c r="E77" i="8" a="1"/>
  <c r="E77" i="8" s="1"/>
  <c r="E93" i="8" a="1"/>
  <c r="E93" i="8" s="1"/>
  <c r="D93" i="8" a="1"/>
  <c r="D93" i="8" s="1"/>
  <c r="C93" i="8" a="1"/>
  <c r="C93" i="8" s="1"/>
  <c r="D109" i="8" a="1"/>
  <c r="D109" i="8" s="1"/>
  <c r="C109" i="8" a="1"/>
  <c r="C109" i="8" s="1"/>
  <c r="E109" i="8" a="1"/>
  <c r="E109" i="8" s="1"/>
  <c r="E125" i="8" a="1"/>
  <c r="E125" i="8" s="1"/>
  <c r="D125" i="8" a="1"/>
  <c r="D125" i="8" s="1"/>
  <c r="C125" i="8" a="1"/>
  <c r="C125" i="8" s="1"/>
  <c r="E141" i="8" a="1"/>
  <c r="E141" i="8" s="1"/>
  <c r="D141" i="8" a="1"/>
  <c r="D141" i="8" s="1"/>
  <c r="C141" i="8" a="1"/>
  <c r="C141" i="8" s="1"/>
  <c r="D157" i="8" a="1"/>
  <c r="D157" i="8" s="1"/>
  <c r="C157" i="8" a="1"/>
  <c r="C157" i="8" s="1"/>
  <c r="E157" i="8" a="1"/>
  <c r="E157" i="8" s="1"/>
  <c r="E173" i="8" a="1"/>
  <c r="E173" i="8" s="1"/>
  <c r="D173" i="8" a="1"/>
  <c r="D173" i="8" s="1"/>
  <c r="C173" i="8" a="1"/>
  <c r="C173" i="8" s="1"/>
  <c r="E189" i="8" a="1"/>
  <c r="E189" i="8" s="1"/>
  <c r="D189" i="8" a="1"/>
  <c r="D189" i="8" s="1"/>
  <c r="C189" i="8" a="1"/>
  <c r="C189" i="8" s="1"/>
  <c r="E205" i="8" a="1"/>
  <c r="E205" i="8" s="1"/>
  <c r="D205" i="8" a="1"/>
  <c r="D205" i="8" s="1"/>
  <c r="C205" i="8" a="1"/>
  <c r="C205" i="8" s="1"/>
  <c r="D221" i="8" a="1"/>
  <c r="D221" i="8" s="1"/>
  <c r="C221" i="8" a="1"/>
  <c r="C221" i="8" s="1"/>
  <c r="E221" i="8" a="1"/>
  <c r="E221" i="8" s="1"/>
  <c r="E237" i="8" a="1"/>
  <c r="E237" i="8" s="1"/>
  <c r="D237" i="8" a="1"/>
  <c r="D237" i="8" s="1"/>
  <c r="C237" i="8" a="1"/>
  <c r="C237" i="8" s="1"/>
  <c r="E253" i="8" a="1"/>
  <c r="E253" i="8" s="1"/>
  <c r="D253" i="8" a="1"/>
  <c r="D253" i="8" s="1"/>
  <c r="C253" i="8" a="1"/>
  <c r="C253" i="8" s="1"/>
  <c r="E20" i="8" a="1"/>
  <c r="E20" i="8" s="1"/>
  <c r="D20" i="8" a="1"/>
  <c r="D20" i="8" s="1"/>
  <c r="C20" i="8" a="1"/>
  <c r="C20" i="8" s="1"/>
  <c r="E36" i="8" a="1"/>
  <c r="E36" i="8" s="1"/>
  <c r="D36" i="8" a="1"/>
  <c r="D36" i="8" s="1"/>
  <c r="C36" i="8" a="1"/>
  <c r="C36" i="8" s="1"/>
  <c r="C52" i="8" a="1"/>
  <c r="C52" i="8" s="1"/>
  <c r="E52" i="8" a="1"/>
  <c r="E52" i="8" s="1"/>
  <c r="D52" i="8" a="1"/>
  <c r="D52" i="8" s="1"/>
  <c r="E68" i="8" a="1"/>
  <c r="E68" i="8" s="1"/>
  <c r="D68" i="8" a="1"/>
  <c r="D68" i="8" s="1"/>
  <c r="C68" i="8" a="1"/>
  <c r="C68" i="8" s="1"/>
  <c r="E84" i="8" a="1"/>
  <c r="E84" i="8" s="1"/>
  <c r="D84" i="8" a="1"/>
  <c r="D84" i="8" s="1"/>
  <c r="C84" i="8" a="1"/>
  <c r="C84" i="8" s="1"/>
  <c r="E100" i="8" a="1"/>
  <c r="E100" i="8" s="1"/>
  <c r="D100" i="8" a="1"/>
  <c r="D100" i="8" s="1"/>
  <c r="C100" i="8" a="1"/>
  <c r="C100" i="8" s="1"/>
  <c r="E116" i="8" a="1"/>
  <c r="E116" i="8" s="1"/>
  <c r="D116" i="8" a="1"/>
  <c r="D116" i="8" s="1"/>
  <c r="C116" i="8" a="1"/>
  <c r="C116" i="8" s="1"/>
  <c r="E132" i="8" a="1"/>
  <c r="E132" i="8" s="1"/>
  <c r="D132" i="8" a="1"/>
  <c r="D132" i="8" s="1"/>
  <c r="C132" i="8" a="1"/>
  <c r="C132" i="8" s="1"/>
  <c r="E148" i="8" a="1"/>
  <c r="E148" i="8" s="1"/>
  <c r="D148" i="8" a="1"/>
  <c r="D148" i="8" s="1"/>
  <c r="C148" i="8" a="1"/>
  <c r="C148" i="8" s="1"/>
  <c r="E164" i="8" a="1"/>
  <c r="E164" i="8" s="1"/>
  <c r="D164" i="8" a="1"/>
  <c r="D164" i="8" s="1"/>
  <c r="C164" i="8" a="1"/>
  <c r="C164" i="8" s="1"/>
  <c r="E180" i="8" a="1"/>
  <c r="E180" i="8" s="1"/>
  <c r="D180" i="8" a="1"/>
  <c r="D180" i="8" s="1"/>
  <c r="C180" i="8" a="1"/>
  <c r="C180" i="8" s="1"/>
  <c r="E196" i="8" a="1"/>
  <c r="E196" i="8" s="1"/>
  <c r="D196" i="8" a="1"/>
  <c r="D196" i="8" s="1"/>
  <c r="C196" i="8" a="1"/>
  <c r="C196" i="8" s="1"/>
  <c r="E212" i="8" a="1"/>
  <c r="E212" i="8" s="1"/>
  <c r="D212" i="8" a="1"/>
  <c r="D212" i="8" s="1"/>
  <c r="C212" i="8" a="1"/>
  <c r="C212" i="8" s="1"/>
  <c r="E228" i="8" a="1"/>
  <c r="E228" i="8" s="1"/>
  <c r="D228" i="8" a="1"/>
  <c r="D228" i="8" s="1"/>
  <c r="C228" i="8" a="1"/>
  <c r="C228" i="8" s="1"/>
  <c r="E244" i="8" a="1"/>
  <c r="E244" i="8" s="1"/>
  <c r="D244" i="8" a="1"/>
  <c r="D244" i="8" s="1"/>
  <c r="C244" i="8" a="1"/>
  <c r="C244" i="8" s="1"/>
  <c r="E11" i="8" a="1"/>
  <c r="E11" i="8" s="1"/>
  <c r="D11" i="8" a="1"/>
  <c r="D11" i="8" s="1"/>
  <c r="C11" i="8" a="1"/>
  <c r="C11" i="8" s="1"/>
  <c r="E27" i="8" a="1"/>
  <c r="E27" i="8" s="1"/>
  <c r="D27" i="8" a="1"/>
  <c r="D27" i="8" s="1"/>
  <c r="C27" i="8" a="1"/>
  <c r="C27" i="8" s="1"/>
  <c r="E43" i="8" a="1"/>
  <c r="E43" i="8" s="1"/>
  <c r="D43" i="8" a="1"/>
  <c r="D43" i="8" s="1"/>
  <c r="C43" i="8" a="1"/>
  <c r="C43" i="8" s="1"/>
  <c r="E59" i="8" a="1"/>
  <c r="E59" i="8" s="1"/>
  <c r="D59" i="8" a="1"/>
  <c r="D59" i="8" s="1"/>
  <c r="C59" i="8" a="1"/>
  <c r="C59" i="8" s="1"/>
  <c r="E75" i="8" a="1"/>
  <c r="E75" i="8" s="1"/>
  <c r="D75" i="8" a="1"/>
  <c r="D75" i="8" s="1"/>
  <c r="C75" i="8" a="1"/>
  <c r="C75" i="8" s="1"/>
  <c r="E91" i="8" a="1"/>
  <c r="E91" i="8" s="1"/>
  <c r="D91" i="8" a="1"/>
  <c r="D91" i="8" s="1"/>
  <c r="C91" i="8" a="1"/>
  <c r="C91" i="8" s="1"/>
  <c r="E107" i="8" a="1"/>
  <c r="E107" i="8" s="1"/>
  <c r="D107" i="8" a="1"/>
  <c r="D107" i="8" s="1"/>
  <c r="C107" i="8" a="1"/>
  <c r="C107" i="8" s="1"/>
  <c r="E123" i="8" a="1"/>
  <c r="E123" i="8" s="1"/>
  <c r="D123" i="8" a="1"/>
  <c r="D123" i="8" s="1"/>
  <c r="C123" i="8" a="1"/>
  <c r="C123" i="8" s="1"/>
  <c r="E139" i="8" a="1"/>
  <c r="E139" i="8" s="1"/>
  <c r="D139" i="8" a="1"/>
  <c r="D139" i="8" s="1"/>
  <c r="C139" i="8" a="1"/>
  <c r="C139" i="8" s="1"/>
  <c r="E155" i="8" a="1"/>
  <c r="E155" i="8" s="1"/>
  <c r="D155" i="8" a="1"/>
  <c r="D155" i="8" s="1"/>
  <c r="C155" i="8" a="1"/>
  <c r="C155" i="8" s="1"/>
  <c r="E171" i="8" a="1"/>
  <c r="E171" i="8" s="1"/>
  <c r="D171" i="8" a="1"/>
  <c r="D171" i="8" s="1"/>
  <c r="C171" i="8" a="1"/>
  <c r="C171" i="8" s="1"/>
  <c r="E187" i="8" a="1"/>
  <c r="E187" i="8" s="1"/>
  <c r="D187" i="8" a="1"/>
  <c r="D187" i="8" s="1"/>
  <c r="C187" i="8" a="1"/>
  <c r="C187" i="8" s="1"/>
  <c r="E203" i="8" a="1"/>
  <c r="E203" i="8" s="1"/>
  <c r="D203" i="8" a="1"/>
  <c r="D203" i="8" s="1"/>
  <c r="C203" i="8" a="1"/>
  <c r="C203" i="8" s="1"/>
  <c r="E219" i="8" a="1"/>
  <c r="E219" i="8" s="1"/>
  <c r="D219" i="8" a="1"/>
  <c r="D219" i="8" s="1"/>
  <c r="C219" i="8" a="1"/>
  <c r="C219" i="8" s="1"/>
  <c r="E235" i="8" a="1"/>
  <c r="E235" i="8" s="1"/>
  <c r="D235" i="8" a="1"/>
  <c r="D235" i="8" s="1"/>
  <c r="C235" i="8" a="1"/>
  <c r="C235" i="8" s="1"/>
  <c r="D251" i="8" a="1"/>
  <c r="D251" i="8" s="1"/>
  <c r="C251" i="8" a="1"/>
  <c r="C251" i="8" s="1"/>
  <c r="E251" i="8" a="1"/>
  <c r="E251" i="8" s="1"/>
  <c r="E10" i="8" a="1"/>
  <c r="E10" i="8" s="1"/>
  <c r="D10" i="8" a="1"/>
  <c r="D10" i="8" s="1"/>
  <c r="C10" i="8" a="1"/>
  <c r="C10" i="8" s="1"/>
  <c r="C18" i="8" a="1"/>
  <c r="C18" i="8" s="1"/>
  <c r="E18" i="8" a="1"/>
  <c r="E18" i="8" s="1"/>
  <c r="D18" i="8" a="1"/>
  <c r="D18" i="8" s="1"/>
  <c r="E34" i="8" a="1"/>
  <c r="E34" i="8" s="1"/>
  <c r="D34" i="8" a="1"/>
  <c r="D34" i="8" s="1"/>
  <c r="C34" i="8" a="1"/>
  <c r="C34" i="8" s="1"/>
  <c r="E50" i="8" a="1"/>
  <c r="E50" i="8" s="1"/>
  <c r="D50" i="8" a="1"/>
  <c r="D50" i="8" s="1"/>
  <c r="C50" i="8" a="1"/>
  <c r="C50" i="8" s="1"/>
  <c r="E66" i="8" a="1"/>
  <c r="E66" i="8" s="1"/>
  <c r="D66" i="8" a="1"/>
  <c r="D66" i="8" s="1"/>
  <c r="C66" i="8" a="1"/>
  <c r="C66" i="8" s="1"/>
  <c r="E82" i="8" a="1"/>
  <c r="E82" i="8" s="1"/>
  <c r="D82" i="8" a="1"/>
  <c r="D82" i="8" s="1"/>
  <c r="C82" i="8" a="1"/>
  <c r="C82" i="8" s="1"/>
  <c r="E98" i="8" a="1"/>
  <c r="E98" i="8" s="1"/>
  <c r="D98" i="8" a="1"/>
  <c r="D98" i="8" s="1"/>
  <c r="C98" i="8" a="1"/>
  <c r="C98" i="8" s="1"/>
  <c r="E114" i="8" a="1"/>
  <c r="E114" i="8" s="1"/>
  <c r="D114" i="8" a="1"/>
  <c r="D114" i="8" s="1"/>
  <c r="C114" i="8" a="1"/>
  <c r="C114" i="8" s="1"/>
  <c r="E130" i="8" a="1"/>
  <c r="E130" i="8" s="1"/>
  <c r="D130" i="8" a="1"/>
  <c r="D130" i="8" s="1"/>
  <c r="C130" i="8" a="1"/>
  <c r="C130" i="8" s="1"/>
  <c r="E146" i="8" a="1"/>
  <c r="E146" i="8" s="1"/>
  <c r="D146" i="8" a="1"/>
  <c r="D146" i="8" s="1"/>
  <c r="C146" i="8" a="1"/>
  <c r="C146" i="8" s="1"/>
  <c r="E162" i="8" a="1"/>
  <c r="E162" i="8" s="1"/>
  <c r="D162" i="8" a="1"/>
  <c r="D162" i="8" s="1"/>
  <c r="C162" i="8" a="1"/>
  <c r="C162" i="8" s="1"/>
  <c r="E178" i="8" a="1"/>
  <c r="E178" i="8" s="1"/>
  <c r="D178" i="8" a="1"/>
  <c r="D178" i="8" s="1"/>
  <c r="C178" i="8" a="1"/>
  <c r="C178" i="8" s="1"/>
  <c r="D194" i="8" a="1"/>
  <c r="D194" i="8" s="1"/>
  <c r="C194" i="8" a="1"/>
  <c r="C194" i="8" s="1"/>
  <c r="E194" i="8" a="1"/>
  <c r="E194" i="8" s="1"/>
  <c r="E210" i="8" a="1"/>
  <c r="E210" i="8" s="1"/>
  <c r="D210" i="8" a="1"/>
  <c r="D210" i="8" s="1"/>
  <c r="C210" i="8" a="1"/>
  <c r="C210" i="8" s="1"/>
  <c r="E226" i="8" a="1"/>
  <c r="E226" i="8" s="1"/>
  <c r="D226" i="8" a="1"/>
  <c r="D226" i="8" s="1"/>
  <c r="C226" i="8" a="1"/>
  <c r="C226" i="8" s="1"/>
  <c r="E242" i="8" a="1"/>
  <c r="E242" i="8" s="1"/>
  <c r="D242" i="8" a="1"/>
  <c r="D242" i="8" s="1"/>
  <c r="C242" i="8" a="1"/>
  <c r="C242" i="8" s="1"/>
  <c r="E9" i="8" a="1"/>
  <c r="E9" i="8" s="1"/>
  <c r="D9" i="8" a="1"/>
  <c r="D9" i="8" s="1"/>
  <c r="C9" i="8" a="1"/>
  <c r="C9" i="8" s="1"/>
  <c r="E25" i="8" a="1"/>
  <c r="E25" i="8" s="1"/>
  <c r="D25" i="8" a="1"/>
  <c r="D25" i="8" s="1"/>
  <c r="C25" i="8" a="1"/>
  <c r="C25" i="8" s="1"/>
  <c r="D41" i="8" a="1"/>
  <c r="D41" i="8" s="1"/>
  <c r="C41" i="8" a="1"/>
  <c r="C41" i="8" s="1"/>
  <c r="E41" i="8" a="1"/>
  <c r="E41" i="8" s="1"/>
  <c r="E57" i="8" a="1"/>
  <c r="E57" i="8" s="1"/>
  <c r="D57" i="8" a="1"/>
  <c r="D57" i="8" s="1"/>
  <c r="C57" i="8" a="1"/>
  <c r="C57" i="8" s="1"/>
  <c r="E73" i="8" a="1"/>
  <c r="E73" i="8" s="1"/>
  <c r="D73" i="8" a="1"/>
  <c r="D73" i="8" s="1"/>
  <c r="C73" i="8" a="1"/>
  <c r="C73" i="8" s="1"/>
  <c r="E89" i="8" a="1"/>
  <c r="E89" i="8" s="1"/>
  <c r="D89" i="8" a="1"/>
  <c r="D89" i="8" s="1"/>
  <c r="C89" i="8" a="1"/>
  <c r="C89" i="8" s="1"/>
  <c r="E105" i="8" a="1"/>
  <c r="E105" i="8" s="1"/>
  <c r="D105" i="8" a="1"/>
  <c r="D105" i="8" s="1"/>
  <c r="C105" i="8" a="1"/>
  <c r="C105" i="8" s="1"/>
  <c r="E121" i="8" a="1"/>
  <c r="E121" i="8" s="1"/>
  <c r="D121" i="8" a="1"/>
  <c r="D121" i="8" s="1"/>
  <c r="C121" i="8" a="1"/>
  <c r="C121" i="8" s="1"/>
  <c r="E137" i="8" a="1"/>
  <c r="E137" i="8" s="1"/>
  <c r="D137" i="8" a="1"/>
  <c r="D137" i="8" s="1"/>
  <c r="C137" i="8" a="1"/>
  <c r="C137" i="8" s="1"/>
  <c r="C153" i="8" a="1"/>
  <c r="C153" i="8" s="1"/>
  <c r="E153" i="8" a="1"/>
  <c r="E153" i="8" s="1"/>
  <c r="D153" i="8" a="1"/>
  <c r="D153" i="8" s="1"/>
  <c r="E169" i="8" a="1"/>
  <c r="E169" i="8" s="1"/>
  <c r="D169" i="8" a="1"/>
  <c r="D169" i="8" s="1"/>
  <c r="C169" i="8" a="1"/>
  <c r="C169" i="8" s="1"/>
  <c r="E185" i="8" a="1"/>
  <c r="E185" i="8" s="1"/>
  <c r="D185" i="8" a="1"/>
  <c r="D185" i="8" s="1"/>
  <c r="C185" i="8" a="1"/>
  <c r="C185" i="8" s="1"/>
  <c r="D201" i="8" a="1"/>
  <c r="D201" i="8" s="1"/>
  <c r="C201" i="8" a="1"/>
  <c r="C201" i="8" s="1"/>
  <c r="E201" i="8" a="1"/>
  <c r="E201" i="8" s="1"/>
  <c r="E217" i="8" a="1"/>
  <c r="E217" i="8" s="1"/>
  <c r="D217" i="8" a="1"/>
  <c r="D217" i="8" s="1"/>
  <c r="C217" i="8" a="1"/>
  <c r="C217" i="8" s="1"/>
  <c r="C233" i="8" a="1"/>
  <c r="C233" i="8" s="1"/>
  <c r="E233" i="8" a="1"/>
  <c r="E233" i="8" s="1"/>
  <c r="D233" i="8" a="1"/>
  <c r="D233" i="8" s="1"/>
  <c r="E249" i="8" a="1"/>
  <c r="E249" i="8" s="1"/>
  <c r="D249" i="8" a="1"/>
  <c r="D249" i="8" s="1"/>
  <c r="C249" i="8" a="1"/>
  <c r="C249" i="8" s="1"/>
  <c r="D5" i="8" a="1"/>
  <c r="D5" i="8" s="1"/>
  <c r="G5" i="8" s="1"/>
  <c r="D8" i="8" a="1"/>
  <c r="D8" i="8" s="1"/>
  <c r="C8" i="8" a="1"/>
  <c r="C8" i="8" s="1"/>
  <c r="E8" i="8" a="1"/>
  <c r="E8" i="8" s="1"/>
  <c r="E16" i="8" a="1"/>
  <c r="E16" i="8" s="1"/>
  <c r="D16" i="8" a="1"/>
  <c r="D16" i="8" s="1"/>
  <c r="C16" i="8" a="1"/>
  <c r="C16" i="8" s="1"/>
  <c r="E32" i="8" a="1"/>
  <c r="E32" i="8" s="1"/>
  <c r="D32" i="8" a="1"/>
  <c r="D32" i="8" s="1"/>
  <c r="C32" i="8" a="1"/>
  <c r="C32" i="8" s="1"/>
  <c r="E48" i="8" a="1"/>
  <c r="E48" i="8" s="1"/>
  <c r="D48" i="8" a="1"/>
  <c r="D48" i="8" s="1"/>
  <c r="C48" i="8" a="1"/>
  <c r="C48" i="8" s="1"/>
  <c r="E64" i="8" a="1"/>
  <c r="E64" i="8" s="1"/>
  <c r="D64" i="8" a="1"/>
  <c r="D64" i="8" s="1"/>
  <c r="C64" i="8" a="1"/>
  <c r="C64" i="8" s="1"/>
  <c r="E80" i="8" a="1"/>
  <c r="E80" i="8" s="1"/>
  <c r="D80" i="8" a="1"/>
  <c r="D80" i="8" s="1"/>
  <c r="C80" i="8" a="1"/>
  <c r="C80" i="8" s="1"/>
  <c r="E96" i="8" a="1"/>
  <c r="E96" i="8" s="1"/>
  <c r="D96" i="8" a="1"/>
  <c r="D96" i="8" s="1"/>
  <c r="C96" i="8" a="1"/>
  <c r="C96" i="8" s="1"/>
  <c r="E112" i="8" a="1"/>
  <c r="E112" i="8" s="1"/>
  <c r="D112" i="8" a="1"/>
  <c r="D112" i="8" s="1"/>
  <c r="C112" i="8" a="1"/>
  <c r="C112" i="8" s="1"/>
  <c r="E128" i="8" a="1"/>
  <c r="E128" i="8" s="1"/>
  <c r="D128" i="8" a="1"/>
  <c r="D128" i="8" s="1"/>
  <c r="C128" i="8" a="1"/>
  <c r="C128" i="8" s="1"/>
  <c r="E144" i="8" a="1"/>
  <c r="E144" i="8" s="1"/>
  <c r="D144" i="8" a="1"/>
  <c r="D144" i="8" s="1"/>
  <c r="C144" i="8" a="1"/>
  <c r="C144" i="8" s="1"/>
  <c r="E160" i="8" a="1"/>
  <c r="E160" i="8" s="1"/>
  <c r="D160" i="8" a="1"/>
  <c r="D160" i="8" s="1"/>
  <c r="C160" i="8" a="1"/>
  <c r="C160" i="8" s="1"/>
  <c r="E176" i="8" a="1"/>
  <c r="E176" i="8" s="1"/>
  <c r="D176" i="8" a="1"/>
  <c r="D176" i="8" s="1"/>
  <c r="C176" i="8" a="1"/>
  <c r="C176" i="8" s="1"/>
  <c r="E192" i="8" a="1"/>
  <c r="E192" i="8" s="1"/>
  <c r="D192" i="8" a="1"/>
  <c r="D192" i="8" s="1"/>
  <c r="C192" i="8" a="1"/>
  <c r="C192" i="8" s="1"/>
  <c r="E208" i="8" a="1"/>
  <c r="E208" i="8" s="1"/>
  <c r="D208" i="8" a="1"/>
  <c r="D208" i="8" s="1"/>
  <c r="C208" i="8" a="1"/>
  <c r="C208" i="8" s="1"/>
  <c r="E224" i="8" a="1"/>
  <c r="E224" i="8" s="1"/>
  <c r="D224" i="8" a="1"/>
  <c r="D224" i="8" s="1"/>
  <c r="C224" i="8" a="1"/>
  <c r="C224" i="8" s="1"/>
  <c r="C240" i="8" a="1"/>
  <c r="C240" i="8" s="1"/>
  <c r="E240" i="8" a="1"/>
  <c r="E240" i="8" s="1"/>
  <c r="D240" i="8" a="1"/>
  <c r="D240" i="8" s="1"/>
  <c r="E256" i="8" a="1"/>
  <c r="E256" i="8" s="1"/>
  <c r="D256" i="8" a="1"/>
  <c r="D256" i="8" s="1"/>
  <c r="C256" i="8" a="1"/>
  <c r="C256" i="8" s="1"/>
  <c r="C71" i="8" a="1"/>
  <c r="C71" i="8" s="1"/>
  <c r="E71" i="8" a="1"/>
  <c r="E71" i="8" s="1"/>
  <c r="D71" i="8" a="1"/>
  <c r="D71" i="8" s="1"/>
  <c r="E87" i="8" a="1"/>
  <c r="E87" i="8" s="1"/>
  <c r="D87" i="8" a="1"/>
  <c r="D87" i="8" s="1"/>
  <c r="C87" i="8" a="1"/>
  <c r="C87" i="8" s="1"/>
  <c r="E103" i="8" a="1"/>
  <c r="E103" i="8" s="1"/>
  <c r="D103" i="8" a="1"/>
  <c r="D103" i="8" s="1"/>
  <c r="C103" i="8" a="1"/>
  <c r="C103" i="8" s="1"/>
  <c r="E119" i="8" a="1"/>
  <c r="E119" i="8" s="1"/>
  <c r="D119" i="8" a="1"/>
  <c r="D119" i="8" s="1"/>
  <c r="C119" i="8" a="1"/>
  <c r="C119" i="8" s="1"/>
  <c r="E135" i="8" a="1"/>
  <c r="E135" i="8" s="1"/>
  <c r="D135" i="8" a="1"/>
  <c r="D135" i="8" s="1"/>
  <c r="C135" i="8" a="1"/>
  <c r="C135" i="8" s="1"/>
  <c r="E167" i="8" a="1"/>
  <c r="E167" i="8" s="1"/>
  <c r="D167" i="8" a="1"/>
  <c r="D167" i="8" s="1"/>
  <c r="C167" i="8" a="1"/>
  <c r="C167" i="8" s="1"/>
  <c r="C183" i="8" a="1"/>
  <c r="C183" i="8" s="1"/>
  <c r="E183" i="8" a="1"/>
  <c r="E183" i="8" s="1"/>
  <c r="D183" i="8" a="1"/>
  <c r="D183" i="8" s="1"/>
  <c r="E199" i="8" a="1"/>
  <c r="E199" i="8" s="1"/>
  <c r="D199" i="8" a="1"/>
  <c r="D199" i="8" s="1"/>
  <c r="C199" i="8" a="1"/>
  <c r="C199" i="8" s="1"/>
  <c r="E215" i="8" a="1"/>
  <c r="E215" i="8" s="1"/>
  <c r="D215" i="8" a="1"/>
  <c r="D215" i="8" s="1"/>
  <c r="C215" i="8" a="1"/>
  <c r="C215" i="8" s="1"/>
  <c r="E231" i="8" a="1"/>
  <c r="E231" i="8" s="1"/>
  <c r="D231" i="8" a="1"/>
  <c r="D231" i="8" s="1"/>
  <c r="C231" i="8" a="1"/>
  <c r="C231" i="8" s="1"/>
  <c r="E247" i="8" a="1"/>
  <c r="E247" i="8" s="1"/>
  <c r="D247" i="8" a="1"/>
  <c r="D247" i="8" s="1"/>
  <c r="C247" i="8" a="1"/>
  <c r="C247" i="8" s="1"/>
  <c r="E23" i="8" a="1"/>
  <c r="E23" i="8" s="1"/>
  <c r="D23" i="8" a="1"/>
  <c r="D23" i="8" s="1"/>
  <c r="C23" i="8" a="1"/>
  <c r="C23" i="8" s="1"/>
  <c r="E55" i="8" a="1"/>
  <c r="E55" i="8" s="1"/>
  <c r="D55" i="8" a="1"/>
  <c r="D55" i="8" s="1"/>
  <c r="C55" i="8" a="1"/>
  <c r="C55" i="8" s="1"/>
  <c r="E14" i="8" a="1"/>
  <c r="E14" i="8" s="1"/>
  <c r="D14" i="8" a="1"/>
  <c r="D14" i="8" s="1"/>
  <c r="C14" i="8" a="1"/>
  <c r="C14" i="8" s="1"/>
  <c r="E30" i="8" a="1"/>
  <c r="E30" i="8" s="1"/>
  <c r="D30" i="8" a="1"/>
  <c r="D30" i="8" s="1"/>
  <c r="C30" i="8" a="1"/>
  <c r="C30" i="8" s="1"/>
  <c r="E46" i="8" a="1"/>
  <c r="E46" i="8" s="1"/>
  <c r="D46" i="8" a="1"/>
  <c r="D46" i="8" s="1"/>
  <c r="C46" i="8" a="1"/>
  <c r="C46" i="8" s="1"/>
  <c r="E62" i="8" a="1"/>
  <c r="E62" i="8" s="1"/>
  <c r="D62" i="8" a="1"/>
  <c r="D62" i="8" s="1"/>
  <c r="C62" i="8" a="1"/>
  <c r="C62" i="8" s="1"/>
  <c r="E78" i="8" a="1"/>
  <c r="E78" i="8" s="1"/>
  <c r="D78" i="8" a="1"/>
  <c r="D78" i="8" s="1"/>
  <c r="C78" i="8" a="1"/>
  <c r="C78" i="8" s="1"/>
  <c r="E94" i="8" a="1"/>
  <c r="E94" i="8" s="1"/>
  <c r="D94" i="8" a="1"/>
  <c r="D94" i="8" s="1"/>
  <c r="C94" i="8" a="1"/>
  <c r="C94" i="8" s="1"/>
  <c r="E110" i="8" a="1"/>
  <c r="E110" i="8" s="1"/>
  <c r="D110" i="8" a="1"/>
  <c r="D110" i="8" s="1"/>
  <c r="C110" i="8" a="1"/>
  <c r="C110" i="8" s="1"/>
  <c r="E126" i="8" a="1"/>
  <c r="E126" i="8" s="1"/>
  <c r="D126" i="8" a="1"/>
  <c r="D126" i="8" s="1"/>
  <c r="C126" i="8" a="1"/>
  <c r="C126" i="8" s="1"/>
  <c r="D142" i="8" a="1"/>
  <c r="D142" i="8" s="1"/>
  <c r="C142" i="8" a="1"/>
  <c r="C142" i="8" s="1"/>
  <c r="E142" i="8" a="1"/>
  <c r="E142" i="8" s="1"/>
  <c r="E158" i="8" a="1"/>
  <c r="E158" i="8" s="1"/>
  <c r="D158" i="8" a="1"/>
  <c r="D158" i="8" s="1"/>
  <c r="C158" i="8" a="1"/>
  <c r="C158" i="8" s="1"/>
  <c r="E174" i="8" a="1"/>
  <c r="E174" i="8" s="1"/>
  <c r="D174" i="8" a="1"/>
  <c r="D174" i="8" s="1"/>
  <c r="C174" i="8" a="1"/>
  <c r="C174" i="8" s="1"/>
  <c r="E190" i="8" a="1"/>
  <c r="E190" i="8" s="1"/>
  <c r="D190" i="8" a="1"/>
  <c r="D190" i="8" s="1"/>
  <c r="C190" i="8" a="1"/>
  <c r="C190" i="8" s="1"/>
  <c r="E206" i="8" a="1"/>
  <c r="E206" i="8" s="1"/>
  <c r="D206" i="8" a="1"/>
  <c r="D206" i="8" s="1"/>
  <c r="C206" i="8" a="1"/>
  <c r="C206" i="8" s="1"/>
  <c r="E222" i="8" a="1"/>
  <c r="E222" i="8" s="1"/>
  <c r="D222" i="8" a="1"/>
  <c r="D222" i="8" s="1"/>
  <c r="C222" i="8" a="1"/>
  <c r="C222" i="8" s="1"/>
  <c r="E238" i="8" a="1"/>
  <c r="E238" i="8" s="1"/>
  <c r="D238" i="8" a="1"/>
  <c r="D238" i="8" s="1"/>
  <c r="C238" i="8" a="1"/>
  <c r="C238" i="8" s="1"/>
  <c r="E254" i="8" a="1"/>
  <c r="E254" i="8" s="1"/>
  <c r="D254" i="8" a="1"/>
  <c r="D254" i="8" s="1"/>
  <c r="C254" i="8" a="1"/>
  <c r="C254" i="8" s="1"/>
  <c r="J57" i="10"/>
  <c r="I60" i="10"/>
  <c r="I29" i="10"/>
  <c r="G34" i="10"/>
  <c r="H37" i="10"/>
  <c r="G40" i="10"/>
  <c r="J47" i="10"/>
  <c r="I50" i="10"/>
  <c r="H53" i="10"/>
  <c r="G56" i="10"/>
  <c r="J63" i="10"/>
  <c r="I66" i="10"/>
  <c r="I69" i="10"/>
  <c r="G74" i="10"/>
  <c r="I77" i="10"/>
  <c r="G82" i="10"/>
  <c r="I85" i="10"/>
  <c r="G90" i="10"/>
  <c r="I93" i="10"/>
  <c r="G98" i="10"/>
  <c r="I101" i="10"/>
  <c r="G106" i="10"/>
  <c r="I109" i="10"/>
  <c r="G114" i="10"/>
  <c r="I117" i="10"/>
  <c r="G122" i="10"/>
  <c r="I125" i="10"/>
  <c r="AA6" i="10"/>
  <c r="J29" i="10"/>
  <c r="H34" i="10"/>
  <c r="I37" i="10"/>
  <c r="H40" i="10"/>
  <c r="G43" i="10"/>
  <c r="J50" i="10"/>
  <c r="I53" i="10"/>
  <c r="H56" i="10"/>
  <c r="G59" i="10"/>
  <c r="J66" i="10"/>
  <c r="J69" i="10"/>
  <c r="H74" i="10"/>
  <c r="J77" i="10"/>
  <c r="H82" i="10"/>
  <c r="J85" i="10"/>
  <c r="H90" i="10"/>
  <c r="J93" i="10"/>
  <c r="H98" i="10"/>
  <c r="J101" i="10"/>
  <c r="H106" i="10"/>
  <c r="J109" i="10"/>
  <c r="H114" i="10"/>
  <c r="J117" i="10"/>
  <c r="H122" i="10"/>
  <c r="J125" i="10"/>
  <c r="G31" i="10"/>
  <c r="I34" i="10"/>
  <c r="J37" i="10"/>
  <c r="I40" i="10"/>
  <c r="H43" i="10"/>
  <c r="G46" i="10"/>
  <c r="J53" i="10"/>
  <c r="I56" i="10"/>
  <c r="H59" i="10"/>
  <c r="G62" i="10"/>
  <c r="G71" i="10"/>
  <c r="I74" i="10"/>
  <c r="G79" i="10"/>
  <c r="I82" i="10"/>
  <c r="G87" i="10"/>
  <c r="I90" i="10"/>
  <c r="G95" i="10"/>
  <c r="I98" i="10"/>
  <c r="G103" i="10"/>
  <c r="I106" i="10"/>
  <c r="G111" i="10"/>
  <c r="I114" i="10"/>
  <c r="G119" i="10"/>
  <c r="I122" i="10"/>
  <c r="H31" i="10"/>
  <c r="J34" i="10"/>
  <c r="J40" i="10"/>
  <c r="I43" i="10"/>
  <c r="H46" i="10"/>
  <c r="G49" i="10"/>
  <c r="J56" i="10"/>
  <c r="I59" i="10"/>
  <c r="H62" i="10"/>
  <c r="G65" i="10"/>
  <c r="H71" i="10"/>
  <c r="J74" i="10"/>
  <c r="H79" i="10"/>
  <c r="J82" i="10"/>
  <c r="H87" i="10"/>
  <c r="J90" i="10"/>
  <c r="H95" i="10"/>
  <c r="J98" i="10"/>
  <c r="H103" i="10"/>
  <c r="J106" i="10"/>
  <c r="H111" i="10"/>
  <c r="J114" i="10"/>
  <c r="H119" i="10"/>
  <c r="J122" i="10"/>
  <c r="G28" i="10"/>
  <c r="I31" i="10"/>
  <c r="G36" i="10"/>
  <c r="J43" i="10"/>
  <c r="I46" i="10"/>
  <c r="H49" i="10"/>
  <c r="G52" i="10"/>
  <c r="J59" i="10"/>
  <c r="I62" i="10"/>
  <c r="H65" i="10"/>
  <c r="G68" i="10"/>
  <c r="I71" i="10"/>
  <c r="G76" i="10"/>
  <c r="I79" i="10"/>
  <c r="G84" i="10"/>
  <c r="I87" i="10"/>
  <c r="G92" i="10"/>
  <c r="I95" i="10"/>
  <c r="G100" i="10"/>
  <c r="I103" i="10"/>
  <c r="G108" i="10"/>
  <c r="I111" i="10"/>
  <c r="G116" i="10"/>
  <c r="I119" i="10"/>
  <c r="G124" i="10"/>
  <c r="H28" i="10"/>
  <c r="J31" i="10"/>
  <c r="H36" i="10"/>
  <c r="G39" i="10"/>
  <c r="J46" i="10"/>
  <c r="I49" i="10"/>
  <c r="H52" i="10"/>
  <c r="G55" i="10"/>
  <c r="J62" i="10"/>
  <c r="I65" i="10"/>
  <c r="H68" i="10"/>
  <c r="J71" i="10"/>
  <c r="H76" i="10"/>
  <c r="J79" i="10"/>
  <c r="H84" i="10"/>
  <c r="J87" i="10"/>
  <c r="H92" i="10"/>
  <c r="J95" i="10"/>
  <c r="H100" i="10"/>
  <c r="J103" i="10"/>
  <c r="H108" i="10"/>
  <c r="J111" i="10"/>
  <c r="H116" i="10"/>
  <c r="J119" i="10"/>
  <c r="H124" i="10"/>
  <c r="I28" i="10"/>
  <c r="G33" i="10"/>
  <c r="I36" i="10"/>
  <c r="H39" i="10"/>
  <c r="G42" i="10"/>
  <c r="K42" i="10" s="1"/>
  <c r="J49" i="10"/>
  <c r="I52" i="10"/>
  <c r="H55" i="10"/>
  <c r="G58" i="10"/>
  <c r="J65" i="10"/>
  <c r="I68" i="10"/>
  <c r="G73" i="10"/>
  <c r="I76" i="10"/>
  <c r="G81" i="10"/>
  <c r="I84" i="10"/>
  <c r="G89" i="10"/>
  <c r="I92" i="10"/>
  <c r="G97" i="10"/>
  <c r="I100" i="10"/>
  <c r="G105" i="10"/>
  <c r="I108" i="10"/>
  <c r="G113" i="10"/>
  <c r="I116" i="10"/>
  <c r="G121" i="10"/>
  <c r="I124" i="10"/>
  <c r="J28" i="10"/>
  <c r="H33" i="10"/>
  <c r="J36" i="10"/>
  <c r="I39" i="10"/>
  <c r="H42" i="10"/>
  <c r="G45" i="10"/>
  <c r="J52" i="10"/>
  <c r="I55" i="10"/>
  <c r="H58" i="10"/>
  <c r="G61" i="10"/>
  <c r="J68" i="10"/>
  <c r="H73" i="10"/>
  <c r="J76" i="10"/>
  <c r="H81" i="10"/>
  <c r="J84" i="10"/>
  <c r="H89" i="10"/>
  <c r="J92" i="10"/>
  <c r="H97" i="10"/>
  <c r="J100" i="10"/>
  <c r="H105" i="10"/>
  <c r="J108" i="10"/>
  <c r="H113" i="10"/>
  <c r="J116" i="10"/>
  <c r="H121" i="10"/>
  <c r="J124" i="10"/>
  <c r="G30" i="10"/>
  <c r="I33" i="10"/>
  <c r="J39" i="10"/>
  <c r="I42" i="10"/>
  <c r="H45" i="10"/>
  <c r="G48" i="10"/>
  <c r="J55" i="10"/>
  <c r="I58" i="10"/>
  <c r="H61" i="10"/>
  <c r="G64" i="10"/>
  <c r="G70" i="10"/>
  <c r="I73" i="10"/>
  <c r="G78" i="10"/>
  <c r="I81" i="10"/>
  <c r="G86" i="10"/>
  <c r="I89" i="10"/>
  <c r="G94" i="10"/>
  <c r="I97" i="10"/>
  <c r="G102" i="10"/>
  <c r="I105" i="10"/>
  <c r="G110" i="10"/>
  <c r="I113" i="10"/>
  <c r="G118" i="10"/>
  <c r="I121" i="10"/>
  <c r="G126" i="10"/>
  <c r="H30" i="10"/>
  <c r="J33" i="10"/>
  <c r="J42" i="10"/>
  <c r="I45" i="10"/>
  <c r="H48" i="10"/>
  <c r="G51" i="10"/>
  <c r="J58" i="10"/>
  <c r="I61" i="10"/>
  <c r="H64" i="10"/>
  <c r="G67" i="10"/>
  <c r="H70" i="10"/>
  <c r="J73" i="10"/>
  <c r="H78" i="10"/>
  <c r="J81" i="10"/>
  <c r="H86" i="10"/>
  <c r="J89" i="10"/>
  <c r="H94" i="10"/>
  <c r="J97" i="10"/>
  <c r="H102" i="10"/>
  <c r="J105" i="10"/>
  <c r="H110" i="10"/>
  <c r="J113" i="10"/>
  <c r="H118" i="10"/>
  <c r="J121" i="10"/>
  <c r="H126" i="10"/>
  <c r="G27" i="10"/>
  <c r="I30" i="10"/>
  <c r="G35" i="10"/>
  <c r="G38" i="10"/>
  <c r="J45" i="10"/>
  <c r="I48" i="10"/>
  <c r="H51" i="10"/>
  <c r="G54" i="10"/>
  <c r="J61" i="10"/>
  <c r="I64" i="10"/>
  <c r="H67" i="10"/>
  <c r="I70" i="10"/>
  <c r="G75" i="10"/>
  <c r="I78" i="10"/>
  <c r="G83" i="10"/>
  <c r="I86" i="10"/>
  <c r="G91" i="10"/>
  <c r="I94" i="10"/>
  <c r="G99" i="10"/>
  <c r="I102" i="10"/>
  <c r="G107" i="10"/>
  <c r="I110" i="10"/>
  <c r="G115" i="10"/>
  <c r="I118" i="10"/>
  <c r="G123" i="10"/>
  <c r="I126" i="10"/>
  <c r="H38" i="10"/>
  <c r="G41" i="10"/>
  <c r="J48" i="10"/>
  <c r="I51" i="10"/>
  <c r="H54" i="10"/>
  <c r="G57" i="10"/>
  <c r="J64" i="10"/>
  <c r="I67" i="10"/>
  <c r="J70" i="10"/>
  <c r="H75" i="10"/>
  <c r="J78" i="10"/>
  <c r="H83" i="10"/>
  <c r="J86" i="10"/>
  <c r="H91" i="10"/>
  <c r="H99" i="10"/>
  <c r="J102" i="10"/>
  <c r="H107" i="10"/>
  <c r="J110" i="10"/>
  <c r="H115" i="10"/>
  <c r="J118" i="10"/>
  <c r="H123" i="10"/>
  <c r="J126" i="10"/>
  <c r="H27" i="10"/>
  <c r="J30" i="10"/>
  <c r="H35" i="10"/>
  <c r="J94" i="10"/>
  <c r="I27" i="10"/>
  <c r="G32" i="10"/>
  <c r="I35" i="10"/>
  <c r="I38" i="10"/>
  <c r="H41" i="10"/>
  <c r="G44" i="10"/>
  <c r="J51" i="10"/>
  <c r="I54" i="10"/>
  <c r="H57" i="10"/>
  <c r="G60" i="10"/>
  <c r="J67" i="10"/>
  <c r="G72" i="10"/>
  <c r="I75" i="10"/>
  <c r="G80" i="10"/>
  <c r="I83" i="10"/>
  <c r="G88" i="10"/>
  <c r="I91" i="10"/>
  <c r="G96" i="10"/>
  <c r="I99" i="10"/>
  <c r="G104" i="10"/>
  <c r="I107" i="10"/>
  <c r="G112" i="10"/>
  <c r="I115" i="10"/>
  <c r="G120" i="10"/>
  <c r="I123" i="10"/>
  <c r="J27" i="10"/>
  <c r="H32" i="10"/>
  <c r="J35" i="10"/>
  <c r="J38" i="10"/>
  <c r="I41" i="10"/>
  <c r="H44" i="10"/>
  <c r="G47" i="10"/>
  <c r="J54" i="10"/>
  <c r="I57" i="10"/>
  <c r="H60" i="10"/>
  <c r="G63" i="10"/>
  <c r="H72" i="10"/>
  <c r="J75" i="10"/>
  <c r="H80" i="10"/>
  <c r="J83" i="10"/>
  <c r="H88" i="10"/>
  <c r="J91" i="10"/>
  <c r="H96" i="10"/>
  <c r="J99" i="10"/>
  <c r="H104" i="10"/>
  <c r="J107" i="10"/>
  <c r="H112" i="10"/>
  <c r="J115" i="10"/>
  <c r="H120" i="10"/>
  <c r="J123" i="10"/>
  <c r="G29" i="10"/>
  <c r="H63" i="10"/>
  <c r="G66" i="10"/>
  <c r="G69" i="10"/>
  <c r="I72" i="10"/>
  <c r="G77" i="10"/>
  <c r="I80" i="10"/>
  <c r="G85" i="10"/>
  <c r="I88" i="10"/>
  <c r="G93" i="10"/>
  <c r="I96" i="10"/>
  <c r="G101" i="10"/>
  <c r="I104" i="10"/>
  <c r="G109" i="10"/>
  <c r="I112" i="10"/>
  <c r="G117" i="10"/>
  <c r="I120" i="10"/>
  <c r="G125" i="10"/>
  <c r="I32" i="10"/>
  <c r="J41" i="10"/>
  <c r="I44" i="10"/>
  <c r="H47" i="10"/>
  <c r="G50" i="10"/>
  <c r="H29" i="10"/>
  <c r="J32" i="10"/>
  <c r="G37" i="10"/>
  <c r="J44" i="10"/>
  <c r="I47" i="10"/>
  <c r="H50" i="10"/>
  <c r="G53" i="10"/>
  <c r="J60" i="10"/>
  <c r="I63" i="10"/>
  <c r="H66" i="10"/>
  <c r="H69" i="10"/>
  <c r="J72" i="10"/>
  <c r="H77" i="10"/>
  <c r="J80" i="10"/>
  <c r="H85" i="10"/>
  <c r="J88" i="10"/>
  <c r="H93" i="10"/>
  <c r="J96" i="10"/>
  <c r="H101" i="10"/>
  <c r="J104" i="10"/>
  <c r="H109" i="10"/>
  <c r="J112" i="10"/>
  <c r="H117" i="10"/>
  <c r="J120" i="10"/>
  <c r="G6" i="8"/>
  <c r="G7" i="8" s="1"/>
  <c r="G8" i="8" s="1"/>
  <c r="G9" i="8" s="1"/>
  <c r="G10" i="8" s="1"/>
  <c r="G11" i="8" s="1"/>
  <c r="G12" i="8" s="1"/>
  <c r="G13" i="8" s="1"/>
  <c r="G14" i="8" s="1"/>
  <c r="G15" i="8" s="1"/>
  <c r="O7" i="8"/>
  <c r="N5" i="8"/>
  <c r="O8" i="8"/>
  <c r="M6" i="8"/>
  <c r="P8" i="8"/>
  <c r="N6" i="8"/>
  <c r="O9" i="8"/>
  <c r="M7" i="8"/>
  <c r="P9" i="8"/>
  <c r="M8" i="8"/>
  <c r="K6" i="8"/>
  <c r="N8" i="8"/>
  <c r="K7" i="8"/>
  <c r="Y66" i="8"/>
  <c r="K8" i="8"/>
  <c r="O5" i="8"/>
  <c r="P5" i="8"/>
  <c r="O6" i="8"/>
  <c r="D45" i="7"/>
  <c r="AC7" i="8"/>
  <c r="W44" i="8"/>
  <c r="AC8" i="8"/>
  <c r="Z44" i="8"/>
  <c r="AC9" i="8"/>
  <c r="U43" i="8"/>
  <c r="Z64" i="8"/>
  <c r="U52" i="8"/>
  <c r="X23" i="8"/>
  <c r="Z23" i="8"/>
  <c r="AB45" i="8"/>
  <c r="X43" i="8"/>
  <c r="AB64" i="8"/>
  <c r="T21" i="8"/>
  <c r="V29" i="8"/>
  <c r="AB56" i="8"/>
  <c r="U20" i="8"/>
  <c r="W28" i="8"/>
  <c r="X29" i="8"/>
  <c r="AA62" i="8"/>
  <c r="T19" i="8"/>
  <c r="Y27" i="8"/>
  <c r="Y28" i="8"/>
  <c r="AB67" i="8"/>
  <c r="U18" i="8"/>
  <c r="V19" i="8"/>
  <c r="AB27" i="8"/>
  <c r="W49" i="8"/>
  <c r="T61" i="8"/>
  <c r="V17" i="8"/>
  <c r="W18" i="8"/>
  <c r="V48" i="8"/>
  <c r="W16" i="8"/>
  <c r="X17" i="8"/>
  <c r="Y48" i="8"/>
  <c r="Y16" i="8"/>
  <c r="V15" i="8"/>
  <c r="AA59" i="8"/>
  <c r="AC4" i="8"/>
  <c r="X15" i="8"/>
  <c r="Z33" i="8"/>
  <c r="AB46" i="8"/>
  <c r="U24" i="8"/>
  <c r="AB32" i="8"/>
  <c r="T45" i="8"/>
  <c r="W15" i="8"/>
  <c r="X16" i="8"/>
  <c r="W17" i="8"/>
  <c r="V18" i="8"/>
  <c r="U19" i="8"/>
  <c r="T20" i="8"/>
  <c r="Y23" i="8"/>
  <c r="T24" i="8"/>
  <c r="Z27" i="8"/>
  <c r="X28" i="8"/>
  <c r="W29" i="8"/>
  <c r="W43" i="8"/>
  <c r="Y44" i="8"/>
  <c r="AA45" i="8"/>
  <c r="W48" i="8"/>
  <c r="X49" i="8"/>
  <c r="T52" i="8"/>
  <c r="T53" i="8"/>
  <c r="AC56" i="8"/>
  <c r="AC59" i="8"/>
  <c r="AA64" i="8"/>
  <c r="Z67" i="8"/>
  <c r="Y15" i="8"/>
  <c r="Z16" i="8"/>
  <c r="Y17" i="8"/>
  <c r="X18" i="8"/>
  <c r="W19" i="8"/>
  <c r="V20" i="8"/>
  <c r="U21" i="8"/>
  <c r="T22" i="8"/>
  <c r="AA23" i="8"/>
  <c r="V24" i="8"/>
  <c r="Z28" i="8"/>
  <c r="Y29" i="8"/>
  <c r="V30" i="8"/>
  <c r="AA33" i="8"/>
  <c r="U42" i="8"/>
  <c r="Y43" i="8"/>
  <c r="AA44" i="8"/>
  <c r="Z48" i="8"/>
  <c r="X52" i="8"/>
  <c r="V61" i="8"/>
  <c r="Z15" i="8"/>
  <c r="AA16" i="8"/>
  <c r="Z17" i="8"/>
  <c r="Y18" i="8"/>
  <c r="X19" i="8"/>
  <c r="W20" i="8"/>
  <c r="V21" i="8"/>
  <c r="U22" i="8"/>
  <c r="AB23" i="8"/>
  <c r="W24" i="8"/>
  <c r="T25" i="8"/>
  <c r="AA28" i="8"/>
  <c r="Z29" i="8"/>
  <c r="W30" i="8"/>
  <c r="AC33" i="8"/>
  <c r="T34" i="8"/>
  <c r="V42" i="8"/>
  <c r="Z43" i="8"/>
  <c r="AB44" i="8"/>
  <c r="AB48" i="8"/>
  <c r="Z52" i="8"/>
  <c r="W61" i="8"/>
  <c r="T65" i="8"/>
  <c r="AA15" i="8"/>
  <c r="AB16" i="8"/>
  <c r="AA17" i="8"/>
  <c r="Z18" i="8"/>
  <c r="Y19" i="8"/>
  <c r="X20" i="8"/>
  <c r="W21" i="8"/>
  <c r="V22" i="8"/>
  <c r="AC23" i="8"/>
  <c r="X24" i="8"/>
  <c r="U25" i="8"/>
  <c r="AC28" i="8"/>
  <c r="AA29" i="8"/>
  <c r="X30" i="8"/>
  <c r="AB34" i="8"/>
  <c r="U41" i="8"/>
  <c r="W42" i="8"/>
  <c r="AA43" i="8"/>
  <c r="AC44" i="8"/>
  <c r="AC52" i="8"/>
  <c r="X61" i="8"/>
  <c r="W65" i="8"/>
  <c r="AB15" i="8"/>
  <c r="AC16" i="8"/>
  <c r="AB17" i="8"/>
  <c r="AA18" i="8"/>
  <c r="Z19" i="8"/>
  <c r="Y20" i="8"/>
  <c r="X21" i="8"/>
  <c r="W22" i="8"/>
  <c r="Y24" i="8"/>
  <c r="V25" i="8"/>
  <c r="AB29" i="8"/>
  <c r="Y30" i="8"/>
  <c r="AC34" i="8"/>
  <c r="T35" i="8"/>
  <c r="T40" i="8"/>
  <c r="V41" i="8"/>
  <c r="X42" i="8"/>
  <c r="AB43" i="8"/>
  <c r="Z58" i="8"/>
  <c r="Y61" i="8"/>
  <c r="Z65" i="8"/>
  <c r="AC15" i="8"/>
  <c r="AC17" i="8"/>
  <c r="AB18" i="8"/>
  <c r="AA19" i="8"/>
  <c r="Z20" i="8"/>
  <c r="Y21" i="8"/>
  <c r="X22" i="8"/>
  <c r="Z24" i="8"/>
  <c r="W25" i="8"/>
  <c r="T26" i="8"/>
  <c r="AC29" i="8"/>
  <c r="Z30" i="8"/>
  <c r="U35" i="8"/>
  <c r="T36" i="8"/>
  <c r="V40" i="8"/>
  <c r="W41" i="8"/>
  <c r="Y42" i="8"/>
  <c r="AC43" i="8"/>
  <c r="T54" i="8"/>
  <c r="U55" i="8"/>
  <c r="AA58" i="8"/>
  <c r="AA65" i="8"/>
  <c r="AC18" i="8"/>
  <c r="AB19" i="8"/>
  <c r="AA20" i="8"/>
  <c r="Z21" i="8"/>
  <c r="Y22" i="8"/>
  <c r="AA24" i="8"/>
  <c r="X25" i="8"/>
  <c r="U26" i="8"/>
  <c r="AA30" i="8"/>
  <c r="X31" i="8"/>
  <c r="AC35" i="8"/>
  <c r="U36" i="8"/>
  <c r="T39" i="8"/>
  <c r="W40" i="8"/>
  <c r="X41" i="8"/>
  <c r="Z42" i="8"/>
  <c r="T51" i="8"/>
  <c r="AA54" i="8"/>
  <c r="AC58" i="8"/>
  <c r="AB65" i="8"/>
  <c r="AC19" i="8"/>
  <c r="AB20" i="8"/>
  <c r="AA21" i="8"/>
  <c r="Z22" i="8"/>
  <c r="AB24" i="8"/>
  <c r="Y25" i="8"/>
  <c r="V26" i="8"/>
  <c r="AB30" i="8"/>
  <c r="Y31" i="8"/>
  <c r="V36" i="8"/>
  <c r="T37" i="8"/>
  <c r="T38" i="8"/>
  <c r="U39" i="8"/>
  <c r="X40" i="8"/>
  <c r="Y41" i="8"/>
  <c r="AA42" i="8"/>
  <c r="T46" i="8"/>
  <c r="T47" i="8"/>
  <c r="W50" i="8"/>
  <c r="U51" i="8"/>
  <c r="AB54" i="8"/>
  <c r="AC5" i="8"/>
  <c r="AC20" i="8"/>
  <c r="AB21" i="8"/>
  <c r="AA22" i="8"/>
  <c r="AC24" i="8"/>
  <c r="Z25" i="8"/>
  <c r="W26" i="8"/>
  <c r="AC30" i="8"/>
  <c r="Z31" i="8"/>
  <c r="U37" i="8"/>
  <c r="U38" i="8"/>
  <c r="W39" i="8"/>
  <c r="Y40" i="8"/>
  <c r="Z41" i="8"/>
  <c r="V46" i="8"/>
  <c r="U47" i="8"/>
  <c r="X50" i="8"/>
  <c r="V51" i="8"/>
  <c r="AC54" i="8"/>
  <c r="AC21" i="8"/>
  <c r="AB22" i="8"/>
  <c r="AA25" i="8"/>
  <c r="X26" i="8"/>
  <c r="T27" i="8"/>
  <c r="AA31" i="8"/>
  <c r="V37" i="8"/>
  <c r="V38" i="8"/>
  <c r="X39" i="8"/>
  <c r="Z40" i="8"/>
  <c r="AA41" i="8"/>
  <c r="W46" i="8"/>
  <c r="V47" i="8"/>
  <c r="AB50" i="8"/>
  <c r="X57" i="8"/>
  <c r="U60" i="8"/>
  <c r="V66" i="8"/>
  <c r="AC22" i="8"/>
  <c r="AB25" i="8"/>
  <c r="Y26" i="8"/>
  <c r="U27" i="8"/>
  <c r="AB31" i="8"/>
  <c r="X38" i="8"/>
  <c r="Y39" i="8"/>
  <c r="X46" i="8"/>
  <c r="Y57" i="8"/>
  <c r="X60" i="8"/>
  <c r="W66" i="8"/>
  <c r="T16" i="8"/>
  <c r="U23" i="8"/>
  <c r="Z26" i="8"/>
  <c r="V27" i="8"/>
  <c r="T28" i="8"/>
  <c r="AC31" i="8"/>
  <c r="Y32" i="8"/>
  <c r="Y46" i="8"/>
  <c r="T49" i="8"/>
  <c r="T56" i="8"/>
  <c r="Z57" i="8"/>
  <c r="W62" i="8"/>
  <c r="V64" i="8"/>
  <c r="T67" i="8"/>
  <c r="X65" i="8"/>
  <c r="T62" i="8"/>
  <c r="U61" i="8"/>
  <c r="V60" i="8"/>
  <c r="W59" i="8"/>
  <c r="AB66" i="8"/>
  <c r="V65" i="8"/>
  <c r="T60" i="8"/>
  <c r="U59" i="8"/>
  <c r="AA66" i="8"/>
  <c r="U65" i="8"/>
  <c r="Y67" i="8"/>
  <c r="AC65" i="8"/>
  <c r="W64" i="8"/>
  <c r="X63" i="8"/>
  <c r="Y62" i="8"/>
  <c r="Z61" i="8"/>
  <c r="AA60" i="8"/>
  <c r="AB59" i="8"/>
  <c r="U64" i="8"/>
  <c r="AB63" i="8"/>
  <c r="V62" i="8"/>
  <c r="AC60" i="8"/>
  <c r="V59" i="8"/>
  <c r="V58" i="8"/>
  <c r="W57" i="8"/>
  <c r="X56" i="8"/>
  <c r="Y55" i="8"/>
  <c r="Z54" i="8"/>
  <c r="AA53" i="8"/>
  <c r="AB52" i="8"/>
  <c r="AC51" i="8"/>
  <c r="T64" i="8"/>
  <c r="AA63" i="8"/>
  <c r="U62" i="8"/>
  <c r="AB60" i="8"/>
  <c r="T59" i="8"/>
  <c r="U58" i="8"/>
  <c r="V57" i="8"/>
  <c r="W56" i="8"/>
  <c r="X55" i="8"/>
  <c r="Y54" i="8"/>
  <c r="Z53" i="8"/>
  <c r="AA52" i="8"/>
  <c r="AB51" i="8"/>
  <c r="AC50" i="8"/>
  <c r="Z63" i="8"/>
  <c r="Z60" i="8"/>
  <c r="T58" i="8"/>
  <c r="U57" i="8"/>
  <c r="V56" i="8"/>
  <c r="W55" i="8"/>
  <c r="X54" i="8"/>
  <c r="Y53" i="8"/>
  <c r="AC67" i="8"/>
  <c r="Y63" i="8"/>
  <c r="Y60" i="8"/>
  <c r="T57" i="8"/>
  <c r="U56" i="8"/>
  <c r="V55" i="8"/>
  <c r="W54" i="8"/>
  <c r="X53" i="8"/>
  <c r="Y52" i="8"/>
  <c r="Z51" i="8"/>
  <c r="AA50" i="8"/>
  <c r="AB49" i="8"/>
  <c r="AC48" i="8"/>
  <c r="T41" i="8"/>
  <c r="U40" i="8"/>
  <c r="V39" i="8"/>
  <c r="W38" i="8"/>
  <c r="X37" i="8"/>
  <c r="Y36" i="8"/>
  <c r="Z35" i="8"/>
  <c r="AA34" i="8"/>
  <c r="AB33" i="8"/>
  <c r="AC32" i="8"/>
  <c r="AA67" i="8"/>
  <c r="V63" i="8"/>
  <c r="AB61" i="8"/>
  <c r="W60" i="8"/>
  <c r="T55" i="8"/>
  <c r="U54" i="8"/>
  <c r="V53" i="8"/>
  <c r="W52" i="8"/>
  <c r="X51" i="8"/>
  <c r="Y50" i="8"/>
  <c r="Z49" i="8"/>
  <c r="AA48" i="8"/>
  <c r="AB47" i="8"/>
  <c r="AC46" i="8"/>
  <c r="X66" i="8"/>
  <c r="Y65" i="8"/>
  <c r="X59" i="8"/>
  <c r="AB58" i="8"/>
  <c r="Y56" i="8"/>
  <c r="V54" i="8"/>
  <c r="V52" i="8"/>
  <c r="Z50" i="8"/>
  <c r="X48" i="8"/>
  <c r="U46" i="8"/>
  <c r="AC45" i="8"/>
  <c r="X44" i="8"/>
  <c r="V43" i="8"/>
  <c r="T42" i="8"/>
  <c r="X67" i="8"/>
  <c r="U66" i="8"/>
  <c r="Y58" i="8"/>
  <c r="V50" i="8"/>
  <c r="U48" i="8"/>
  <c r="AC47" i="8"/>
  <c r="Z45" i="8"/>
  <c r="U44" i="8"/>
  <c r="AC37" i="8"/>
  <c r="AC36" i="8"/>
  <c r="AB35" i="8"/>
  <c r="Z34" i="8"/>
  <c r="Y33" i="8"/>
  <c r="X32" i="8"/>
  <c r="W31" i="8"/>
  <c r="U30" i="8"/>
  <c r="T23" i="8"/>
  <c r="W67" i="8"/>
  <c r="T66" i="8"/>
  <c r="X58" i="8"/>
  <c r="U50" i="8"/>
  <c r="T48" i="8"/>
  <c r="AA47" i="8"/>
  <c r="Y45" i="8"/>
  <c r="T44" i="8"/>
  <c r="AC38" i="8"/>
  <c r="AB37" i="8"/>
  <c r="AB36" i="8"/>
  <c r="AA35" i="8"/>
  <c r="Y34" i="8"/>
  <c r="X33" i="8"/>
  <c r="W32" i="8"/>
  <c r="V31" i="8"/>
  <c r="T30" i="8"/>
  <c r="V67" i="8"/>
  <c r="AC63" i="8"/>
  <c r="W58" i="8"/>
  <c r="AC55" i="8"/>
  <c r="AC53" i="8"/>
  <c r="T50" i="8"/>
  <c r="Z47" i="8"/>
  <c r="X45" i="8"/>
  <c r="AC39" i="8"/>
  <c r="AB38" i="8"/>
  <c r="AA37" i="8"/>
  <c r="AA36" i="8"/>
  <c r="Y35" i="8"/>
  <c r="X34" i="8"/>
  <c r="W33" i="8"/>
  <c r="V32" i="8"/>
  <c r="U31" i="8"/>
  <c r="U67" i="8"/>
  <c r="W63" i="8"/>
  <c r="AC57" i="8"/>
  <c r="AB55" i="8"/>
  <c r="AB53" i="8"/>
  <c r="AA51" i="8"/>
  <c r="AC49" i="8"/>
  <c r="Y47" i="8"/>
  <c r="W45" i="8"/>
  <c r="AC40" i="8"/>
  <c r="AB39" i="8"/>
  <c r="AA38" i="8"/>
  <c r="Z37" i="8"/>
  <c r="Z36" i="8"/>
  <c r="X35" i="8"/>
  <c r="W34" i="8"/>
  <c r="V33" i="8"/>
  <c r="U32" i="8"/>
  <c r="T31" i="8"/>
  <c r="AC27" i="8"/>
  <c r="U63" i="8"/>
  <c r="AC62" i="8"/>
  <c r="AC61" i="8"/>
  <c r="AB57" i="8"/>
  <c r="AA55" i="8"/>
  <c r="W53" i="8"/>
  <c r="Y51" i="8"/>
  <c r="AA49" i="8"/>
  <c r="X47" i="8"/>
  <c r="V45" i="8"/>
  <c r="AC42" i="8"/>
  <c r="AC41" i="8"/>
  <c r="AB40" i="8"/>
  <c r="AA39" i="8"/>
  <c r="Z38" i="8"/>
  <c r="Y37" i="8"/>
  <c r="X36" i="8"/>
  <c r="W35" i="8"/>
  <c r="V34" i="8"/>
  <c r="U33" i="8"/>
  <c r="T32" i="8"/>
  <c r="AC64" i="8"/>
  <c r="T63" i="8"/>
  <c r="AB62" i="8"/>
  <c r="AA61" i="8"/>
  <c r="AA57" i="8"/>
  <c r="Z55" i="8"/>
  <c r="U53" i="8"/>
  <c r="W51" i="8"/>
  <c r="Y49" i="8"/>
  <c r="W47" i="8"/>
  <c r="U45" i="8"/>
  <c r="AB42" i="8"/>
  <c r="AB41" i="8"/>
  <c r="AA40" i="8"/>
  <c r="Z39" i="8"/>
  <c r="Y38" i="8"/>
  <c r="W37" i="8"/>
  <c r="W36" i="8"/>
  <c r="V35" i="8"/>
  <c r="U34" i="8"/>
  <c r="T33" i="8"/>
  <c r="AB28" i="8"/>
  <c r="AA27" i="8"/>
  <c r="AB26" i="8"/>
  <c r="AC25" i="8"/>
  <c r="T15" i="8"/>
  <c r="U16" i="8"/>
  <c r="T17" i="8"/>
  <c r="V23" i="8"/>
  <c r="AA26" i="8"/>
  <c r="W27" i="8"/>
  <c r="U28" i="8"/>
  <c r="T29" i="8"/>
  <c r="Z32" i="8"/>
  <c r="Z46" i="8"/>
  <c r="U49" i="8"/>
  <c r="Z56" i="8"/>
  <c r="Y59" i="8"/>
  <c r="X62" i="8"/>
  <c r="X64" i="8"/>
  <c r="Z66" i="8"/>
  <c r="U15" i="8"/>
  <c r="V16" i="8"/>
  <c r="U17" i="8"/>
  <c r="T18" i="8"/>
  <c r="W23" i="8"/>
  <c r="AC26" i="8"/>
  <c r="X27" i="8"/>
  <c r="V28" i="8"/>
  <c r="U29" i="8"/>
  <c r="AA32" i="8"/>
  <c r="T43" i="8"/>
  <c r="V44" i="8"/>
  <c r="AA46" i="8"/>
  <c r="V49" i="8"/>
  <c r="AA56" i="8"/>
  <c r="Z59" i="8"/>
  <c r="Z62" i="8"/>
  <c r="Y64" i="8"/>
  <c r="AC66" i="8"/>
  <c r="S13" i="12"/>
  <c r="Z13" i="12"/>
  <c r="X50" i="12"/>
  <c r="Q50" i="12"/>
  <c r="Q23" i="12"/>
  <c r="X23" i="12"/>
  <c r="Q9" i="12"/>
  <c r="X9" i="12"/>
  <c r="S19" i="12"/>
  <c r="Z19" i="12"/>
  <c r="X72" i="12"/>
  <c r="Q72" i="12"/>
  <c r="X41" i="12"/>
  <c r="Q41" i="12"/>
  <c r="X27" i="12"/>
  <c r="Q27" i="12"/>
  <c r="S54" i="12"/>
  <c r="Z54" i="12"/>
  <c r="Q47" i="12"/>
  <c r="X47" i="12"/>
  <c r="X31" i="12"/>
  <c r="Q31" i="12"/>
  <c r="R66" i="12"/>
  <c r="Y66" i="12"/>
  <c r="AA26" i="12"/>
  <c r="T26" i="12"/>
  <c r="Q64" i="12"/>
  <c r="X64" i="12"/>
  <c r="Q57" i="12"/>
  <c r="X57" i="12"/>
  <c r="Y92" i="12"/>
  <c r="R92" i="12"/>
  <c r="Q84" i="12"/>
  <c r="X84" i="12"/>
  <c r="R36" i="12"/>
  <c r="Y36" i="12"/>
  <c r="Q74" i="12"/>
  <c r="X74" i="12"/>
  <c r="R7" i="12"/>
  <c r="Y7" i="12"/>
  <c r="X89" i="12"/>
  <c r="Q89" i="12"/>
  <c r="R48" i="12"/>
  <c r="Y48" i="12"/>
  <c r="X10" i="12"/>
  <c r="Q10" i="12"/>
  <c r="R28" i="12"/>
  <c r="Y28" i="12"/>
  <c r="Q101" i="12"/>
  <c r="X101" i="12"/>
  <c r="S45" i="12"/>
  <c r="Z45" i="12"/>
  <c r="Q34" i="12"/>
  <c r="X34" i="12"/>
  <c r="S60" i="12"/>
  <c r="Z60" i="12"/>
  <c r="Q14" i="12"/>
  <c r="X14" i="12"/>
  <c r="Z62" i="12"/>
  <c r="S62" i="12"/>
  <c r="Q69" i="12"/>
  <c r="X69" i="12"/>
  <c r="S78" i="12"/>
  <c r="Z78" i="12"/>
  <c r="X58" i="12"/>
  <c r="Q58" i="12"/>
  <c r="X53" i="12"/>
  <c r="Q53" i="12"/>
  <c r="X77" i="12"/>
  <c r="Q77" i="12"/>
  <c r="Y20" i="12"/>
  <c r="R20" i="12"/>
  <c r="Q67" i="12"/>
  <c r="X67" i="12"/>
  <c r="Q68" i="12"/>
  <c r="X68" i="12"/>
  <c r="Q80" i="12"/>
  <c r="X80" i="12"/>
  <c r="Q22" i="12"/>
  <c r="X22" i="12"/>
  <c r="Q75" i="12"/>
  <c r="X75" i="12"/>
  <c r="X76" i="12"/>
  <c r="Q76" i="12"/>
  <c r="Q88" i="12"/>
  <c r="X88" i="12"/>
  <c r="Q25" i="12"/>
  <c r="X25" i="12"/>
  <c r="Q86" i="12"/>
  <c r="X86" i="12"/>
  <c r="Y90" i="12"/>
  <c r="R90" i="12"/>
  <c r="Q91" i="12"/>
  <c r="X91" i="12"/>
  <c r="X38" i="12"/>
  <c r="Q38" i="12"/>
  <c r="X98" i="12"/>
  <c r="Q98" i="12"/>
  <c r="R93" i="12"/>
  <c r="Y93" i="12"/>
  <c r="X103" i="12"/>
  <c r="Q103" i="12"/>
  <c r="X40" i="12"/>
  <c r="Q40" i="12"/>
  <c r="S17" i="12"/>
  <c r="Z17" i="12"/>
  <c r="Q99" i="12"/>
  <c r="X99" i="12"/>
  <c r="Q43" i="12"/>
  <c r="X43" i="12"/>
  <c r="Y4" i="12"/>
  <c r="R4" i="12"/>
  <c r="X46" i="12"/>
  <c r="Q46" i="12"/>
  <c r="Q18" i="12"/>
  <c r="X18" i="12"/>
  <c r="Q6" i="12"/>
  <c r="X6" i="12"/>
  <c r="Q123" i="12"/>
  <c r="X111" i="12"/>
  <c r="X114" i="12"/>
  <c r="Q137" i="12"/>
  <c r="X127" i="12"/>
  <c r="X155" i="12"/>
  <c r="X181" i="12"/>
  <c r="X202" i="12"/>
  <c r="X197" i="12"/>
  <c r="Q151" i="12"/>
  <c r="Q172" i="12"/>
  <c r="X172" i="12"/>
  <c r="X144" i="12"/>
  <c r="X87" i="12"/>
  <c r="Q87" i="12"/>
  <c r="X125" i="12"/>
  <c r="X123" i="12"/>
  <c r="Q134" i="12"/>
  <c r="Q149" i="12"/>
  <c r="Q136" i="12"/>
  <c r="Q177" i="12"/>
  <c r="Q190" i="12"/>
  <c r="Q163" i="12"/>
  <c r="Q155" i="12"/>
  <c r="Q159" i="12"/>
  <c r="Q180" i="12"/>
  <c r="X180" i="12"/>
  <c r="X152" i="12"/>
  <c r="X130" i="12"/>
  <c r="Q131" i="12"/>
  <c r="Q139" i="12"/>
  <c r="Q152" i="12"/>
  <c r="Q138" i="12"/>
  <c r="X185" i="12"/>
  <c r="X162" i="12"/>
  <c r="Q165" i="12"/>
  <c r="Q157" i="12"/>
  <c r="Q167" i="12"/>
  <c r="Q188" i="12"/>
  <c r="X188" i="12"/>
  <c r="X160" i="12"/>
  <c r="X142" i="12"/>
  <c r="X150" i="12"/>
  <c r="Q146" i="12"/>
  <c r="Q120" i="12"/>
  <c r="X159" i="12"/>
  <c r="X187" i="12"/>
  <c r="Q171" i="12"/>
  <c r="X186" i="12"/>
  <c r="X178" i="12"/>
  <c r="Q175" i="12"/>
  <c r="Q196" i="12"/>
  <c r="X196" i="12"/>
  <c r="X168" i="12"/>
  <c r="Q145" i="12"/>
  <c r="X154" i="12"/>
  <c r="Q117" i="12"/>
  <c r="X122" i="12"/>
  <c r="Q168" i="12"/>
  <c r="X119" i="12"/>
  <c r="Q173" i="12"/>
  <c r="Q195" i="12"/>
  <c r="Q187" i="12"/>
  <c r="Q183" i="12"/>
  <c r="Q204" i="12"/>
  <c r="X204" i="12"/>
  <c r="X176" i="12"/>
  <c r="X113" i="12"/>
  <c r="X133" i="12"/>
  <c r="X131" i="12"/>
  <c r="X139" i="12"/>
  <c r="Q170" i="12"/>
  <c r="Q128" i="12"/>
  <c r="X194" i="12"/>
  <c r="Q197" i="12"/>
  <c r="Q189" i="12"/>
  <c r="Q191" i="12"/>
  <c r="Q201" i="12"/>
  <c r="Q203" i="12"/>
  <c r="X184" i="12"/>
  <c r="X147" i="12"/>
  <c r="X138" i="12"/>
  <c r="X141" i="12"/>
  <c r="Q142" i="12"/>
  <c r="X191" i="12"/>
  <c r="Q130" i="12"/>
  <c r="Q169" i="12"/>
  <c r="Q161" i="12"/>
  <c r="X161" i="12"/>
  <c r="Q199" i="12"/>
  <c r="X199" i="12"/>
  <c r="X201" i="12"/>
  <c r="X192" i="12"/>
  <c r="Q150" i="12"/>
  <c r="Q107" i="12"/>
  <c r="Q122" i="12"/>
  <c r="Q147" i="12"/>
  <c r="Q198" i="12"/>
  <c r="X151" i="12"/>
  <c r="X177" i="12"/>
  <c r="X169" i="12"/>
  <c r="X163" i="12"/>
  <c r="X205" i="12"/>
  <c r="Q206" i="12"/>
  <c r="Q200" i="12"/>
  <c r="X200" i="12"/>
  <c r="Q153" i="12"/>
  <c r="Q114" i="12"/>
  <c r="Q144" i="12"/>
  <c r="X149" i="12"/>
  <c r="X157" i="12"/>
  <c r="Q160" i="12"/>
  <c r="X179" i="12"/>
  <c r="X171" i="12"/>
  <c r="Q185" i="12"/>
  <c r="Q108" i="12"/>
  <c r="X108" i="12"/>
  <c r="X206" i="12"/>
  <c r="Q79" i="12"/>
  <c r="X79" i="12"/>
  <c r="Q133" i="12"/>
  <c r="X121" i="12"/>
  <c r="X146" i="12"/>
  <c r="X158" i="12"/>
  <c r="Q166" i="12"/>
  <c r="Q162" i="12"/>
  <c r="Q154" i="12"/>
  <c r="Q193" i="12"/>
  <c r="X193" i="12"/>
  <c r="Q116" i="12"/>
  <c r="X116" i="12"/>
  <c r="Q205" i="12"/>
  <c r="X95" i="12"/>
  <c r="Q95" i="12"/>
  <c r="X135" i="12"/>
  <c r="Q141" i="12"/>
  <c r="X107" i="12"/>
  <c r="X110" i="12"/>
  <c r="X174" i="12"/>
  <c r="X183" i="12"/>
  <c r="X175" i="12"/>
  <c r="X167" i="12"/>
  <c r="X195" i="12"/>
  <c r="Q124" i="12"/>
  <c r="X124" i="12"/>
  <c r="X203" i="12"/>
  <c r="Q94" i="12"/>
  <c r="X94" i="12"/>
  <c r="X118" i="12"/>
  <c r="X143" i="12"/>
  <c r="Q110" i="12"/>
  <c r="Q113" i="12"/>
  <c r="X189" i="12"/>
  <c r="Q192" i="12"/>
  <c r="Q184" i="12"/>
  <c r="Q176" i="12"/>
  <c r="Q111" i="12"/>
  <c r="Q132" i="12"/>
  <c r="X132" i="12"/>
  <c r="Q202" i="12"/>
  <c r="Q73" i="12"/>
  <c r="X73" i="12"/>
  <c r="Q121" i="12"/>
  <c r="X109" i="12"/>
  <c r="Q115" i="12"/>
  <c r="Q125" i="12"/>
  <c r="X170" i="12"/>
  <c r="Q194" i="12"/>
  <c r="Q186" i="12"/>
  <c r="Q178" i="12"/>
  <c r="Q119" i="12"/>
  <c r="Q140" i="12"/>
  <c r="X140" i="12"/>
  <c r="X112" i="12"/>
  <c r="Q37" i="12"/>
  <c r="X37" i="12"/>
  <c r="Q126" i="12"/>
  <c r="X126" i="12"/>
  <c r="X117" i="12"/>
  <c r="X115" i="12"/>
  <c r="Q179" i="12"/>
  <c r="X198" i="12"/>
  <c r="X173" i="12"/>
  <c r="X165" i="12"/>
  <c r="Q127" i="12"/>
  <c r="Q148" i="12"/>
  <c r="X148" i="12"/>
  <c r="X120" i="12"/>
  <c r="Q49" i="12"/>
  <c r="X49" i="12"/>
  <c r="X145" i="12"/>
  <c r="Q129" i="12"/>
  <c r="X129" i="12"/>
  <c r="Q118" i="12"/>
  <c r="Q181" i="12"/>
  <c r="Q158" i="12"/>
  <c r="Q182" i="12"/>
  <c r="Q174" i="12"/>
  <c r="Q135" i="12"/>
  <c r="Q156" i="12"/>
  <c r="X156" i="12"/>
  <c r="X128" i="12"/>
  <c r="Q63" i="12"/>
  <c r="X63" i="12"/>
  <c r="Q109" i="12"/>
  <c r="Q112" i="12"/>
  <c r="X134" i="12"/>
  <c r="X137" i="12"/>
  <c r="X153" i="12"/>
  <c r="X166" i="12"/>
  <c r="X190" i="12"/>
  <c r="X182" i="12"/>
  <c r="Q143" i="12"/>
  <c r="Q164" i="12"/>
  <c r="X164" i="12"/>
  <c r="X136" i="12"/>
  <c r="R42" i="12"/>
  <c r="Y42" i="12"/>
  <c r="K6" i="12" l="1"/>
  <c r="K18" i="12"/>
  <c r="K46" i="12"/>
  <c r="L4" i="12"/>
  <c r="K43" i="12"/>
  <c r="K99" i="12"/>
  <c r="M17" i="12"/>
  <c r="K40" i="12"/>
  <c r="K103" i="12"/>
  <c r="L93" i="12"/>
  <c r="K98" i="12"/>
  <c r="K38" i="12"/>
  <c r="K91" i="12"/>
  <c r="L90" i="12"/>
  <c r="K25" i="12"/>
  <c r="K88" i="12"/>
  <c r="K76" i="12"/>
  <c r="K75" i="12"/>
  <c r="K22" i="12"/>
  <c r="K80" i="12"/>
  <c r="K68" i="12"/>
  <c r="K67" i="12"/>
  <c r="L20" i="12"/>
  <c r="K77" i="12"/>
  <c r="K53" i="12"/>
  <c r="K58" i="12"/>
  <c r="M78" i="12"/>
  <c r="K69" i="12"/>
  <c r="M62" i="12"/>
  <c r="K14" i="12"/>
  <c r="M60" i="12"/>
  <c r="K34" i="12"/>
  <c r="M45" i="12"/>
  <c r="K101" i="12"/>
  <c r="L28" i="12"/>
  <c r="K10" i="12"/>
  <c r="L48" i="12"/>
  <c r="K89" i="12"/>
  <c r="L7" i="12"/>
  <c r="K74" i="12"/>
  <c r="L36" i="12"/>
  <c r="K84" i="12"/>
  <c r="L92" i="12"/>
  <c r="K57" i="12"/>
  <c r="K64" i="12"/>
  <c r="E49" i="10"/>
  <c r="L66" i="12"/>
  <c r="K31" i="12"/>
  <c r="K47" i="12"/>
  <c r="K86" i="12"/>
  <c r="M54" i="12"/>
  <c r="K27" i="12"/>
  <c r="K41" i="12"/>
  <c r="K72" i="12"/>
  <c r="M19" i="12"/>
  <c r="K9" i="12"/>
  <c r="K23" i="12"/>
  <c r="K50" i="12"/>
  <c r="M13" i="12"/>
  <c r="K77" i="10"/>
  <c r="H6" i="8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F20" i="7"/>
  <c r="F21" i="7"/>
  <c r="G16" i="8"/>
  <c r="G17" i="8" s="1"/>
  <c r="G18" i="8" s="1"/>
  <c r="G19" i="8" s="1"/>
  <c r="G20" i="8" s="1"/>
  <c r="K66" i="10"/>
  <c r="K53" i="10"/>
  <c r="L53" i="10" s="1"/>
  <c r="T5" i="8" a="1"/>
  <c r="T6" i="8" s="1"/>
  <c r="L42" i="12"/>
  <c r="K63" i="12"/>
  <c r="K50" i="10"/>
  <c r="K49" i="12"/>
  <c r="K37" i="12"/>
  <c r="K78" i="10"/>
  <c r="L78" i="10" s="1"/>
  <c r="K55" i="10"/>
  <c r="L55" i="10" s="1"/>
  <c r="K92" i="10"/>
  <c r="K28" i="10"/>
  <c r="L28" i="10" s="1"/>
  <c r="K73" i="12"/>
  <c r="K94" i="12"/>
  <c r="K95" i="12"/>
  <c r="K125" i="10"/>
  <c r="L125" i="10" s="1"/>
  <c r="K79" i="12"/>
  <c r="K121" i="10"/>
  <c r="K37" i="10"/>
  <c r="K57" i="10"/>
  <c r="K87" i="12"/>
  <c r="K109" i="10"/>
  <c r="F8" i="8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F39" i="8" s="1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F105" i="8" s="1"/>
  <c r="F106" i="8" s="1"/>
  <c r="F107" i="8" s="1"/>
  <c r="F108" i="8" s="1"/>
  <c r="F109" i="8" s="1"/>
  <c r="F110" i="8" s="1"/>
  <c r="F111" i="8" s="1"/>
  <c r="F112" i="8" s="1"/>
  <c r="F113" i="8" s="1"/>
  <c r="F114" i="8" s="1"/>
  <c r="F115" i="8" s="1"/>
  <c r="F116" i="8" s="1"/>
  <c r="F117" i="8" s="1"/>
  <c r="F118" i="8" s="1"/>
  <c r="F119" i="8" s="1"/>
  <c r="F120" i="8" s="1"/>
  <c r="F121" i="8" s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F141" i="8" s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F152" i="8" s="1"/>
  <c r="F153" i="8" s="1"/>
  <c r="F154" i="8" s="1"/>
  <c r="F155" i="8" s="1"/>
  <c r="F156" i="8" s="1"/>
  <c r="F157" i="8" s="1"/>
  <c r="F158" i="8" s="1"/>
  <c r="F159" i="8" s="1"/>
  <c r="F160" i="8" s="1"/>
  <c r="F161" i="8" s="1"/>
  <c r="F162" i="8" s="1"/>
  <c r="F163" i="8" s="1"/>
  <c r="F164" i="8" s="1"/>
  <c r="F165" i="8" s="1"/>
  <c r="F166" i="8" s="1"/>
  <c r="F167" i="8" s="1"/>
  <c r="F168" i="8" s="1"/>
  <c r="F169" i="8" s="1"/>
  <c r="F170" i="8" s="1"/>
  <c r="F171" i="8" s="1"/>
  <c r="F172" i="8" s="1"/>
  <c r="F173" i="8" s="1"/>
  <c r="F174" i="8" s="1"/>
  <c r="F175" i="8" s="1"/>
  <c r="F176" i="8" s="1"/>
  <c r="F177" i="8" s="1"/>
  <c r="F178" i="8" s="1"/>
  <c r="F179" i="8" s="1"/>
  <c r="F180" i="8" s="1"/>
  <c r="F181" i="8" s="1"/>
  <c r="F182" i="8" s="1"/>
  <c r="F183" i="8" s="1"/>
  <c r="F184" i="8" s="1"/>
  <c r="F185" i="8" s="1"/>
  <c r="F186" i="8" s="1"/>
  <c r="F187" i="8" s="1"/>
  <c r="F188" i="8" s="1"/>
  <c r="F189" i="8" s="1"/>
  <c r="F190" i="8" s="1"/>
  <c r="F191" i="8" s="1"/>
  <c r="F192" i="8" s="1"/>
  <c r="F193" i="8" s="1"/>
  <c r="F194" i="8" s="1"/>
  <c r="F195" i="8" s="1"/>
  <c r="F196" i="8" s="1"/>
  <c r="F197" i="8" s="1"/>
  <c r="F198" i="8" s="1"/>
  <c r="F199" i="8" s="1"/>
  <c r="F200" i="8" s="1"/>
  <c r="F201" i="8" s="1"/>
  <c r="F202" i="8" s="1"/>
  <c r="F203" i="8" s="1"/>
  <c r="F204" i="8" s="1"/>
  <c r="F205" i="8" s="1"/>
  <c r="F206" i="8" s="1"/>
  <c r="F207" i="8" s="1"/>
  <c r="F208" i="8" s="1"/>
  <c r="F209" i="8" s="1"/>
  <c r="F210" i="8" s="1"/>
  <c r="F211" i="8" s="1"/>
  <c r="F212" i="8" s="1"/>
  <c r="F213" i="8" s="1"/>
  <c r="F214" i="8" s="1"/>
  <c r="F215" i="8" s="1"/>
  <c r="F216" i="8" s="1"/>
  <c r="F217" i="8" s="1"/>
  <c r="F218" i="8" s="1"/>
  <c r="F219" i="8" s="1"/>
  <c r="F220" i="8" s="1"/>
  <c r="F221" i="8" s="1"/>
  <c r="F222" i="8" s="1"/>
  <c r="F223" i="8" s="1"/>
  <c r="F224" i="8" s="1"/>
  <c r="F225" i="8" s="1"/>
  <c r="F226" i="8" s="1"/>
  <c r="F227" i="8" s="1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F245" i="8" s="1"/>
  <c r="F246" i="8" s="1"/>
  <c r="F247" i="8" s="1"/>
  <c r="F248" i="8" s="1"/>
  <c r="F249" i="8" s="1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F291" i="8" s="1"/>
  <c r="F292" i="8" s="1"/>
  <c r="F293" i="8" s="1"/>
  <c r="F294" i="8" s="1"/>
  <c r="F295" i="8" s="1"/>
  <c r="F296" i="8" s="1"/>
  <c r="F297" i="8" s="1"/>
  <c r="F298" i="8" s="1"/>
  <c r="F299" i="8" s="1"/>
  <c r="F300" i="8" s="1"/>
  <c r="F301" i="8" s="1"/>
  <c r="F302" i="8" s="1"/>
  <c r="F303" i="8" s="1"/>
  <c r="F304" i="8" s="1"/>
  <c r="F305" i="8" s="1"/>
  <c r="F306" i="8" s="1"/>
  <c r="F307" i="8" s="1"/>
  <c r="F308" i="8" s="1"/>
  <c r="F309" i="8" s="1"/>
  <c r="F310" i="8" s="1"/>
  <c r="F311" i="8" s="1"/>
  <c r="F312" i="8" s="1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F324" i="8" s="1"/>
  <c r="F325" i="8" s="1"/>
  <c r="F326" i="8" s="1"/>
  <c r="F327" i="8" s="1"/>
  <c r="F328" i="8" s="1"/>
  <c r="F329" i="8" s="1"/>
  <c r="F330" i="8" s="1"/>
  <c r="F331" i="8" s="1"/>
  <c r="F332" i="8" s="1"/>
  <c r="F333" i="8" s="1"/>
  <c r="F334" i="8" s="1"/>
  <c r="F335" i="8" s="1"/>
  <c r="F336" i="8" s="1"/>
  <c r="F337" i="8" s="1"/>
  <c r="F338" i="8" s="1"/>
  <c r="F339" i="8" s="1"/>
  <c r="F340" i="8" s="1"/>
  <c r="F341" i="8" s="1"/>
  <c r="F342" i="8" s="1"/>
  <c r="F343" i="8" s="1"/>
  <c r="F344" i="8" s="1"/>
  <c r="F345" i="8" s="1"/>
  <c r="F346" i="8" s="1"/>
  <c r="F347" i="8" s="1"/>
  <c r="F348" i="8" s="1"/>
  <c r="F349" i="8" s="1"/>
  <c r="F350" i="8" s="1"/>
  <c r="F351" i="8" s="1"/>
  <c r="F352" i="8" s="1"/>
  <c r="F353" i="8" s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F370" i="8" s="1"/>
  <c r="F371" i="8" s="1"/>
  <c r="F372" i="8" s="1"/>
  <c r="F373" i="8" s="1"/>
  <c r="F374" i="8" s="1"/>
  <c r="F375" i="8" s="1"/>
  <c r="F376" i="8" s="1"/>
  <c r="F377" i="8" s="1"/>
  <c r="F378" i="8" s="1"/>
  <c r="F379" i="8" s="1"/>
  <c r="F380" i="8" s="1"/>
  <c r="F381" i="8" s="1"/>
  <c r="F382" i="8" s="1"/>
  <c r="F383" i="8" s="1"/>
  <c r="F384" i="8" s="1"/>
  <c r="F385" i="8" s="1"/>
  <c r="F386" i="8" s="1"/>
  <c r="F387" i="8" s="1"/>
  <c r="F388" i="8" s="1"/>
  <c r="F389" i="8" s="1"/>
  <c r="F390" i="8" s="1"/>
  <c r="F391" i="8" s="1"/>
  <c r="F392" i="8" s="1"/>
  <c r="F393" i="8" s="1"/>
  <c r="F394" i="8" s="1"/>
  <c r="F395" i="8" s="1"/>
  <c r="F396" i="8" s="1"/>
  <c r="F397" i="8" s="1"/>
  <c r="F398" i="8" s="1"/>
  <c r="F399" i="8" s="1"/>
  <c r="F400" i="8" s="1"/>
  <c r="F401" i="8" s="1"/>
  <c r="F402" i="8" s="1"/>
  <c r="F403" i="8" s="1"/>
  <c r="F404" i="8" s="1"/>
  <c r="F405" i="8" s="1"/>
  <c r="F406" i="8" s="1"/>
  <c r="F407" i="8" s="1"/>
  <c r="F408" i="8" s="1"/>
  <c r="F409" i="8" s="1"/>
  <c r="F410" i="8" s="1"/>
  <c r="F411" i="8" s="1"/>
  <c r="F412" i="8" s="1"/>
  <c r="F413" i="8" s="1"/>
  <c r="F414" i="8" s="1"/>
  <c r="F415" i="8" s="1"/>
  <c r="F416" i="8" s="1"/>
  <c r="F417" i="8" s="1"/>
  <c r="F418" i="8" s="1"/>
  <c r="F419" i="8" s="1"/>
  <c r="F420" i="8" s="1"/>
  <c r="F421" i="8" s="1"/>
  <c r="F422" i="8" s="1"/>
  <c r="F423" i="8" s="1"/>
  <c r="F424" i="8" s="1"/>
  <c r="F425" i="8" s="1"/>
  <c r="F426" i="8" s="1"/>
  <c r="F427" i="8" s="1"/>
  <c r="F428" i="8" s="1"/>
  <c r="F429" i="8" s="1"/>
  <c r="F430" i="8" s="1"/>
  <c r="F431" i="8" s="1"/>
  <c r="F432" i="8" s="1"/>
  <c r="F433" i="8" s="1"/>
  <c r="F434" i="8" s="1"/>
  <c r="F435" i="8" s="1"/>
  <c r="F436" i="8" s="1"/>
  <c r="F437" i="8" s="1"/>
  <c r="F438" i="8" s="1"/>
  <c r="F439" i="8" s="1"/>
  <c r="F440" i="8" s="1"/>
  <c r="F441" i="8" s="1"/>
  <c r="F442" i="8" s="1"/>
  <c r="F443" i="8" s="1"/>
  <c r="F444" i="8" s="1"/>
  <c r="F445" i="8" s="1"/>
  <c r="F446" i="8" s="1"/>
  <c r="F447" i="8" s="1"/>
  <c r="F448" i="8" s="1"/>
  <c r="F449" i="8" s="1"/>
  <c r="F450" i="8" s="1"/>
  <c r="F451" i="8" s="1"/>
  <c r="F452" i="8" s="1"/>
  <c r="F453" i="8" s="1"/>
  <c r="F454" i="8" s="1"/>
  <c r="F455" i="8" s="1"/>
  <c r="F456" i="8" s="1"/>
  <c r="F457" i="8" s="1"/>
  <c r="F458" i="8" s="1"/>
  <c r="F459" i="8" s="1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F476" i="8" s="1"/>
  <c r="F477" i="8" s="1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F494" i="8" s="1"/>
  <c r="F495" i="8" s="1"/>
  <c r="F496" i="8" s="1"/>
  <c r="F497" i="8" s="1"/>
  <c r="F498" i="8" s="1"/>
  <c r="F499" i="8" s="1"/>
  <c r="F500" i="8" s="1"/>
  <c r="F501" i="8" s="1"/>
  <c r="F502" i="8" s="1"/>
  <c r="F503" i="8" s="1"/>
  <c r="F504" i="8" s="1"/>
  <c r="F505" i="8" s="1"/>
  <c r="F506" i="8" s="1"/>
  <c r="F507" i="8" s="1"/>
  <c r="F508" i="8" s="1"/>
  <c r="F509" i="8" s="1"/>
  <c r="F510" i="8" s="1"/>
  <c r="F511" i="8" s="1"/>
  <c r="F512" i="8" s="1"/>
  <c r="F513" i="8" s="1"/>
  <c r="F514" i="8" s="1"/>
  <c r="F515" i="8" s="1"/>
  <c r="F516" i="8" s="1"/>
  <c r="F517" i="8" s="1"/>
  <c r="F518" i="8" s="1"/>
  <c r="F519" i="8" s="1"/>
  <c r="F520" i="8" s="1"/>
  <c r="F521" i="8" s="1"/>
  <c r="F522" i="8" s="1"/>
  <c r="F523" i="8" s="1"/>
  <c r="F524" i="8" s="1"/>
  <c r="F525" i="8" s="1"/>
  <c r="F526" i="8" s="1"/>
  <c r="F527" i="8" s="1"/>
  <c r="F528" i="8" s="1"/>
  <c r="F529" i="8" s="1"/>
  <c r="F530" i="8" s="1"/>
  <c r="F531" i="8" s="1"/>
  <c r="F532" i="8" s="1"/>
  <c r="F533" i="8" s="1"/>
  <c r="F534" i="8" s="1"/>
  <c r="F535" i="8" s="1"/>
  <c r="F536" i="8" s="1"/>
  <c r="F537" i="8" s="1"/>
  <c r="F538" i="8" s="1"/>
  <c r="F539" i="8" s="1"/>
  <c r="F540" i="8" s="1"/>
  <c r="F541" i="8" s="1"/>
  <c r="F542" i="8" s="1"/>
  <c r="F543" i="8" s="1"/>
  <c r="F544" i="8" s="1"/>
  <c r="F545" i="8" s="1"/>
  <c r="F546" i="8" s="1"/>
  <c r="F547" i="8" s="1"/>
  <c r="F548" i="8" s="1"/>
  <c r="F549" i="8" s="1"/>
  <c r="F550" i="8" s="1"/>
  <c r="F551" i="8" s="1"/>
  <c r="F552" i="8" s="1"/>
  <c r="F553" i="8" s="1"/>
  <c r="F554" i="8" s="1"/>
  <c r="F555" i="8" s="1"/>
  <c r="F556" i="8" s="1"/>
  <c r="F557" i="8" s="1"/>
  <c r="F558" i="8" s="1"/>
  <c r="F559" i="8" s="1"/>
  <c r="F560" i="8" s="1"/>
  <c r="F561" i="8" s="1"/>
  <c r="F562" i="8" s="1"/>
  <c r="F563" i="8" s="1"/>
  <c r="F564" i="8" s="1"/>
  <c r="F565" i="8" s="1"/>
  <c r="F566" i="8" s="1"/>
  <c r="F567" i="8" s="1"/>
  <c r="F568" i="8" s="1"/>
  <c r="F569" i="8" s="1"/>
  <c r="F570" i="8" s="1"/>
  <c r="F571" i="8" s="1"/>
  <c r="F572" i="8" s="1"/>
  <c r="F573" i="8" s="1"/>
  <c r="F574" i="8" s="1"/>
  <c r="F575" i="8" s="1"/>
  <c r="F576" i="8" s="1"/>
  <c r="F577" i="8" s="1"/>
  <c r="F578" i="8" s="1"/>
  <c r="F579" i="8" s="1"/>
  <c r="F580" i="8" s="1"/>
  <c r="F581" i="8" s="1"/>
  <c r="F582" i="8" s="1"/>
  <c r="F583" i="8" s="1"/>
  <c r="F584" i="8" s="1"/>
  <c r="F585" i="8" s="1"/>
  <c r="F586" i="8" s="1"/>
  <c r="F587" i="8" s="1"/>
  <c r="F588" i="8" s="1"/>
  <c r="F589" i="8" s="1"/>
  <c r="F590" i="8" s="1"/>
  <c r="F591" i="8" s="1"/>
  <c r="F592" i="8" s="1"/>
  <c r="F593" i="8" s="1"/>
  <c r="F594" i="8" s="1"/>
  <c r="F595" i="8" s="1"/>
  <c r="F596" i="8" s="1"/>
  <c r="F597" i="8" s="1"/>
  <c r="F598" i="8" s="1"/>
  <c r="F599" i="8" s="1"/>
  <c r="F600" i="8" s="1"/>
  <c r="F601" i="8" s="1"/>
  <c r="F602" i="8" s="1"/>
  <c r="F603" i="8" s="1"/>
  <c r="F604" i="8" s="1"/>
  <c r="F605" i="8" s="1"/>
  <c r="F606" i="8" s="1"/>
  <c r="F607" i="8" s="1"/>
  <c r="F608" i="8" s="1"/>
  <c r="F609" i="8" s="1"/>
  <c r="F610" i="8" s="1"/>
  <c r="F611" i="8" s="1"/>
  <c r="F612" i="8" s="1"/>
  <c r="F613" i="8" s="1"/>
  <c r="F614" i="8" s="1"/>
  <c r="F615" i="8" s="1"/>
  <c r="F616" i="8" s="1"/>
  <c r="F617" i="8" s="1"/>
  <c r="F618" i="8" s="1"/>
  <c r="F619" i="8" s="1"/>
  <c r="F620" i="8" s="1"/>
  <c r="F621" i="8" s="1"/>
  <c r="F622" i="8" s="1"/>
  <c r="F623" i="8" s="1"/>
  <c r="F624" i="8" s="1"/>
  <c r="F625" i="8" s="1"/>
  <c r="F626" i="8" s="1"/>
  <c r="F627" i="8" s="1"/>
  <c r="F628" i="8" s="1"/>
  <c r="F629" i="8" s="1"/>
  <c r="F630" i="8" s="1"/>
  <c r="F631" i="8" s="1"/>
  <c r="F632" i="8" s="1"/>
  <c r="F633" i="8" s="1"/>
  <c r="F634" i="8" s="1"/>
  <c r="F635" i="8" s="1"/>
  <c r="F636" i="8" s="1"/>
  <c r="F637" i="8" s="1"/>
  <c r="F638" i="8" s="1"/>
  <c r="F639" i="8" s="1"/>
  <c r="F640" i="8" s="1"/>
  <c r="F641" i="8" s="1"/>
  <c r="F642" i="8" s="1"/>
  <c r="F643" i="8" s="1"/>
  <c r="F644" i="8" s="1"/>
  <c r="F645" i="8" s="1"/>
  <c r="F646" i="8" s="1"/>
  <c r="F647" i="8" s="1"/>
  <c r="F648" i="8" s="1"/>
  <c r="F649" i="8" s="1"/>
  <c r="F650" i="8" s="1"/>
  <c r="F651" i="8" s="1"/>
  <c r="F652" i="8" s="1"/>
  <c r="F653" i="8" s="1"/>
  <c r="F654" i="8" s="1"/>
  <c r="F655" i="8" s="1"/>
  <c r="F656" i="8" s="1"/>
  <c r="G21" i="8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K117" i="10"/>
  <c r="K96" i="10"/>
  <c r="K32" i="10"/>
  <c r="K43" i="10"/>
  <c r="K107" i="10"/>
  <c r="K118" i="10"/>
  <c r="K58" i="10"/>
  <c r="L58" i="10" s="1"/>
  <c r="K68" i="10"/>
  <c r="K71" i="10"/>
  <c r="K82" i="10"/>
  <c r="L82" i="10" s="1"/>
  <c r="K47" i="10"/>
  <c r="L47" i="10" s="1"/>
  <c r="K88" i="10"/>
  <c r="L88" i="10" s="1"/>
  <c r="K38" i="10"/>
  <c r="L38" i="10" s="1"/>
  <c r="K48" i="10"/>
  <c r="K62" i="10"/>
  <c r="L62" i="10" s="1"/>
  <c r="K99" i="10"/>
  <c r="K35" i="10"/>
  <c r="L35" i="10" s="1"/>
  <c r="K110" i="10"/>
  <c r="K124" i="10"/>
  <c r="K74" i="10"/>
  <c r="L74" i="10" s="1"/>
  <c r="K101" i="10"/>
  <c r="K80" i="10"/>
  <c r="K113" i="10"/>
  <c r="K91" i="10"/>
  <c r="K27" i="10"/>
  <c r="K67" i="10"/>
  <c r="L67" i="10" s="1"/>
  <c r="K102" i="10"/>
  <c r="K116" i="10"/>
  <c r="K52" i="10"/>
  <c r="L52" i="10" s="1"/>
  <c r="K119" i="10"/>
  <c r="L119" i="10" s="1"/>
  <c r="K93" i="10"/>
  <c r="L93" i="10" s="1"/>
  <c r="K72" i="10"/>
  <c r="K105" i="10"/>
  <c r="L105" i="10" s="1"/>
  <c r="K46" i="10"/>
  <c r="K83" i="10"/>
  <c r="K94" i="10"/>
  <c r="L94" i="10" s="1"/>
  <c r="K30" i="10"/>
  <c r="K61" i="10"/>
  <c r="K108" i="10"/>
  <c r="L108" i="10" s="1"/>
  <c r="K111" i="10"/>
  <c r="K122" i="10"/>
  <c r="K56" i="10"/>
  <c r="L56" i="10" s="1"/>
  <c r="K85" i="10"/>
  <c r="K60" i="10"/>
  <c r="K97" i="10"/>
  <c r="K33" i="10"/>
  <c r="K75" i="10"/>
  <c r="L75" i="10" s="1"/>
  <c r="K51" i="10"/>
  <c r="K86" i="10"/>
  <c r="K100" i="10"/>
  <c r="K36" i="10"/>
  <c r="K103" i="10"/>
  <c r="K114" i="10"/>
  <c r="K120" i="10"/>
  <c r="L120" i="10" s="1"/>
  <c r="K41" i="10"/>
  <c r="K89" i="10"/>
  <c r="K65" i="10"/>
  <c r="K45" i="10"/>
  <c r="K95" i="10"/>
  <c r="K31" i="10"/>
  <c r="L31" i="10" s="1"/>
  <c r="K106" i="10"/>
  <c r="L106" i="10" s="1"/>
  <c r="K40" i="10"/>
  <c r="K69" i="10"/>
  <c r="K112" i="10"/>
  <c r="K44" i="10"/>
  <c r="L44" i="10" s="1"/>
  <c r="K81" i="10"/>
  <c r="K59" i="10"/>
  <c r="K123" i="10"/>
  <c r="L123" i="10" s="1"/>
  <c r="K70" i="10"/>
  <c r="K84" i="10"/>
  <c r="L84" i="10" s="1"/>
  <c r="K87" i="10"/>
  <c r="K98" i="10"/>
  <c r="K34" i="10"/>
  <c r="L34" i="10" s="1"/>
  <c r="K63" i="10"/>
  <c r="K104" i="10"/>
  <c r="L104" i="10" s="1"/>
  <c r="K54" i="10"/>
  <c r="K64" i="10"/>
  <c r="K73" i="10"/>
  <c r="K49" i="10"/>
  <c r="L49" i="10" s="1"/>
  <c r="K29" i="10"/>
  <c r="K115" i="10"/>
  <c r="K126" i="10"/>
  <c r="K39" i="10"/>
  <c r="L39" i="10" s="1"/>
  <c r="K76" i="10"/>
  <c r="K79" i="10"/>
  <c r="L79" i="10" s="1"/>
  <c r="K90" i="10"/>
  <c r="H51" i="7"/>
  <c r="G51" i="7"/>
  <c r="R6" i="12"/>
  <c r="Y6" i="12"/>
  <c r="Y88" i="12"/>
  <c r="R88" i="12"/>
  <c r="R34" i="12"/>
  <c r="Y34" i="12"/>
  <c r="Y31" i="12"/>
  <c r="R31" i="12"/>
  <c r="R18" i="12"/>
  <c r="Y18" i="12"/>
  <c r="R76" i="12"/>
  <c r="Y76" i="12"/>
  <c r="AA45" i="12"/>
  <c r="T45" i="12"/>
  <c r="Y47" i="12"/>
  <c r="R47" i="12"/>
  <c r="R46" i="12"/>
  <c r="Y46" i="12"/>
  <c r="Y75" i="12"/>
  <c r="R75" i="12"/>
  <c r="R101" i="12"/>
  <c r="Y101" i="12"/>
  <c r="R86" i="12"/>
  <c r="Y86" i="12"/>
  <c r="Z4" i="12"/>
  <c r="S4" i="12"/>
  <c r="R22" i="12"/>
  <c r="Y22" i="12"/>
  <c r="S28" i="12"/>
  <c r="Z28" i="12"/>
  <c r="T54" i="12"/>
  <c r="AA54" i="12"/>
  <c r="R43" i="12"/>
  <c r="Y43" i="12"/>
  <c r="R80" i="12"/>
  <c r="Y80" i="12"/>
  <c r="Y10" i="12"/>
  <c r="R10" i="12"/>
  <c r="R27" i="12"/>
  <c r="Y27" i="12"/>
  <c r="R99" i="12"/>
  <c r="Y99" i="12"/>
  <c r="R68" i="12"/>
  <c r="Y68" i="12"/>
  <c r="S48" i="12"/>
  <c r="Z48" i="12"/>
  <c r="R41" i="12"/>
  <c r="Y41" i="12"/>
  <c r="T17" i="12"/>
  <c r="AA17" i="12"/>
  <c r="R67" i="12"/>
  <c r="Y67" i="12"/>
  <c r="Y89" i="12"/>
  <c r="R89" i="12"/>
  <c r="R72" i="12"/>
  <c r="Y72" i="12"/>
  <c r="R40" i="12"/>
  <c r="Y40" i="12"/>
  <c r="Z20" i="12"/>
  <c r="S20" i="12"/>
  <c r="S7" i="12"/>
  <c r="Z7" i="12"/>
  <c r="T19" i="12"/>
  <c r="AA19" i="12"/>
  <c r="Y103" i="12"/>
  <c r="R103" i="12"/>
  <c r="Y77" i="12"/>
  <c r="R77" i="12"/>
  <c r="R74" i="12"/>
  <c r="Y74" i="12"/>
  <c r="R9" i="12"/>
  <c r="Y9" i="12"/>
  <c r="S93" i="12"/>
  <c r="Z93" i="12"/>
  <c r="Y53" i="12"/>
  <c r="R53" i="12"/>
  <c r="Z36" i="12"/>
  <c r="S36" i="12"/>
  <c r="R23" i="12"/>
  <c r="Y23" i="12"/>
  <c r="Y98" i="12"/>
  <c r="R98" i="12"/>
  <c r="R58" i="12"/>
  <c r="Y58" i="12"/>
  <c r="Y84" i="12"/>
  <c r="R84" i="12"/>
  <c r="Y50" i="12"/>
  <c r="R50" i="12"/>
  <c r="Y38" i="12"/>
  <c r="R38" i="12"/>
  <c r="T78" i="12"/>
  <c r="AA78" i="12"/>
  <c r="Z92" i="12"/>
  <c r="S92" i="12"/>
  <c r="T13" i="12"/>
  <c r="AA13" i="12"/>
  <c r="Y91" i="12"/>
  <c r="R91" i="12"/>
  <c r="Y69" i="12"/>
  <c r="R69" i="12"/>
  <c r="R57" i="12"/>
  <c r="Y57" i="12"/>
  <c r="S90" i="12"/>
  <c r="Z90" i="12"/>
  <c r="AA62" i="12"/>
  <c r="T62" i="12"/>
  <c r="R64" i="12"/>
  <c r="Y64" i="12"/>
  <c r="R25" i="12"/>
  <c r="Y25" i="12"/>
  <c r="R14" i="12"/>
  <c r="Y14" i="12"/>
  <c r="T60" i="12"/>
  <c r="AA60" i="12"/>
  <c r="Z66" i="12"/>
  <c r="S66" i="12"/>
  <c r="Y136" i="12"/>
  <c r="R174" i="12"/>
  <c r="Y115" i="12"/>
  <c r="R202" i="12"/>
  <c r="Y167" i="12"/>
  <c r="Y158" i="12"/>
  <c r="Y200" i="12"/>
  <c r="R199" i="12"/>
  <c r="Y122" i="12"/>
  <c r="Y142" i="12"/>
  <c r="R180" i="12"/>
  <c r="Y117" i="12"/>
  <c r="Y146" i="12"/>
  <c r="R128" i="12"/>
  <c r="R159" i="12"/>
  <c r="R158" i="12"/>
  <c r="Y121" i="12"/>
  <c r="R170" i="12"/>
  <c r="R155" i="12"/>
  <c r="R143" i="12"/>
  <c r="Y174" i="12"/>
  <c r="R169" i="12"/>
  <c r="R188" i="12"/>
  <c r="Y110" i="12"/>
  <c r="Y131" i="12"/>
  <c r="R137" i="12"/>
  <c r="Y108" i="12"/>
  <c r="R157" i="12"/>
  <c r="R196" i="12"/>
  <c r="R184" i="12"/>
  <c r="R79" i="12"/>
  <c r="Y79" i="12"/>
  <c r="Y191" i="12"/>
  <c r="R118" i="12"/>
  <c r="R136" i="12"/>
  <c r="Y190" i="12"/>
  <c r="Y107" i="12"/>
  <c r="Y114" i="12"/>
  <c r="Y166" i="12"/>
  <c r="R129" i="12"/>
  <c r="R140" i="12"/>
  <c r="R192" i="12"/>
  <c r="R141" i="12"/>
  <c r="R108" i="12"/>
  <c r="Y177" i="12"/>
  <c r="Y111" i="12"/>
  <c r="Y153" i="12"/>
  <c r="Y145" i="12"/>
  <c r="R119" i="12"/>
  <c r="Y189" i="12"/>
  <c r="Y135" i="12"/>
  <c r="R185" i="12"/>
  <c r="Y151" i="12"/>
  <c r="Y141" i="12"/>
  <c r="Y176" i="12"/>
  <c r="R175" i="12"/>
  <c r="Y162" i="12"/>
  <c r="R149" i="12"/>
  <c r="R123" i="12"/>
  <c r="Y204" i="12"/>
  <c r="R134" i="12"/>
  <c r="Y134" i="12"/>
  <c r="R186" i="12"/>
  <c r="Y116" i="12"/>
  <c r="R147" i="12"/>
  <c r="R204" i="12"/>
  <c r="R138" i="12"/>
  <c r="R63" i="12"/>
  <c r="Y63" i="12"/>
  <c r="R112" i="12"/>
  <c r="R194" i="12"/>
  <c r="R116" i="12"/>
  <c r="R122" i="12"/>
  <c r="R183" i="12"/>
  <c r="R152" i="12"/>
  <c r="R109" i="12"/>
  <c r="Y118" i="12"/>
  <c r="Y157" i="12"/>
  <c r="R203" i="12"/>
  <c r="Y187" i="12"/>
  <c r="Y49" i="12"/>
  <c r="R49" i="12"/>
  <c r="Y203" i="12"/>
  <c r="R195" i="12"/>
  <c r="Y172" i="12"/>
  <c r="Y137" i="12"/>
  <c r="Y120" i="12"/>
  <c r="R178" i="12"/>
  <c r="R113" i="12"/>
  <c r="R205" i="12"/>
  <c r="Y171" i="12"/>
  <c r="R198" i="12"/>
  <c r="Y138" i="12"/>
  <c r="Y178" i="12"/>
  <c r="Y185" i="12"/>
  <c r="S42" i="12"/>
  <c r="Z42" i="12"/>
  <c r="Y148" i="12"/>
  <c r="R110" i="12"/>
  <c r="Y179" i="12"/>
  <c r="Y147" i="12"/>
  <c r="Y186" i="12"/>
  <c r="Y123" i="12"/>
  <c r="Y87" i="12"/>
  <c r="R87" i="12"/>
  <c r="R148" i="12"/>
  <c r="Y143" i="12"/>
  <c r="R160" i="12"/>
  <c r="Y184" i="12"/>
  <c r="R171" i="12"/>
  <c r="Y125" i="12"/>
  <c r="R127" i="12"/>
  <c r="Y193" i="12"/>
  <c r="R107" i="12"/>
  <c r="R187" i="12"/>
  <c r="R139" i="12"/>
  <c r="Y144" i="12"/>
  <c r="R125" i="12"/>
  <c r="R201" i="12"/>
  <c r="Y170" i="12"/>
  <c r="Y149" i="12"/>
  <c r="R131" i="12"/>
  <c r="Y128" i="12"/>
  <c r="Y165" i="12"/>
  <c r="R193" i="12"/>
  <c r="R150" i="12"/>
  <c r="Y159" i="12"/>
  <c r="R37" i="12"/>
  <c r="Y37" i="12"/>
  <c r="Y156" i="12"/>
  <c r="Y173" i="12"/>
  <c r="R115" i="12"/>
  <c r="Y124" i="12"/>
  <c r="R154" i="12"/>
  <c r="R144" i="12"/>
  <c r="Y192" i="12"/>
  <c r="R191" i="12"/>
  <c r="R173" i="12"/>
  <c r="R120" i="12"/>
  <c r="Y130" i="12"/>
  <c r="R172" i="12"/>
  <c r="R95" i="12"/>
  <c r="Y95" i="12"/>
  <c r="R176" i="12"/>
  <c r="R130" i="12"/>
  <c r="R190" i="12"/>
  <c r="Y140" i="12"/>
  <c r="Y133" i="12"/>
  <c r="Y113" i="12"/>
  <c r="R156" i="12"/>
  <c r="Y198" i="12"/>
  <c r="Y109" i="12"/>
  <c r="R124" i="12"/>
  <c r="R162" i="12"/>
  <c r="R114" i="12"/>
  <c r="Y201" i="12"/>
  <c r="R189" i="12"/>
  <c r="Y119" i="12"/>
  <c r="R146" i="12"/>
  <c r="Y152" i="12"/>
  <c r="R151" i="12"/>
  <c r="Y164" i="12"/>
  <c r="Y175" i="12"/>
  <c r="Y161" i="12"/>
  <c r="Y160" i="12"/>
  <c r="R73" i="12"/>
  <c r="Y73" i="12"/>
  <c r="Y126" i="12"/>
  <c r="Y183" i="12"/>
  <c r="R161" i="12"/>
  <c r="Y188" i="12"/>
  <c r="R94" i="12"/>
  <c r="Y94" i="12"/>
  <c r="R181" i="12"/>
  <c r="R111" i="12"/>
  <c r="Y205" i="12"/>
  <c r="R145" i="12"/>
  <c r="Y127" i="12"/>
  <c r="Y182" i="12"/>
  <c r="Y206" i="12"/>
  <c r="R167" i="12"/>
  <c r="Y129" i="12"/>
  <c r="Y196" i="12"/>
  <c r="R165" i="12"/>
  <c r="R135" i="12"/>
  <c r="R179" i="12"/>
  <c r="R121" i="12"/>
  <c r="Y195" i="12"/>
  <c r="R166" i="12"/>
  <c r="R153" i="12"/>
  <c r="Y199" i="12"/>
  <c r="R197" i="12"/>
  <c r="R168" i="12"/>
  <c r="Y150" i="12"/>
  <c r="Y180" i="12"/>
  <c r="Y197" i="12"/>
  <c r="Y194" i="12"/>
  <c r="Y202" i="12"/>
  <c r="R182" i="12"/>
  <c r="Y132" i="12"/>
  <c r="R200" i="12"/>
  <c r="R117" i="12"/>
  <c r="Y181" i="12"/>
  <c r="R164" i="12"/>
  <c r="R132" i="12"/>
  <c r="R206" i="12"/>
  <c r="Y154" i="12"/>
  <c r="Y155" i="12"/>
  <c r="R126" i="12"/>
  <c r="R133" i="12"/>
  <c r="Y139" i="12"/>
  <c r="R163" i="12"/>
  <c r="Y112" i="12"/>
  <c r="Y163" i="12"/>
  <c r="Y168" i="12"/>
  <c r="Y169" i="12"/>
  <c r="R177" i="12"/>
  <c r="R142" i="12"/>
  <c r="M12" i="8"/>
  <c r="N12" i="8"/>
  <c r="P12" i="8"/>
  <c r="O12" i="8"/>
  <c r="K12" i="8"/>
  <c r="L12" i="8"/>
  <c r="M13" i="8"/>
  <c r="M66" i="12" l="1"/>
  <c r="E83" i="10"/>
  <c r="L14" i="12"/>
  <c r="L25" i="12"/>
  <c r="L101" i="10"/>
  <c r="L64" i="12"/>
  <c r="E85" i="10"/>
  <c r="M90" i="12"/>
  <c r="L57" i="12"/>
  <c r="L69" i="12"/>
  <c r="L91" i="12"/>
  <c r="L36" i="10"/>
  <c r="L83" i="10"/>
  <c r="E36" i="10"/>
  <c r="M92" i="12"/>
  <c r="E101" i="10"/>
  <c r="L38" i="12"/>
  <c r="L50" i="12"/>
  <c r="L84" i="12"/>
  <c r="L58" i="12"/>
  <c r="L98" i="12"/>
  <c r="L23" i="12"/>
  <c r="M36" i="12"/>
  <c r="L53" i="12"/>
  <c r="M93" i="12"/>
  <c r="L9" i="12"/>
  <c r="L74" i="12"/>
  <c r="L77" i="12"/>
  <c r="L103" i="12"/>
  <c r="E42" i="10"/>
  <c r="L42" i="10" s="1"/>
  <c r="M7" i="12"/>
  <c r="M20" i="12"/>
  <c r="L40" i="12"/>
  <c r="L40" i="10"/>
  <c r="L72" i="12"/>
  <c r="L89" i="12"/>
  <c r="L67" i="12"/>
  <c r="E40" i="10"/>
  <c r="L41" i="12"/>
  <c r="M48" i="12"/>
  <c r="L68" i="12"/>
  <c r="L99" i="12"/>
  <c r="L27" i="12"/>
  <c r="L10" i="12"/>
  <c r="L80" i="12"/>
  <c r="L43" i="12"/>
  <c r="E77" i="10"/>
  <c r="L77" i="10" s="1"/>
  <c r="M28" i="12"/>
  <c r="L22" i="12"/>
  <c r="M4" i="12"/>
  <c r="L85" i="10"/>
  <c r="L86" i="12"/>
  <c r="L101" i="12"/>
  <c r="L75" i="12"/>
  <c r="L46" i="12"/>
  <c r="L47" i="12"/>
  <c r="E68" i="10"/>
  <c r="L68" i="10" s="1"/>
  <c r="L76" i="12"/>
  <c r="L18" i="12"/>
  <c r="L31" i="12"/>
  <c r="L34" i="12"/>
  <c r="L88" i="12"/>
  <c r="L6" i="12"/>
  <c r="T5" i="8"/>
  <c r="U9" i="8"/>
  <c r="U7" i="8"/>
  <c r="T7" i="8"/>
  <c r="T8" i="8"/>
  <c r="U5" i="8"/>
  <c r="U6" i="8"/>
  <c r="U8" i="8"/>
  <c r="T9" i="8"/>
  <c r="L94" i="12"/>
  <c r="L73" i="12"/>
  <c r="L95" i="12"/>
  <c r="L37" i="12"/>
  <c r="L87" i="12"/>
  <c r="M42" i="12"/>
  <c r="L49" i="12"/>
  <c r="L63" i="12"/>
  <c r="L79" i="12"/>
  <c r="L13" i="8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K13" i="8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O13" i="8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O63" i="8" s="1"/>
  <c r="O64" i="8" s="1"/>
  <c r="P13" i="8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4" i="8" s="1"/>
  <c r="P55" i="8" s="1"/>
  <c r="P56" i="8" s="1"/>
  <c r="P57" i="8" s="1"/>
  <c r="P58" i="8" s="1"/>
  <c r="P59" i="8" s="1"/>
  <c r="P60" i="8" s="1"/>
  <c r="P61" i="8" s="1"/>
  <c r="P62" i="8" s="1"/>
  <c r="P63" i="8" s="1"/>
  <c r="P64" i="8" s="1"/>
  <c r="N13" i="8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N40" i="8" s="1"/>
  <c r="N41" i="8" s="1"/>
  <c r="N42" i="8" s="1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N53" i="8" s="1"/>
  <c r="N54" i="8" s="1"/>
  <c r="N55" i="8" s="1"/>
  <c r="N56" i="8" s="1"/>
  <c r="N57" i="8" s="1"/>
  <c r="N58" i="8" s="1"/>
  <c r="N59" i="8" s="1"/>
  <c r="N60" i="8" s="1"/>
  <c r="N61" i="8" s="1"/>
  <c r="N62" i="8" s="1"/>
  <c r="N63" i="8" s="1"/>
  <c r="N64" i="8" s="1"/>
  <c r="H527" i="8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G528" i="8"/>
  <c r="I51" i="7"/>
  <c r="D59" i="7"/>
  <c r="F69" i="7"/>
  <c r="T93" i="12"/>
  <c r="AA93" i="12"/>
  <c r="S74" i="12"/>
  <c r="Z74" i="12"/>
  <c r="S47" i="12"/>
  <c r="Z47" i="12"/>
  <c r="Z76" i="12"/>
  <c r="S76" i="12"/>
  <c r="S6" i="12"/>
  <c r="Z6" i="12"/>
  <c r="AA66" i="12"/>
  <c r="T66" i="12"/>
  <c r="S57" i="12"/>
  <c r="Z57" i="12"/>
  <c r="T28" i="12"/>
  <c r="AA28" i="12"/>
  <c r="S69" i="12"/>
  <c r="Z69" i="12"/>
  <c r="S103" i="12"/>
  <c r="Z103" i="12"/>
  <c r="S22" i="12"/>
  <c r="Z22" i="12"/>
  <c r="S14" i="12"/>
  <c r="Z14" i="12"/>
  <c r="S91" i="12"/>
  <c r="Z91" i="12"/>
  <c r="AA4" i="12"/>
  <c r="T4" i="12"/>
  <c r="Z25" i="12"/>
  <c r="S25" i="12"/>
  <c r="Z50" i="12"/>
  <c r="S50" i="12"/>
  <c r="T7" i="12"/>
  <c r="AA7" i="12"/>
  <c r="S41" i="12"/>
  <c r="Z41" i="12"/>
  <c r="S84" i="12"/>
  <c r="Z84" i="12"/>
  <c r="AA20" i="12"/>
  <c r="T20" i="12"/>
  <c r="AA48" i="12"/>
  <c r="T48" i="12"/>
  <c r="S18" i="12"/>
  <c r="Z18" i="12"/>
  <c r="S58" i="12"/>
  <c r="Z58" i="12"/>
  <c r="Z40" i="12"/>
  <c r="S40" i="12"/>
  <c r="Z68" i="12"/>
  <c r="S68" i="12"/>
  <c r="S98" i="12"/>
  <c r="Z98" i="12"/>
  <c r="S99" i="12"/>
  <c r="Z99" i="12"/>
  <c r="S86" i="12"/>
  <c r="Z86" i="12"/>
  <c r="Z64" i="12"/>
  <c r="S64" i="12"/>
  <c r="S101" i="12"/>
  <c r="Z101" i="12"/>
  <c r="S23" i="12"/>
  <c r="Z23" i="12"/>
  <c r="S75" i="12"/>
  <c r="Z75" i="12"/>
  <c r="T90" i="12"/>
  <c r="AA90" i="12"/>
  <c r="AA92" i="12"/>
  <c r="T92" i="12"/>
  <c r="AA36" i="12"/>
  <c r="T36" i="12"/>
  <c r="S27" i="12"/>
  <c r="Z27" i="12"/>
  <c r="S46" i="12"/>
  <c r="Z46" i="12"/>
  <c r="Z9" i="12"/>
  <c r="S9" i="12"/>
  <c r="S43" i="12"/>
  <c r="Z43" i="12"/>
  <c r="Z53" i="12"/>
  <c r="S53" i="12"/>
  <c r="S72" i="12"/>
  <c r="Z72" i="12"/>
  <c r="Z10" i="12"/>
  <c r="S10" i="12"/>
  <c r="Z31" i="12"/>
  <c r="S31" i="12"/>
  <c r="Z38" i="12"/>
  <c r="S38" i="12"/>
  <c r="Z89" i="12"/>
  <c r="S89" i="12"/>
  <c r="S80" i="12"/>
  <c r="Z80" i="12"/>
  <c r="S34" i="12"/>
  <c r="Z34" i="12"/>
  <c r="S67" i="12"/>
  <c r="Z67" i="12"/>
  <c r="S88" i="12"/>
  <c r="Z88" i="12"/>
  <c r="S77" i="12"/>
  <c r="Z77" i="12"/>
  <c r="BA71" i="8"/>
  <c r="BA72" i="8" s="1"/>
  <c r="BA73" i="8" s="1"/>
  <c r="BA74" i="8" s="1"/>
  <c r="BA75" i="8" s="1"/>
  <c r="BA76" i="8" s="1"/>
  <c r="BA77" i="8" s="1"/>
  <c r="BA78" i="8" s="1"/>
  <c r="BA79" i="8" s="1"/>
  <c r="BA80" i="8" s="1"/>
  <c r="BA81" i="8" s="1"/>
  <c r="BA82" i="8" s="1"/>
  <c r="BA83" i="8" s="1"/>
  <c r="BA84" i="8" s="1"/>
  <c r="BA85" i="8" s="1"/>
  <c r="BA86" i="8" s="1"/>
  <c r="BA87" i="8" s="1"/>
  <c r="BA88" i="8" s="1"/>
  <c r="BA89" i="8" s="1"/>
  <c r="BA90" i="8" s="1"/>
  <c r="BA91" i="8" s="1"/>
  <c r="BA92" i="8" s="1"/>
  <c r="BA93" i="8" s="1"/>
  <c r="BA94" i="8" s="1"/>
  <c r="BA95" i="8" s="1"/>
  <c r="BA96" i="8" s="1"/>
  <c r="BA97" i="8" s="1"/>
  <c r="BA98" i="8" s="1"/>
  <c r="BA99" i="8" s="1"/>
  <c r="BA100" i="8" s="1"/>
  <c r="BA101" i="8" s="1"/>
  <c r="BA102" i="8" s="1"/>
  <c r="BA103" i="8" s="1"/>
  <c r="BA104" i="8" s="1"/>
  <c r="BA105" i="8" s="1"/>
  <c r="BA106" i="8" s="1"/>
  <c r="BA107" i="8" s="1"/>
  <c r="BA108" i="8" s="1"/>
  <c r="BA109" i="8" s="1"/>
  <c r="BA110" i="8" s="1"/>
  <c r="BA111" i="8" s="1"/>
  <c r="BA112" i="8" s="1"/>
  <c r="BA113" i="8" s="1"/>
  <c r="BA114" i="8" s="1"/>
  <c r="BA115" i="8" s="1"/>
  <c r="BA116" i="8" s="1"/>
  <c r="BA117" i="8" s="1"/>
  <c r="BA118" i="8" s="1"/>
  <c r="BA119" i="8" s="1"/>
  <c r="BA120" i="8" s="1"/>
  <c r="BA121" i="8" s="1"/>
  <c r="BA122" i="8" s="1"/>
  <c r="BA123" i="8" s="1"/>
  <c r="AZ71" i="8"/>
  <c r="AZ72" i="8" s="1"/>
  <c r="AZ73" i="8" s="1"/>
  <c r="AZ74" i="8" s="1"/>
  <c r="AZ75" i="8" s="1"/>
  <c r="AZ76" i="8" s="1"/>
  <c r="AZ77" i="8" s="1"/>
  <c r="AZ78" i="8" s="1"/>
  <c r="AZ79" i="8" s="1"/>
  <c r="AZ80" i="8" s="1"/>
  <c r="AZ81" i="8" s="1"/>
  <c r="AZ82" i="8" s="1"/>
  <c r="AZ83" i="8" s="1"/>
  <c r="AZ84" i="8" s="1"/>
  <c r="AZ85" i="8" s="1"/>
  <c r="AZ86" i="8" s="1"/>
  <c r="AZ87" i="8" s="1"/>
  <c r="AZ88" i="8" s="1"/>
  <c r="AZ89" i="8" s="1"/>
  <c r="AZ90" i="8" s="1"/>
  <c r="AZ91" i="8" s="1"/>
  <c r="AZ92" i="8" s="1"/>
  <c r="AZ93" i="8" s="1"/>
  <c r="AZ94" i="8" s="1"/>
  <c r="AZ95" i="8" s="1"/>
  <c r="AZ96" i="8" s="1"/>
  <c r="AZ97" i="8" s="1"/>
  <c r="AZ98" i="8" s="1"/>
  <c r="AZ99" i="8" s="1"/>
  <c r="AZ100" i="8" s="1"/>
  <c r="AZ101" i="8" s="1"/>
  <c r="AZ102" i="8" s="1"/>
  <c r="AZ103" i="8" s="1"/>
  <c r="AZ104" i="8" s="1"/>
  <c r="AZ105" i="8" s="1"/>
  <c r="AZ106" i="8" s="1"/>
  <c r="AZ107" i="8" s="1"/>
  <c r="AZ108" i="8" s="1"/>
  <c r="AZ109" i="8" s="1"/>
  <c r="AZ110" i="8" s="1"/>
  <c r="AZ111" i="8" s="1"/>
  <c r="AZ112" i="8" s="1"/>
  <c r="AZ113" i="8" s="1"/>
  <c r="AZ114" i="8" s="1"/>
  <c r="AZ115" i="8" s="1"/>
  <c r="AZ116" i="8" s="1"/>
  <c r="AZ117" i="8" s="1"/>
  <c r="AZ118" i="8" s="1"/>
  <c r="AZ119" i="8" s="1"/>
  <c r="AZ120" i="8" s="1"/>
  <c r="AZ121" i="8" s="1"/>
  <c r="AZ122" i="8" s="1"/>
  <c r="AZ123" i="8" s="1"/>
  <c r="AR71" i="8"/>
  <c r="AR72" i="8" s="1"/>
  <c r="AR73" i="8" s="1"/>
  <c r="AR74" i="8" s="1"/>
  <c r="AR75" i="8" s="1"/>
  <c r="AR76" i="8" s="1"/>
  <c r="AR77" i="8" s="1"/>
  <c r="AR78" i="8" s="1"/>
  <c r="AR79" i="8" s="1"/>
  <c r="AR80" i="8" s="1"/>
  <c r="AR81" i="8" s="1"/>
  <c r="AR82" i="8" s="1"/>
  <c r="AR83" i="8" s="1"/>
  <c r="AR84" i="8" s="1"/>
  <c r="AR85" i="8" s="1"/>
  <c r="AR86" i="8" s="1"/>
  <c r="AR87" i="8" s="1"/>
  <c r="AR88" i="8" s="1"/>
  <c r="AR89" i="8" s="1"/>
  <c r="AR90" i="8" s="1"/>
  <c r="AR91" i="8" s="1"/>
  <c r="AR92" i="8" s="1"/>
  <c r="AR93" i="8" s="1"/>
  <c r="AR94" i="8" s="1"/>
  <c r="AR95" i="8" s="1"/>
  <c r="AR96" i="8" s="1"/>
  <c r="AR97" i="8" s="1"/>
  <c r="AR98" i="8" s="1"/>
  <c r="AR99" i="8" s="1"/>
  <c r="AR100" i="8" s="1"/>
  <c r="AR101" i="8" s="1"/>
  <c r="AR102" i="8" s="1"/>
  <c r="AR103" i="8" s="1"/>
  <c r="AR104" i="8" s="1"/>
  <c r="AR105" i="8" s="1"/>
  <c r="AR106" i="8" s="1"/>
  <c r="AR107" i="8" s="1"/>
  <c r="AR108" i="8" s="1"/>
  <c r="AR109" i="8" s="1"/>
  <c r="AR110" i="8" s="1"/>
  <c r="AR111" i="8" s="1"/>
  <c r="AR112" i="8" s="1"/>
  <c r="AR113" i="8" s="1"/>
  <c r="AR114" i="8" s="1"/>
  <c r="AR115" i="8" s="1"/>
  <c r="AR116" i="8" s="1"/>
  <c r="AR117" i="8" s="1"/>
  <c r="AR118" i="8" s="1"/>
  <c r="AR119" i="8" s="1"/>
  <c r="AR120" i="8" s="1"/>
  <c r="AR121" i="8" s="1"/>
  <c r="AR122" i="8" s="1"/>
  <c r="AR123" i="8" s="1"/>
  <c r="AS71" i="8"/>
  <c r="AS72" i="8" s="1"/>
  <c r="AS73" i="8" s="1"/>
  <c r="AS74" i="8" s="1"/>
  <c r="AS75" i="8" s="1"/>
  <c r="AS76" i="8" s="1"/>
  <c r="AS77" i="8" s="1"/>
  <c r="AS78" i="8" s="1"/>
  <c r="AS79" i="8" s="1"/>
  <c r="AS80" i="8" s="1"/>
  <c r="AS81" i="8" s="1"/>
  <c r="AS82" i="8" s="1"/>
  <c r="AS83" i="8" s="1"/>
  <c r="AS84" i="8" s="1"/>
  <c r="AS85" i="8" s="1"/>
  <c r="AS86" i="8" s="1"/>
  <c r="AS87" i="8" s="1"/>
  <c r="AS88" i="8" s="1"/>
  <c r="AS89" i="8" s="1"/>
  <c r="AS90" i="8" s="1"/>
  <c r="AS91" i="8" s="1"/>
  <c r="AS92" i="8" s="1"/>
  <c r="AS93" i="8" s="1"/>
  <c r="AS94" i="8" s="1"/>
  <c r="AS95" i="8" s="1"/>
  <c r="AS96" i="8" s="1"/>
  <c r="AS97" i="8" s="1"/>
  <c r="AS98" i="8" s="1"/>
  <c r="AS99" i="8" s="1"/>
  <c r="AS100" i="8" s="1"/>
  <c r="AS101" i="8" s="1"/>
  <c r="AS102" i="8" s="1"/>
  <c r="AS103" i="8" s="1"/>
  <c r="AS104" i="8" s="1"/>
  <c r="AS105" i="8" s="1"/>
  <c r="AS106" i="8" s="1"/>
  <c r="AS107" i="8" s="1"/>
  <c r="AS108" i="8" s="1"/>
  <c r="AS109" i="8" s="1"/>
  <c r="AS110" i="8" s="1"/>
  <c r="AS111" i="8" s="1"/>
  <c r="AS112" i="8" s="1"/>
  <c r="AS113" i="8" s="1"/>
  <c r="AS114" i="8" s="1"/>
  <c r="AS115" i="8" s="1"/>
  <c r="AS116" i="8" s="1"/>
  <c r="AS117" i="8" s="1"/>
  <c r="AS118" i="8" s="1"/>
  <c r="AS119" i="8" s="1"/>
  <c r="AS120" i="8" s="1"/>
  <c r="AS121" i="8" s="1"/>
  <c r="AS122" i="8" s="1"/>
  <c r="AS123" i="8" s="1"/>
  <c r="AT71" i="8"/>
  <c r="AT72" i="8" s="1"/>
  <c r="AT73" i="8" s="1"/>
  <c r="AT74" i="8" s="1"/>
  <c r="AT75" i="8" s="1"/>
  <c r="AT76" i="8" s="1"/>
  <c r="AT77" i="8" s="1"/>
  <c r="AT78" i="8" s="1"/>
  <c r="AT79" i="8" s="1"/>
  <c r="AT80" i="8" s="1"/>
  <c r="AT81" i="8" s="1"/>
  <c r="AT82" i="8" s="1"/>
  <c r="AT83" i="8" s="1"/>
  <c r="AT84" i="8" s="1"/>
  <c r="AT85" i="8" s="1"/>
  <c r="AT86" i="8" s="1"/>
  <c r="AT87" i="8" s="1"/>
  <c r="AT88" i="8" s="1"/>
  <c r="AT89" i="8" s="1"/>
  <c r="AT90" i="8" s="1"/>
  <c r="AT91" i="8" s="1"/>
  <c r="AT92" i="8" s="1"/>
  <c r="AT93" i="8" s="1"/>
  <c r="AT94" i="8" s="1"/>
  <c r="AT95" i="8" s="1"/>
  <c r="AT96" i="8" s="1"/>
  <c r="AT97" i="8" s="1"/>
  <c r="AT98" i="8" s="1"/>
  <c r="AT99" i="8" s="1"/>
  <c r="AT100" i="8" s="1"/>
  <c r="AT101" i="8" s="1"/>
  <c r="AT102" i="8" s="1"/>
  <c r="AT103" i="8" s="1"/>
  <c r="AT104" i="8" s="1"/>
  <c r="AT105" i="8" s="1"/>
  <c r="AT106" i="8" s="1"/>
  <c r="AT107" i="8" s="1"/>
  <c r="AT108" i="8" s="1"/>
  <c r="AT109" i="8" s="1"/>
  <c r="AT110" i="8" s="1"/>
  <c r="AT111" i="8" s="1"/>
  <c r="AT112" i="8" s="1"/>
  <c r="AT113" i="8" s="1"/>
  <c r="AT114" i="8" s="1"/>
  <c r="AT115" i="8" s="1"/>
  <c r="AT116" i="8" s="1"/>
  <c r="AT117" i="8" s="1"/>
  <c r="AT118" i="8" s="1"/>
  <c r="AT119" i="8" s="1"/>
  <c r="AT120" i="8" s="1"/>
  <c r="AT121" i="8" s="1"/>
  <c r="AT122" i="8" s="1"/>
  <c r="AT123" i="8" s="1"/>
  <c r="AU71" i="8"/>
  <c r="AU72" i="8" s="1"/>
  <c r="AU73" i="8" s="1"/>
  <c r="AU74" i="8" s="1"/>
  <c r="AU75" i="8" s="1"/>
  <c r="AU76" i="8" s="1"/>
  <c r="AU77" i="8" s="1"/>
  <c r="AU78" i="8" s="1"/>
  <c r="AU79" i="8" s="1"/>
  <c r="AU80" i="8" s="1"/>
  <c r="AU81" i="8" s="1"/>
  <c r="AU82" i="8" s="1"/>
  <c r="AU83" i="8" s="1"/>
  <c r="AU84" i="8" s="1"/>
  <c r="AU85" i="8" s="1"/>
  <c r="AU86" i="8" s="1"/>
  <c r="AU87" i="8" s="1"/>
  <c r="AU88" i="8" s="1"/>
  <c r="AU89" i="8" s="1"/>
  <c r="AU90" i="8" s="1"/>
  <c r="AU91" i="8" s="1"/>
  <c r="AU92" i="8" s="1"/>
  <c r="AU93" i="8" s="1"/>
  <c r="AU94" i="8" s="1"/>
  <c r="AU95" i="8" s="1"/>
  <c r="AU96" i="8" s="1"/>
  <c r="AU97" i="8" s="1"/>
  <c r="AU98" i="8" s="1"/>
  <c r="AU99" i="8" s="1"/>
  <c r="AU100" i="8" s="1"/>
  <c r="AU101" i="8" s="1"/>
  <c r="AU102" i="8" s="1"/>
  <c r="AU103" i="8" s="1"/>
  <c r="AU104" i="8" s="1"/>
  <c r="AU105" i="8" s="1"/>
  <c r="AU106" i="8" s="1"/>
  <c r="AU107" i="8" s="1"/>
  <c r="AU108" i="8" s="1"/>
  <c r="AU109" i="8" s="1"/>
  <c r="AU110" i="8" s="1"/>
  <c r="AU111" i="8" s="1"/>
  <c r="AU112" i="8" s="1"/>
  <c r="AU113" i="8" s="1"/>
  <c r="AU114" i="8" s="1"/>
  <c r="AU115" i="8" s="1"/>
  <c r="AU116" i="8" s="1"/>
  <c r="AU117" i="8" s="1"/>
  <c r="AU118" i="8" s="1"/>
  <c r="AU119" i="8" s="1"/>
  <c r="AU120" i="8" s="1"/>
  <c r="AU121" i="8" s="1"/>
  <c r="AU122" i="8" s="1"/>
  <c r="AU123" i="8" s="1"/>
  <c r="AV71" i="8"/>
  <c r="AV72" i="8" s="1"/>
  <c r="AV73" i="8" s="1"/>
  <c r="AV74" i="8" s="1"/>
  <c r="AV75" i="8" s="1"/>
  <c r="AV76" i="8" s="1"/>
  <c r="AV77" i="8" s="1"/>
  <c r="AV78" i="8" s="1"/>
  <c r="AV79" i="8" s="1"/>
  <c r="AV80" i="8" s="1"/>
  <c r="AV81" i="8" s="1"/>
  <c r="AV82" i="8" s="1"/>
  <c r="AV83" i="8" s="1"/>
  <c r="AV84" i="8" s="1"/>
  <c r="AV85" i="8" s="1"/>
  <c r="AV86" i="8" s="1"/>
  <c r="AV87" i="8" s="1"/>
  <c r="AV88" i="8" s="1"/>
  <c r="AV89" i="8" s="1"/>
  <c r="AV90" i="8" s="1"/>
  <c r="AV91" i="8" s="1"/>
  <c r="AV92" i="8" s="1"/>
  <c r="AV93" i="8" s="1"/>
  <c r="AV94" i="8" s="1"/>
  <c r="AV95" i="8" s="1"/>
  <c r="AV96" i="8" s="1"/>
  <c r="AV97" i="8" s="1"/>
  <c r="AV98" i="8" s="1"/>
  <c r="AV99" i="8" s="1"/>
  <c r="AV100" i="8" s="1"/>
  <c r="AV101" i="8" s="1"/>
  <c r="AV102" i="8" s="1"/>
  <c r="AV103" i="8" s="1"/>
  <c r="AV104" i="8" s="1"/>
  <c r="AV105" i="8" s="1"/>
  <c r="AV106" i="8" s="1"/>
  <c r="AV107" i="8" s="1"/>
  <c r="AV108" i="8" s="1"/>
  <c r="AV109" i="8" s="1"/>
  <c r="AV110" i="8" s="1"/>
  <c r="AV111" i="8" s="1"/>
  <c r="AV112" i="8" s="1"/>
  <c r="AV113" i="8" s="1"/>
  <c r="AV114" i="8" s="1"/>
  <c r="AV115" i="8" s="1"/>
  <c r="AV116" i="8" s="1"/>
  <c r="AV117" i="8" s="1"/>
  <c r="AV118" i="8" s="1"/>
  <c r="AV119" i="8" s="1"/>
  <c r="AV120" i="8" s="1"/>
  <c r="AV121" i="8" s="1"/>
  <c r="AV122" i="8" s="1"/>
  <c r="AV123" i="8" s="1"/>
  <c r="AW71" i="8"/>
  <c r="AW72" i="8" s="1"/>
  <c r="AW73" i="8" s="1"/>
  <c r="AW74" i="8" s="1"/>
  <c r="AW75" i="8" s="1"/>
  <c r="AW76" i="8" s="1"/>
  <c r="AW77" i="8" s="1"/>
  <c r="AW78" i="8" s="1"/>
  <c r="AW79" i="8" s="1"/>
  <c r="AW80" i="8" s="1"/>
  <c r="AW81" i="8" s="1"/>
  <c r="AW82" i="8" s="1"/>
  <c r="AW83" i="8" s="1"/>
  <c r="AW84" i="8" s="1"/>
  <c r="AW85" i="8" s="1"/>
  <c r="AW86" i="8" s="1"/>
  <c r="AW87" i="8" s="1"/>
  <c r="AW88" i="8" s="1"/>
  <c r="AW89" i="8" s="1"/>
  <c r="AW90" i="8" s="1"/>
  <c r="AW91" i="8" s="1"/>
  <c r="AW92" i="8" s="1"/>
  <c r="AW93" i="8" s="1"/>
  <c r="AW94" i="8" s="1"/>
  <c r="AW95" i="8" s="1"/>
  <c r="AW96" i="8" s="1"/>
  <c r="AW97" i="8" s="1"/>
  <c r="AW98" i="8" s="1"/>
  <c r="AW99" i="8" s="1"/>
  <c r="AW100" i="8" s="1"/>
  <c r="AW101" i="8" s="1"/>
  <c r="AW102" i="8" s="1"/>
  <c r="AW103" i="8" s="1"/>
  <c r="AW104" i="8" s="1"/>
  <c r="AW105" i="8" s="1"/>
  <c r="AW106" i="8" s="1"/>
  <c r="AW107" i="8" s="1"/>
  <c r="AW108" i="8" s="1"/>
  <c r="AW109" i="8" s="1"/>
  <c r="AW110" i="8" s="1"/>
  <c r="AW111" i="8" s="1"/>
  <c r="AW112" i="8" s="1"/>
  <c r="AW113" i="8" s="1"/>
  <c r="AW114" i="8" s="1"/>
  <c r="AW115" i="8" s="1"/>
  <c r="AW116" i="8" s="1"/>
  <c r="AW117" i="8" s="1"/>
  <c r="AW118" i="8" s="1"/>
  <c r="AW119" i="8" s="1"/>
  <c r="AW120" i="8" s="1"/>
  <c r="AW121" i="8" s="1"/>
  <c r="AW122" i="8" s="1"/>
  <c r="AW123" i="8" s="1"/>
  <c r="AX71" i="8"/>
  <c r="AX72" i="8" s="1"/>
  <c r="AX73" i="8" s="1"/>
  <c r="AX74" i="8" s="1"/>
  <c r="AX75" i="8" s="1"/>
  <c r="AX76" i="8" s="1"/>
  <c r="AX77" i="8" s="1"/>
  <c r="AX78" i="8" s="1"/>
  <c r="AX79" i="8" s="1"/>
  <c r="AX80" i="8" s="1"/>
  <c r="AX81" i="8" s="1"/>
  <c r="AX82" i="8" s="1"/>
  <c r="AX83" i="8" s="1"/>
  <c r="AX84" i="8" s="1"/>
  <c r="AX85" i="8" s="1"/>
  <c r="AX86" i="8" s="1"/>
  <c r="AX87" i="8" s="1"/>
  <c r="AX88" i="8" s="1"/>
  <c r="AX89" i="8" s="1"/>
  <c r="AX90" i="8" s="1"/>
  <c r="AX91" i="8" s="1"/>
  <c r="AX92" i="8" s="1"/>
  <c r="AX93" i="8" s="1"/>
  <c r="AX94" i="8" s="1"/>
  <c r="AX95" i="8" s="1"/>
  <c r="AX96" i="8" s="1"/>
  <c r="AX97" i="8" s="1"/>
  <c r="AX98" i="8" s="1"/>
  <c r="AX99" i="8" s="1"/>
  <c r="AX100" i="8" s="1"/>
  <c r="AX101" i="8" s="1"/>
  <c r="AX102" i="8" s="1"/>
  <c r="AX103" i="8" s="1"/>
  <c r="AX104" i="8" s="1"/>
  <c r="AX105" i="8" s="1"/>
  <c r="AX106" i="8" s="1"/>
  <c r="AX107" i="8" s="1"/>
  <c r="AX108" i="8" s="1"/>
  <c r="AX109" i="8" s="1"/>
  <c r="AX110" i="8" s="1"/>
  <c r="AX111" i="8" s="1"/>
  <c r="AX112" i="8" s="1"/>
  <c r="AX113" i="8" s="1"/>
  <c r="AX114" i="8" s="1"/>
  <c r="AX115" i="8" s="1"/>
  <c r="AX116" i="8" s="1"/>
  <c r="AX117" i="8" s="1"/>
  <c r="AX118" i="8" s="1"/>
  <c r="AX119" i="8" s="1"/>
  <c r="AX120" i="8" s="1"/>
  <c r="AX121" i="8" s="1"/>
  <c r="AX122" i="8" s="1"/>
  <c r="AX123" i="8" s="1"/>
  <c r="AY71" i="8"/>
  <c r="AY72" i="8" s="1"/>
  <c r="AY73" i="8" s="1"/>
  <c r="AY74" i="8" s="1"/>
  <c r="AY75" i="8" s="1"/>
  <c r="AY76" i="8" s="1"/>
  <c r="AY77" i="8" s="1"/>
  <c r="AY78" i="8" s="1"/>
  <c r="AY79" i="8" s="1"/>
  <c r="AY80" i="8" s="1"/>
  <c r="AY81" i="8" s="1"/>
  <c r="AY82" i="8" s="1"/>
  <c r="AY83" i="8" s="1"/>
  <c r="AY84" i="8" s="1"/>
  <c r="AY85" i="8" s="1"/>
  <c r="AY86" i="8" s="1"/>
  <c r="AY87" i="8" s="1"/>
  <c r="AY88" i="8" s="1"/>
  <c r="AY89" i="8" s="1"/>
  <c r="AY90" i="8" s="1"/>
  <c r="AY91" i="8" s="1"/>
  <c r="AY92" i="8" s="1"/>
  <c r="AY93" i="8" s="1"/>
  <c r="AY94" i="8" s="1"/>
  <c r="AY95" i="8" s="1"/>
  <c r="AY96" i="8" s="1"/>
  <c r="AY97" i="8" s="1"/>
  <c r="AY98" i="8" s="1"/>
  <c r="AY99" i="8" s="1"/>
  <c r="AY100" i="8" s="1"/>
  <c r="AY101" i="8" s="1"/>
  <c r="AY102" i="8" s="1"/>
  <c r="AY103" i="8" s="1"/>
  <c r="AY104" i="8" s="1"/>
  <c r="AY105" i="8" s="1"/>
  <c r="AY106" i="8" s="1"/>
  <c r="AY107" i="8" s="1"/>
  <c r="AY108" i="8" s="1"/>
  <c r="AY109" i="8" s="1"/>
  <c r="AY110" i="8" s="1"/>
  <c r="AY111" i="8" s="1"/>
  <c r="AY112" i="8" s="1"/>
  <c r="AY113" i="8" s="1"/>
  <c r="AY114" i="8" s="1"/>
  <c r="AY115" i="8" s="1"/>
  <c r="AY116" i="8" s="1"/>
  <c r="AY117" i="8" s="1"/>
  <c r="AY118" i="8" s="1"/>
  <c r="AY119" i="8" s="1"/>
  <c r="AY120" i="8" s="1"/>
  <c r="AY121" i="8" s="1"/>
  <c r="AY122" i="8" s="1"/>
  <c r="AY123" i="8" s="1"/>
  <c r="BA63" i="8"/>
  <c r="AR65" i="8"/>
  <c r="AR53" i="8"/>
  <c r="AU63" i="8"/>
  <c r="AT33" i="8"/>
  <c r="AS48" i="8"/>
  <c r="BA39" i="8"/>
  <c r="AT45" i="8"/>
  <c r="AU66" i="8"/>
  <c r="AT36" i="8"/>
  <c r="BA49" i="8"/>
  <c r="AX25" i="8"/>
  <c r="AV40" i="8"/>
  <c r="AW53" i="8"/>
  <c r="AW51" i="8"/>
  <c r="AV24" i="8"/>
  <c r="AY21" i="8"/>
  <c r="AY20" i="8"/>
  <c r="AY19" i="8"/>
  <c r="AZ17" i="8"/>
  <c r="AW19" i="8"/>
  <c r="AV22" i="8"/>
  <c r="AW31" i="8"/>
  <c r="AV46" i="8"/>
  <c r="AX15" i="8"/>
  <c r="AW24" i="8"/>
  <c r="AS46" i="8"/>
  <c r="AV15" i="8"/>
  <c r="AT24" i="8"/>
  <c r="AU30" i="8"/>
  <c r="BA33" i="8"/>
  <c r="AT63" i="8"/>
  <c r="AT54" i="8"/>
  <c r="AZ67" i="8"/>
  <c r="AR64" i="8"/>
  <c r="AS52" i="8"/>
  <c r="AY61" i="8"/>
  <c r="AU32" i="8"/>
  <c r="AT47" i="8"/>
  <c r="AZ38" i="8"/>
  <c r="AZ42" i="8"/>
  <c r="AV65" i="8"/>
  <c r="AT35" i="8"/>
  <c r="AW47" i="8"/>
  <c r="AY24" i="8"/>
  <c r="AU39" i="8"/>
  <c r="AX51" i="8"/>
  <c r="AX49" i="8"/>
  <c r="AW23" i="8"/>
  <c r="AZ20" i="8"/>
  <c r="AZ19" i="8"/>
  <c r="AZ18" i="8"/>
  <c r="BA16" i="8"/>
  <c r="AX18" i="8"/>
  <c r="AT21" i="8"/>
  <c r="AR26" i="8"/>
  <c r="AZ39" i="8"/>
  <c r="AV64" i="8"/>
  <c r="AS22" i="8"/>
  <c r="BA41" i="8"/>
  <c r="AX66" i="8"/>
  <c r="AR18" i="8"/>
  <c r="AY29" i="8"/>
  <c r="AT30" i="8"/>
  <c r="AT60" i="8"/>
  <c r="BA52" i="8"/>
  <c r="AT66" i="8"/>
  <c r="AZ63" i="8"/>
  <c r="AT51" i="8"/>
  <c r="AU60" i="8"/>
  <c r="AV31" i="8"/>
  <c r="AU46" i="8"/>
  <c r="AY37" i="8"/>
  <c r="AZ41" i="8"/>
  <c r="AS59" i="8"/>
  <c r="AR34" i="8"/>
  <c r="AR45" i="8"/>
  <c r="AZ23" i="8"/>
  <c r="AT38" i="8"/>
  <c r="AY49" i="8"/>
  <c r="AR47" i="8"/>
  <c r="AX22" i="8"/>
  <c r="BA19" i="8"/>
  <c r="BA18" i="8"/>
  <c r="BA17" i="8"/>
  <c r="AS61" i="8"/>
  <c r="AY17" i="8"/>
  <c r="AU20" i="8"/>
  <c r="BA25" i="8"/>
  <c r="AY38" i="8"/>
  <c r="AV62" i="8"/>
  <c r="AR20" i="8"/>
  <c r="AZ40" i="8"/>
  <c r="AS64" i="8"/>
  <c r="AS17" i="8"/>
  <c r="AS24" i="8"/>
  <c r="AV29" i="8"/>
  <c r="AX58" i="8"/>
  <c r="AZ44" i="8"/>
  <c r="AX64" i="8"/>
  <c r="AX60" i="8"/>
  <c r="AU50" i="8"/>
  <c r="BA58" i="8"/>
  <c r="AW30" i="8"/>
  <c r="AV45" i="8"/>
  <c r="AX36" i="8"/>
  <c r="AY40" i="8"/>
  <c r="AU58" i="8"/>
  <c r="AZ28" i="8"/>
  <c r="BA43" i="8"/>
  <c r="BA22" i="8"/>
  <c r="AS37" i="8"/>
  <c r="AS47" i="8"/>
  <c r="AW43" i="8"/>
  <c r="AR67" i="8"/>
  <c r="AX65" i="8"/>
  <c r="AU61" i="8"/>
  <c r="AT61" i="8"/>
  <c r="AZ56" i="8"/>
  <c r="AZ16" i="8"/>
  <c r="AV19" i="8"/>
  <c r="AU22" i="8"/>
  <c r="AZ37" i="8"/>
  <c r="AW59" i="8"/>
  <c r="AS19" i="8"/>
  <c r="AR39" i="8"/>
  <c r="AT62" i="8"/>
  <c r="AT16" i="8"/>
  <c r="AR17" i="8"/>
  <c r="AR24" i="8"/>
  <c r="AU55" i="8"/>
  <c r="AU34" i="8"/>
  <c r="AY63" i="8"/>
  <c r="AR59" i="8"/>
  <c r="AV49" i="8"/>
  <c r="AR51" i="8"/>
  <c r="AX29" i="8"/>
  <c r="AZ65" i="8"/>
  <c r="AX35" i="8"/>
  <c r="AX39" i="8"/>
  <c r="AR56" i="8"/>
  <c r="AW27" i="8"/>
  <c r="AX42" i="8"/>
  <c r="AU67" i="8"/>
  <c r="AR36" i="8"/>
  <c r="AX43" i="8"/>
  <c r="AU42" i="8"/>
  <c r="AY65" i="8"/>
  <c r="AV61" i="8"/>
  <c r="AX52" i="8"/>
  <c r="AW52" i="8"/>
  <c r="AU53" i="8"/>
  <c r="BA15" i="8"/>
  <c r="AW18" i="8"/>
  <c r="AS21" i="8"/>
  <c r="BA36" i="8"/>
  <c r="AW57" i="8"/>
  <c r="AT18" i="8"/>
  <c r="AW37" i="8"/>
  <c r="AU57" i="8"/>
  <c r="AU15" i="8"/>
  <c r="AS16" i="8"/>
  <c r="AX23" i="8"/>
  <c r="AU54" i="8"/>
  <c r="AX33" i="8"/>
  <c r="AZ62" i="8"/>
  <c r="AR54" i="8"/>
  <c r="AW48" i="8"/>
  <c r="AS50" i="8"/>
  <c r="AY28" i="8"/>
  <c r="AU64" i="8"/>
  <c r="AW34" i="8"/>
  <c r="AW38" i="8"/>
  <c r="AZ55" i="8"/>
  <c r="AX26" i="8"/>
  <c r="AX41" i="8"/>
  <c r="AS65" i="8"/>
  <c r="AZ29" i="8"/>
  <c r="AV42" i="8"/>
  <c r="AU41" i="8"/>
  <c r="AX61" i="8"/>
  <c r="AR55" i="8"/>
  <c r="AZ48" i="8"/>
  <c r="AY48" i="8"/>
  <c r="AU52" i="8"/>
  <c r="AY62" i="8"/>
  <c r="AX17" i="8"/>
  <c r="AT20" i="8"/>
  <c r="AR32" i="8"/>
  <c r="AU56" i="8"/>
  <c r="AU17" i="8"/>
  <c r="AY36" i="8"/>
  <c r="AZ54" i="8"/>
  <c r="AS62" i="8"/>
  <c r="AT15" i="8"/>
  <c r="AR16" i="8"/>
  <c r="AV43" i="8"/>
  <c r="BA65" i="8"/>
  <c r="BA61" i="8"/>
  <c r="AS53" i="8"/>
  <c r="AX47" i="8"/>
  <c r="AT49" i="8"/>
  <c r="AZ27" i="8"/>
  <c r="AR62" i="8"/>
  <c r="AV33" i="8"/>
  <c r="AV37" i="8"/>
  <c r="AZ53" i="8"/>
  <c r="AY25" i="8"/>
  <c r="AW40" i="8"/>
  <c r="AS58" i="8"/>
  <c r="AW28" i="8"/>
  <c r="AV41" i="8"/>
  <c r="AT40" i="8"/>
  <c r="AS55" i="8"/>
  <c r="AY52" i="8"/>
  <c r="BA45" i="8"/>
  <c r="AW45" i="8"/>
  <c r="AU49" i="8"/>
  <c r="BA59" i="8"/>
  <c r="AY16" i="8"/>
  <c r="AU19" i="8"/>
  <c r="AU31" i="8"/>
  <c r="AZ50" i="8"/>
  <c r="AV16" i="8"/>
  <c r="BA35" i="8"/>
  <c r="AX50" i="8"/>
  <c r="BA60" i="8"/>
  <c r="AV23" i="8"/>
  <c r="AS15" i="8"/>
  <c r="AR42" i="8"/>
  <c r="AW58" i="8"/>
  <c r="AY67" i="8"/>
  <c r="AT52" i="8"/>
  <c r="AY46" i="8"/>
  <c r="AU48" i="8"/>
  <c r="AV67" i="8"/>
  <c r="AX59" i="8"/>
  <c r="AW66" i="8"/>
  <c r="AU36" i="8"/>
  <c r="BA51" i="8"/>
  <c r="AZ24" i="8"/>
  <c r="AV39" i="8"/>
  <c r="BA57" i="8"/>
  <c r="AU27" i="8"/>
  <c r="AU40" i="8"/>
  <c r="AS39" i="8"/>
  <c r="AZ52" i="8"/>
  <c r="BA48" i="8"/>
  <c r="AV44" i="8"/>
  <c r="AU44" i="8"/>
  <c r="AT48" i="8"/>
  <c r="AY56" i="8"/>
  <c r="AZ15" i="8"/>
  <c r="AV18" i="8"/>
  <c r="BA30" i="8"/>
  <c r="AT46" i="8"/>
  <c r="AW15" i="8"/>
  <c r="AS31" i="8"/>
  <c r="AR46" i="8"/>
  <c r="AT57" i="8"/>
  <c r="AZ60" i="8"/>
  <c r="AR57" i="8"/>
  <c r="AV34" i="8"/>
  <c r="AU43" i="8"/>
  <c r="AY50" i="8"/>
  <c r="AS66" i="8"/>
  <c r="AU51" i="8"/>
  <c r="AZ45" i="8"/>
  <c r="AV47" i="8"/>
  <c r="AZ66" i="8"/>
  <c r="AZ58" i="8"/>
  <c r="AW65" i="8"/>
  <c r="AU35" i="8"/>
  <c r="AZ47" i="8"/>
  <c r="BA23" i="8"/>
  <c r="AU38" i="8"/>
  <c r="AX55" i="8"/>
  <c r="AV26" i="8"/>
  <c r="AT39" i="8"/>
  <c r="AR38" i="8"/>
  <c r="AX44" i="8"/>
  <c r="AW44" i="8"/>
  <c r="AR43" i="8"/>
  <c r="AW32" i="8"/>
  <c r="AU45" i="8"/>
  <c r="AT53" i="8"/>
  <c r="BA64" i="8"/>
  <c r="AW17" i="8"/>
  <c r="AV25" i="8"/>
  <c r="BA40" i="8"/>
  <c r="AY66" i="8"/>
  <c r="AX30" i="8"/>
  <c r="AT41" i="8"/>
  <c r="AY54" i="8"/>
  <c r="AS57" i="8"/>
  <c r="AS42" i="8"/>
  <c r="AY33" i="8"/>
  <c r="BA27" i="8"/>
  <c r="AR49" i="8"/>
  <c r="AW26" i="8"/>
  <c r="AX20" i="8"/>
  <c r="AT25" i="8"/>
  <c r="AW64" i="8"/>
  <c r="AV50" i="8"/>
  <c r="BA44" i="8"/>
  <c r="AW46" i="8"/>
  <c r="AS63" i="8"/>
  <c r="AV56" i="8"/>
  <c r="AU59" i="8"/>
  <c r="AT34" i="8"/>
  <c r="AS45" i="8"/>
  <c r="AW67" i="8"/>
  <c r="AT37" i="8"/>
  <c r="AX53" i="8"/>
  <c r="AW25" i="8"/>
  <c r="AS38" i="8"/>
  <c r="BA31" i="8"/>
  <c r="AT43" i="8"/>
  <c r="AS43" i="8"/>
  <c r="AS33" i="8"/>
  <c r="AZ31" i="8"/>
  <c r="AT44" i="8"/>
  <c r="AS49" i="8"/>
  <c r="AX62" i="8"/>
  <c r="AX16" i="8"/>
  <c r="AT22" i="8"/>
  <c r="AY39" i="8"/>
  <c r="AT64" i="8"/>
  <c r="AS25" i="8"/>
  <c r="AS40" i="8"/>
  <c r="AV51" i="8"/>
  <c r="AX54" i="8"/>
  <c r="AV35" i="8"/>
  <c r="AR30" i="8"/>
  <c r="AT28" i="8"/>
  <c r="AX67" i="8"/>
  <c r="AV53" i="8"/>
  <c r="AS32" i="8"/>
  <c r="AY34" i="8"/>
  <c r="AX63" i="8"/>
  <c r="AW49" i="8"/>
  <c r="BA67" i="8"/>
  <c r="AX45" i="8"/>
  <c r="AW61" i="8"/>
  <c r="AV54" i="8"/>
  <c r="AV58" i="8"/>
  <c r="AR33" i="8"/>
  <c r="AY42" i="8"/>
  <c r="AR66" i="8"/>
  <c r="AS36" i="8"/>
  <c r="AY51" i="8"/>
  <c r="AX24" i="8"/>
  <c r="AR37" i="8"/>
  <c r="AZ30" i="8"/>
  <c r="AW33" i="8"/>
  <c r="AU33" i="8"/>
  <c r="AX32" i="8"/>
  <c r="AZ26" i="8"/>
  <c r="AV32" i="8"/>
  <c r="AR48" i="8"/>
  <c r="AZ59" i="8"/>
  <c r="AY15" i="8"/>
  <c r="AR21" i="8"/>
  <c r="AX38" i="8"/>
  <c r="AU62" i="8"/>
  <c r="AU24" i="8"/>
  <c r="AW36" i="8"/>
  <c r="AT50" i="8"/>
  <c r="AS51" i="8"/>
  <c r="AX34" i="8"/>
  <c r="AT29" i="8"/>
  <c r="AS29" i="8"/>
  <c r="BA32" i="8"/>
  <c r="AW60" i="8"/>
  <c r="AU25" i="8"/>
  <c r="AW16" i="8"/>
  <c r="AU29" i="8"/>
  <c r="BA66" i="8"/>
  <c r="AX48" i="8"/>
  <c r="AV63" i="8"/>
  <c r="AY44" i="8"/>
  <c r="AR60" i="8"/>
  <c r="AV52" i="8"/>
  <c r="AS56" i="8"/>
  <c r="BA28" i="8"/>
  <c r="AY41" i="8"/>
  <c r="AT65" i="8"/>
  <c r="AS35" i="8"/>
  <c r="AZ49" i="8"/>
  <c r="AY23" i="8"/>
  <c r="AS67" i="8"/>
  <c r="AW29" i="8"/>
  <c r="AZ32" i="8"/>
  <c r="AY32" i="8"/>
  <c r="AR27" i="8"/>
  <c r="AY22" i="8"/>
  <c r="AY31" i="8"/>
  <c r="BA46" i="8"/>
  <c r="AX56" i="8"/>
  <c r="AY64" i="8"/>
  <c r="AS20" i="8"/>
  <c r="AX37" i="8"/>
  <c r="AV59" i="8"/>
  <c r="AR22" i="8"/>
  <c r="AZ35" i="8"/>
  <c r="AS41" i="8"/>
  <c r="AR50" i="8"/>
  <c r="AZ33" i="8"/>
  <c r="AV28" i="8"/>
  <c r="AR15" i="8"/>
  <c r="AS26" i="8"/>
  <c r="AU65" i="8"/>
  <c r="AY47" i="8"/>
  <c r="AZ61" i="8"/>
  <c r="AZ43" i="8"/>
  <c r="AY58" i="8"/>
  <c r="AW50" i="8"/>
  <c r="BA55" i="8"/>
  <c r="AX27" i="8"/>
  <c r="AX40" i="8"/>
  <c r="AT58" i="8"/>
  <c r="BA29" i="8"/>
  <c r="AU47" i="8"/>
  <c r="AT67" i="8"/>
  <c r="BA62" i="8"/>
  <c r="AU28" i="8"/>
  <c r="AR29" i="8"/>
  <c r="AR28" i="8"/>
  <c r="BA26" i="8"/>
  <c r="AV21" i="8"/>
  <c r="AU26" i="8"/>
  <c r="AS44" i="8"/>
  <c r="AX46" i="8"/>
  <c r="AW62" i="8"/>
  <c r="AT19" i="8"/>
  <c r="AZ36" i="8"/>
  <c r="AV57" i="8"/>
  <c r="AR19" i="8"/>
  <c r="BA34" i="8"/>
  <c r="AR40" i="8"/>
  <c r="AT42" i="8"/>
  <c r="AY60" i="8"/>
  <c r="AU23" i="8"/>
  <c r="BA20" i="8"/>
  <c r="AT59" i="8"/>
  <c r="BA24" i="8"/>
  <c r="AW41" i="8"/>
  <c r="AY18" i="8"/>
  <c r="AR25" i="8"/>
  <c r="AR61" i="8"/>
  <c r="AZ46" i="8"/>
  <c r="AV60" i="8"/>
  <c r="BA42" i="8"/>
  <c r="AZ57" i="8"/>
  <c r="AV48" i="8"/>
  <c r="AS54" i="8"/>
  <c r="AY26" i="8"/>
  <c r="AW39" i="8"/>
  <c r="AY55" i="8"/>
  <c r="AX28" i="8"/>
  <c r="AY43" i="8"/>
  <c r="AR58" i="8"/>
  <c r="AX57" i="8"/>
  <c r="AS27" i="8"/>
  <c r="AS28" i="8"/>
  <c r="AT27" i="8"/>
  <c r="AZ22" i="8"/>
  <c r="AW20" i="8"/>
  <c r="AW22" i="8"/>
  <c r="AT32" i="8"/>
  <c r="BA38" i="8"/>
  <c r="AY59" i="8"/>
  <c r="AU18" i="8"/>
  <c r="AT31" i="8"/>
  <c r="AT56" i="8"/>
  <c r="AS18" i="8"/>
  <c r="AR31" i="8"/>
  <c r="AV36" i="8"/>
  <c r="AR41" i="8"/>
  <c r="AW54" i="8"/>
  <c r="BA21" i="8"/>
  <c r="AT23" i="8"/>
  <c r="AZ64" i="8"/>
  <c r="BA47" i="8"/>
  <c r="AZ51" i="8"/>
  <c r="AS23" i="8"/>
  <c r="AV20" i="8"/>
  <c r="AU16" i="8"/>
  <c r="AT55" i="8"/>
  <c r="AV66" i="8"/>
  <c r="AS60" i="8"/>
  <c r="AW63" i="8"/>
  <c r="AR52" i="8"/>
  <c r="AR35" i="8"/>
  <c r="BA56" i="8"/>
  <c r="AY45" i="8"/>
  <c r="BA53" i="8"/>
  <c r="AZ25" i="8"/>
  <c r="AV38" i="8"/>
  <c r="AY53" i="8"/>
  <c r="AV27" i="8"/>
  <c r="AW42" i="8"/>
  <c r="AY57" i="8"/>
  <c r="AV55" i="8"/>
  <c r="AT26" i="8"/>
  <c r="AY27" i="8"/>
  <c r="AR23" i="8"/>
  <c r="AW21" i="8"/>
  <c r="AX19" i="8"/>
  <c r="AU21" i="8"/>
  <c r="AX31" i="8"/>
  <c r="BA37" i="8"/>
  <c r="AW56" i="8"/>
  <c r="AV17" i="8"/>
  <c r="AY30" i="8"/>
  <c r="BA54" i="8"/>
  <c r="AT17" i="8"/>
  <c r="AV30" i="8"/>
  <c r="AY35" i="8"/>
  <c r="AW35" i="8"/>
  <c r="AS30" i="8"/>
  <c r="AR63" i="8"/>
  <c r="AZ21" i="8"/>
  <c r="AS34" i="8"/>
  <c r="AR44" i="8"/>
  <c r="AU37" i="8"/>
  <c r="AW55" i="8"/>
  <c r="AX21" i="8"/>
  <c r="BA50" i="8"/>
  <c r="AZ34" i="8"/>
  <c r="AI38" i="8"/>
  <c r="AM49" i="8"/>
  <c r="AI58" i="8"/>
  <c r="AK54" i="8"/>
  <c r="AL18" i="8"/>
  <c r="AM21" i="8"/>
  <c r="AO27" i="8"/>
  <c r="AI31" i="8"/>
  <c r="AG26" i="8"/>
  <c r="AF63" i="8"/>
  <c r="AF49" i="8"/>
  <c r="AL25" i="8"/>
  <c r="AM37" i="8"/>
  <c r="AL27" i="8"/>
  <c r="AM28" i="8"/>
  <c r="AN18" i="8"/>
  <c r="AN41" i="8"/>
  <c r="AL37" i="8"/>
  <c r="AL26" i="8"/>
  <c r="AG23" i="8"/>
  <c r="AL28" i="8"/>
  <c r="AL29" i="8"/>
  <c r="AF20" i="8"/>
  <c r="AM42" i="8"/>
  <c r="AJ25" i="8"/>
  <c r="AI37" i="8"/>
  <c r="AM33" i="8"/>
  <c r="AF25" i="8"/>
  <c r="AL44" i="8"/>
  <c r="AG28" i="8"/>
  <c r="AH41" i="8"/>
  <c r="AG36" i="8"/>
  <c r="AM39" i="8"/>
  <c r="AN57" i="8"/>
  <c r="AK19" i="8"/>
  <c r="AL47" i="8"/>
  <c r="AK37" i="8"/>
  <c r="AK38" i="8"/>
  <c r="AN39" i="8"/>
  <c r="AH27" i="8"/>
  <c r="AO38" i="8"/>
  <c r="AO26" i="8"/>
  <c r="AH33" i="8"/>
  <c r="AF29" i="8"/>
  <c r="AJ33" i="8"/>
  <c r="AK33" i="8"/>
  <c r="AO23" i="8"/>
  <c r="AK16" i="8"/>
  <c r="AF47" i="8"/>
  <c r="AN30" i="8"/>
  <c r="AN63" i="8"/>
  <c r="AG38" i="8"/>
  <c r="AM34" i="8"/>
  <c r="AN34" i="8"/>
  <c r="AH29" i="8"/>
  <c r="AH64" i="8"/>
  <c r="AK46" i="8"/>
  <c r="AJ29" i="8"/>
  <c r="AJ60" i="8"/>
  <c r="AH42" i="8"/>
  <c r="AG37" i="8"/>
  <c r="AM53" i="8"/>
  <c r="AL40" i="8"/>
  <c r="AK65" i="8"/>
  <c r="AG47" i="8"/>
  <c r="AM58" i="8"/>
  <c r="AG64" i="8"/>
  <c r="AF16" i="8"/>
  <c r="AH30" i="8"/>
  <c r="AH40" i="8"/>
  <c r="AN20" i="8"/>
  <c r="AI17" i="8"/>
  <c r="AF41" i="8"/>
  <c r="AJ39" i="8"/>
  <c r="AM26" i="8"/>
  <c r="AN27" i="8"/>
  <c r="AL35" i="8"/>
  <c r="AF42" i="8"/>
  <c r="AL63" i="8"/>
  <c r="AO22" i="8"/>
  <c r="AH65" i="8"/>
  <c r="AI50" i="8"/>
  <c r="AL39" i="8"/>
  <c r="AH32" i="8"/>
  <c r="AK27" i="8"/>
  <c r="AI33" i="8"/>
  <c r="AI34" i="8"/>
  <c r="AJ17" i="8"/>
  <c r="AL34" i="8"/>
  <c r="AH39" i="8"/>
  <c r="AO35" i="8"/>
  <c r="AJ22" i="8"/>
  <c r="AL30" i="8"/>
  <c r="AK43" i="8"/>
  <c r="AL54" i="8"/>
  <c r="AG66" i="8"/>
  <c r="AH61" i="8"/>
  <c r="AM19" i="8"/>
  <c r="AM51" i="8"/>
  <c r="AK39" i="8"/>
  <c r="AO40" i="8"/>
  <c r="AO47" i="8"/>
  <c r="AN37" i="8"/>
  <c r="AL49" i="8"/>
  <c r="AJ28" i="8"/>
  <c r="AO44" i="8"/>
  <c r="AG34" i="8"/>
  <c r="AG35" i="8"/>
  <c r="AH35" i="8"/>
  <c r="AO28" i="8"/>
  <c r="AI18" i="8"/>
  <c r="AI51" i="8"/>
  <c r="AK35" i="8"/>
  <c r="AM16" i="8"/>
  <c r="AK40" i="8"/>
  <c r="AO36" i="8"/>
  <c r="AF43" i="8"/>
  <c r="AK31" i="8"/>
  <c r="AI23" i="8"/>
  <c r="AN50" i="8"/>
  <c r="AM31" i="8"/>
  <c r="AG62" i="8"/>
  <c r="AN44" i="8"/>
  <c r="AI39" i="8"/>
  <c r="AK55" i="8"/>
  <c r="AJ42" i="8"/>
  <c r="AO54" i="8"/>
  <c r="AO55" i="8"/>
  <c r="AK66" i="8"/>
  <c r="AI67" i="8"/>
  <c r="AM25" i="8"/>
  <c r="AF17" i="8"/>
  <c r="AK51" i="8"/>
  <c r="AH25" i="8"/>
  <c r="AL66" i="8"/>
  <c r="AH23" i="8"/>
  <c r="AK63" i="8"/>
  <c r="AN66" i="8"/>
  <c r="AF51" i="8"/>
  <c r="AJ61" i="8"/>
  <c r="AN36" i="8"/>
  <c r="AM67" i="8"/>
  <c r="AN28" i="8"/>
  <c r="AJ20" i="8"/>
  <c r="AJ38" i="8"/>
  <c r="AO46" i="8"/>
  <c r="AH45" i="8"/>
  <c r="AF34" i="8"/>
  <c r="AH34" i="8"/>
  <c r="AF24" i="8"/>
  <c r="AF50" i="8"/>
  <c r="AM15" i="8"/>
  <c r="AN35" i="8"/>
  <c r="AJ30" i="8"/>
  <c r="AN48" i="8"/>
  <c r="AK61" i="8"/>
  <c r="AH38" i="8"/>
  <c r="AK41" i="8"/>
  <c r="AF48" i="8"/>
  <c r="AM65" i="8"/>
  <c r="AL20" i="8"/>
  <c r="AO15" i="8"/>
  <c r="AN40" i="8"/>
  <c r="AN46" i="8"/>
  <c r="AI49" i="8"/>
  <c r="AM38" i="8"/>
  <c r="AJ53" i="8"/>
  <c r="AG33" i="8"/>
  <c r="AL45" i="8"/>
  <c r="AL43" i="8"/>
  <c r="AM43" i="8"/>
  <c r="AF36" i="8"/>
  <c r="AN29" i="8"/>
  <c r="AH19" i="8"/>
  <c r="AG54" i="8"/>
  <c r="AJ36" i="8"/>
  <c r="AL17" i="8"/>
  <c r="AM41" i="8"/>
  <c r="AG44" i="8"/>
  <c r="AI44" i="8"/>
  <c r="AM32" i="8"/>
  <c r="AH24" i="8"/>
  <c r="AL52" i="8"/>
  <c r="AO32" i="8"/>
  <c r="AL64" i="8"/>
  <c r="AM46" i="8"/>
  <c r="AJ40" i="8"/>
  <c r="AJ56" i="8"/>
  <c r="AI43" i="8"/>
  <c r="AN55" i="8"/>
  <c r="AN56" i="8"/>
  <c r="AG67" i="8"/>
  <c r="AN59" i="8"/>
  <c r="AO41" i="8"/>
  <c r="AG30" i="8"/>
  <c r="AO45" i="8"/>
  <c r="AH49" i="8"/>
  <c r="AL41" i="8"/>
  <c r="AI57" i="8"/>
  <c r="AH44" i="8"/>
  <c r="AM56" i="8"/>
  <c r="AM57" i="8"/>
  <c r="AO63" i="8"/>
  <c r="AM60" i="8"/>
  <c r="AO39" i="8"/>
  <c r="AH37" i="8"/>
  <c r="AM47" i="8"/>
  <c r="AJ19" i="8"/>
  <c r="AH58" i="8"/>
  <c r="AO16" i="8"/>
  <c r="AM45" i="8"/>
  <c r="AK18" i="8"/>
  <c r="AG25" i="8"/>
  <c r="AN17" i="8"/>
  <c r="AK45" i="8"/>
  <c r="AJ34" i="8"/>
  <c r="AG46" i="8"/>
  <c r="AJ24" i="8"/>
  <c r="AL58" i="8"/>
  <c r="AJ49" i="8"/>
  <c r="AF65" i="8"/>
  <c r="AK24" i="8"/>
  <c r="AK50" i="8"/>
  <c r="AL48" i="8"/>
  <c r="AG43" i="8"/>
  <c r="AF28" i="8"/>
  <c r="AI61" i="8"/>
  <c r="AG42" i="8"/>
  <c r="AI25" i="8"/>
  <c r="AO52" i="8"/>
  <c r="AN43" i="8"/>
  <c r="AJ59" i="8"/>
  <c r="AF46" i="8"/>
  <c r="AK58" i="8"/>
  <c r="AG61" i="8"/>
  <c r="AJ66" i="8"/>
  <c r="AK62" i="8"/>
  <c r="AL67" i="8"/>
  <c r="AN58" i="8"/>
  <c r="AF40" i="8"/>
  <c r="AI21" i="8"/>
  <c r="AO21" i="8"/>
  <c r="AO43" i="8"/>
  <c r="AK48" i="8"/>
  <c r="AG41" i="8"/>
  <c r="AG45" i="8"/>
  <c r="AM18" i="8"/>
  <c r="AN26" i="8"/>
  <c r="AJ55" i="8"/>
  <c r="AI20" i="8"/>
  <c r="AL19" i="8"/>
  <c r="AM20" i="8"/>
  <c r="AH53" i="8"/>
  <c r="AN49" i="8"/>
  <c r="AO61" i="8"/>
  <c r="AG58" i="8"/>
  <c r="AO29" i="8"/>
  <c r="AI40" i="8"/>
  <c r="AL51" i="8"/>
  <c r="AL50" i="8"/>
  <c r="AF62" i="8"/>
  <c r="AH26" i="8"/>
  <c r="AJ62" i="8"/>
  <c r="AO59" i="8"/>
  <c r="AO62" i="8"/>
  <c r="AJ63" i="8"/>
  <c r="AG53" i="8"/>
  <c r="AI42" i="8"/>
  <c r="AM54" i="8"/>
  <c r="AF56" i="8"/>
  <c r="AH52" i="8"/>
  <c r="AM63" i="8"/>
  <c r="AF26" i="8"/>
  <c r="AL42" i="8"/>
  <c r="AN64" i="8"/>
  <c r="AN19" i="8"/>
  <c r="AG55" i="8"/>
  <c r="AH50" i="8"/>
  <c r="AG31" i="8"/>
  <c r="AN51" i="8"/>
  <c r="AM66" i="8"/>
  <c r="AJ27" i="8"/>
  <c r="AN53" i="8"/>
  <c r="AI15" i="8"/>
  <c r="AH36" i="8"/>
  <c r="AL16" i="8"/>
  <c r="AH21" i="8"/>
  <c r="AI52" i="8"/>
  <c r="AK44" i="8"/>
  <c r="AI29" i="8"/>
  <c r="AJ43" i="8"/>
  <c r="AF53" i="8"/>
  <c r="AI47" i="8"/>
  <c r="AO53" i="8"/>
  <c r="AG63" i="8"/>
  <c r="AJ57" i="8"/>
  <c r="AK20" i="8"/>
  <c r="AF66" i="8"/>
  <c r="AL21" i="8"/>
  <c r="AK21" i="8"/>
  <c r="AG56" i="8"/>
  <c r="AJ32" i="8"/>
  <c r="AF52" i="8"/>
  <c r="AN61" i="8"/>
  <c r="AH15" i="8"/>
  <c r="AI16" i="8"/>
  <c r="AI63" i="8"/>
  <c r="AK42" i="8"/>
  <c r="AI30" i="8"/>
  <c r="AK17" i="8"/>
  <c r="AJ41" i="8"/>
  <c r="AH22" i="8"/>
  <c r="AH57" i="8"/>
  <c r="AI54" i="8"/>
  <c r="AJ52" i="8"/>
  <c r="AJ46" i="8"/>
  <c r="AK30" i="8"/>
  <c r="AJ64" i="8"/>
  <c r="AM44" i="8"/>
  <c r="AG27" i="8"/>
  <c r="AF55" i="8"/>
  <c r="AK49" i="8"/>
  <c r="AK64" i="8"/>
  <c r="AN54" i="8"/>
  <c r="AF61" i="8"/>
  <c r="AI66" i="8"/>
  <c r="AF64" i="8"/>
  <c r="AI64" i="8"/>
  <c r="AJ48" i="8"/>
  <c r="AN45" i="8"/>
  <c r="AF38" i="8"/>
  <c r="AN24" i="8"/>
  <c r="AF44" i="8"/>
  <c r="AG20" i="8"/>
  <c r="AN33" i="8"/>
  <c r="AO18" i="8"/>
  <c r="AO49" i="8"/>
  <c r="AF21" i="8"/>
  <c r="AO34" i="8"/>
  <c r="AG51" i="8"/>
  <c r="AL61" i="8"/>
  <c r="AJ50" i="8"/>
  <c r="AI48" i="8"/>
  <c r="AI35" i="8"/>
  <c r="AL15" i="8"/>
  <c r="AN15" i="8"/>
  <c r="AJ21" i="8"/>
  <c r="AN22" i="8"/>
  <c r="AG59" i="8"/>
  <c r="AL53" i="8"/>
  <c r="AH16" i="8"/>
  <c r="AG65" i="8"/>
  <c r="AK34" i="8"/>
  <c r="AN42" i="8"/>
  <c r="AO60" i="8"/>
  <c r="AJ54" i="8"/>
  <c r="AL31" i="8"/>
  <c r="AL46" i="8"/>
  <c r="AG57" i="8"/>
  <c r="AI65" i="8"/>
  <c r="AN62" i="8"/>
  <c r="AL65" i="8"/>
  <c r="AN16" i="8"/>
  <c r="AL36" i="8"/>
  <c r="AL22" i="8"/>
  <c r="AJ26" i="8"/>
  <c r="AO25" i="8"/>
  <c r="AJ31" i="8"/>
  <c r="AJ67" i="8"/>
  <c r="AJ45" i="8"/>
  <c r="AN67" i="8"/>
  <c r="AG15" i="8"/>
  <c r="AG17" i="8"/>
  <c r="AG18" i="8"/>
  <c r="AJ15" i="8"/>
  <c r="AF54" i="8"/>
  <c r="AJ35" i="8"/>
  <c r="AI19" i="8"/>
  <c r="AJ47" i="8"/>
  <c r="AK25" i="8"/>
  <c r="AG22" i="8"/>
  <c r="AH59" i="8"/>
  <c r="AI56" i="8"/>
  <c r="AM50" i="8"/>
  <c r="AN32" i="8"/>
  <c r="AJ23" i="8"/>
  <c r="AO48" i="8"/>
  <c r="AK29" i="8"/>
  <c r="AL60" i="8"/>
  <c r="AI53" i="8"/>
  <c r="AH28" i="8"/>
  <c r="AL56" i="8"/>
  <c r="AO64" i="8"/>
  <c r="AI46" i="8"/>
  <c r="AH67" i="8"/>
  <c r="AK67" i="8"/>
  <c r="AN47" i="8"/>
  <c r="AH55" i="8"/>
  <c r="AO42" i="8"/>
  <c r="AK23" i="8"/>
  <c r="AF45" i="8"/>
  <c r="AF58" i="8"/>
  <c r="AK47" i="8"/>
  <c r="AI60" i="8"/>
  <c r="AL57" i="8"/>
  <c r="AI22" i="8"/>
  <c r="AF59" i="8"/>
  <c r="AG52" i="8"/>
  <c r="AG39" i="8"/>
  <c r="AM35" i="8"/>
  <c r="AN25" i="8"/>
  <c r="AM22" i="8"/>
  <c r="AF33" i="8"/>
  <c r="AO67" i="8"/>
  <c r="AH17" i="8"/>
  <c r="AH51" i="8"/>
  <c r="AJ18" i="8"/>
  <c r="AM24" i="8"/>
  <c r="AH56" i="8"/>
  <c r="AM48" i="8"/>
  <c r="AK22" i="8"/>
  <c r="AI28" i="8"/>
  <c r="AJ51" i="8"/>
  <c r="AM55" i="8"/>
  <c r="AF67" i="8"/>
  <c r="AO65" i="8"/>
  <c r="AM17" i="8"/>
  <c r="AJ37" i="8"/>
  <c r="AO24" i="8"/>
  <c r="AF32" i="8"/>
  <c r="AK26" i="8"/>
  <c r="AO19" i="8"/>
  <c r="AO20" i="8"/>
  <c r="AH48" i="8"/>
  <c r="AF15" i="8"/>
  <c r="AG16" i="8"/>
  <c r="AF18" i="8"/>
  <c r="AF19" i="8"/>
  <c r="AJ16" i="8"/>
  <c r="AL55" i="8"/>
  <c r="AI36" i="8"/>
  <c r="AH20" i="8"/>
  <c r="AG50" i="8"/>
  <c r="AO30" i="8"/>
  <c r="AF23" i="8"/>
  <c r="AF60" i="8"/>
  <c r="AI59" i="8"/>
  <c r="AK52" i="8"/>
  <c r="AO33" i="8"/>
  <c r="AI24" i="8"/>
  <c r="AG49" i="8"/>
  <c r="AM30" i="8"/>
  <c r="AM61" i="8"/>
  <c r="AI55" i="8"/>
  <c r="AG29" i="8"/>
  <c r="AK57" i="8"/>
  <c r="AN65" i="8"/>
  <c r="AH47" i="8"/>
  <c r="AL59" i="8"/>
  <c r="AO17" i="8"/>
  <c r="AN23" i="8"/>
  <c r="AJ65" i="8"/>
  <c r="AN31" i="8"/>
  <c r="AH62" i="8"/>
  <c r="AO57" i="8"/>
  <c r="AF30" i="8"/>
  <c r="AJ58" i="8"/>
  <c r="AH66" i="8"/>
  <c r="AG48" i="8"/>
  <c r="AK60" i="8"/>
  <c r="AN21" i="8"/>
  <c r="AF31" i="8"/>
  <c r="AF22" i="8"/>
  <c r="AO37" i="8"/>
  <c r="AO31" i="8"/>
  <c r="AF37" i="8"/>
  <c r="AO50" i="8"/>
  <c r="AG32" i="8"/>
  <c r="AL23" i="8"/>
  <c r="AH54" i="8"/>
  <c r="AK56" i="8"/>
  <c r="AM59" i="8"/>
  <c r="AH31" i="8"/>
  <c r="AM27" i="8"/>
  <c r="AI41" i="8"/>
  <c r="AL24" i="8"/>
  <c r="AO58" i="8"/>
  <c r="AK36" i="8"/>
  <c r="AK32" i="8"/>
  <c r="AL32" i="8"/>
  <c r="AG24" i="8"/>
  <c r="AK59" i="8"/>
  <c r="AH43" i="8"/>
  <c r="AF27" i="8"/>
  <c r="AM52" i="8"/>
  <c r="AG40" i="8"/>
  <c r="AF35" i="8"/>
  <c r="AO51" i="8"/>
  <c r="AN38" i="8"/>
  <c r="AM62" i="8"/>
  <c r="AI45" i="8"/>
  <c r="AO56" i="8"/>
  <c r="AI62" i="8"/>
  <c r="AL62" i="8"/>
  <c r="AM23" i="8"/>
  <c r="AG21" i="8"/>
  <c r="AG60" i="8"/>
  <c r="AI26" i="8"/>
  <c r="AK53" i="8"/>
  <c r="AH18" i="8"/>
  <c r="AO66" i="8"/>
  <c r="AF39" i="8"/>
  <c r="AJ44" i="8"/>
  <c r="AM40" i="8"/>
  <c r="AI27" i="8"/>
  <c r="AG19" i="8"/>
  <c r="AM36" i="8"/>
  <c r="AL38" i="8"/>
  <c r="AI32" i="8"/>
  <c r="AK28" i="8"/>
  <c r="AM29" i="8"/>
  <c r="AK15" i="8"/>
  <c r="AN60" i="8"/>
  <c r="AL33" i="8"/>
  <c r="AH60" i="8"/>
  <c r="AF57" i="8"/>
  <c r="AN52" i="8"/>
  <c r="AM64" i="8"/>
  <c r="AH46" i="8"/>
  <c r="AH63" i="8"/>
  <c r="AJ71" i="8"/>
  <c r="AJ72" i="8" s="1"/>
  <c r="AJ73" i="8" s="1"/>
  <c r="AJ74" i="8" s="1"/>
  <c r="AJ75" i="8" s="1"/>
  <c r="AJ76" i="8" s="1"/>
  <c r="AJ77" i="8" s="1"/>
  <c r="AJ78" i="8" s="1"/>
  <c r="AJ79" i="8" s="1"/>
  <c r="AJ80" i="8" s="1"/>
  <c r="AJ81" i="8" s="1"/>
  <c r="AJ82" i="8" s="1"/>
  <c r="AJ83" i="8" s="1"/>
  <c r="AJ84" i="8" s="1"/>
  <c r="AJ85" i="8" s="1"/>
  <c r="AJ86" i="8" s="1"/>
  <c r="AJ87" i="8" s="1"/>
  <c r="AJ88" i="8" s="1"/>
  <c r="AJ89" i="8" s="1"/>
  <c r="AJ90" i="8" s="1"/>
  <c r="AJ91" i="8" s="1"/>
  <c r="AJ92" i="8" s="1"/>
  <c r="AJ93" i="8" s="1"/>
  <c r="AJ94" i="8" s="1"/>
  <c r="AJ95" i="8" s="1"/>
  <c r="AJ96" i="8" s="1"/>
  <c r="AJ97" i="8" s="1"/>
  <c r="AJ98" i="8" s="1"/>
  <c r="AJ99" i="8" s="1"/>
  <c r="AJ100" i="8" s="1"/>
  <c r="AJ101" i="8" s="1"/>
  <c r="AJ102" i="8" s="1"/>
  <c r="AJ103" i="8" s="1"/>
  <c r="AJ104" i="8" s="1"/>
  <c r="AJ105" i="8" s="1"/>
  <c r="AJ106" i="8" s="1"/>
  <c r="AJ107" i="8" s="1"/>
  <c r="AJ108" i="8" s="1"/>
  <c r="AJ109" i="8" s="1"/>
  <c r="AJ110" i="8" s="1"/>
  <c r="AJ111" i="8" s="1"/>
  <c r="AJ112" i="8" s="1"/>
  <c r="AJ113" i="8" s="1"/>
  <c r="AJ114" i="8" s="1"/>
  <c r="AJ115" i="8" s="1"/>
  <c r="AJ116" i="8" s="1"/>
  <c r="AJ117" i="8" s="1"/>
  <c r="AJ118" i="8" s="1"/>
  <c r="AJ119" i="8" s="1"/>
  <c r="AJ120" i="8" s="1"/>
  <c r="AJ121" i="8" s="1"/>
  <c r="AJ122" i="8" s="1"/>
  <c r="AJ123" i="8" s="1"/>
  <c r="AK71" i="8"/>
  <c r="AK72" i="8" s="1"/>
  <c r="AK73" i="8" s="1"/>
  <c r="AK74" i="8" s="1"/>
  <c r="AK75" i="8" s="1"/>
  <c r="AK76" i="8" s="1"/>
  <c r="AK77" i="8" s="1"/>
  <c r="AK78" i="8" s="1"/>
  <c r="AK79" i="8" s="1"/>
  <c r="AK80" i="8" s="1"/>
  <c r="AK81" i="8" s="1"/>
  <c r="AK82" i="8" s="1"/>
  <c r="AK83" i="8" s="1"/>
  <c r="AK84" i="8" s="1"/>
  <c r="AK85" i="8" s="1"/>
  <c r="AK86" i="8" s="1"/>
  <c r="AK87" i="8" s="1"/>
  <c r="AK88" i="8" s="1"/>
  <c r="AK89" i="8" s="1"/>
  <c r="AK90" i="8" s="1"/>
  <c r="AK91" i="8" s="1"/>
  <c r="AK92" i="8" s="1"/>
  <c r="AK93" i="8" s="1"/>
  <c r="AK94" i="8" s="1"/>
  <c r="AK95" i="8" s="1"/>
  <c r="AK96" i="8" s="1"/>
  <c r="AK97" i="8" s="1"/>
  <c r="AK98" i="8" s="1"/>
  <c r="AK99" i="8" s="1"/>
  <c r="AK100" i="8" s="1"/>
  <c r="AK101" i="8" s="1"/>
  <c r="AK102" i="8" s="1"/>
  <c r="AK103" i="8" s="1"/>
  <c r="AK104" i="8" s="1"/>
  <c r="AK105" i="8" s="1"/>
  <c r="AK106" i="8" s="1"/>
  <c r="AK107" i="8" s="1"/>
  <c r="AK108" i="8" s="1"/>
  <c r="AK109" i="8" s="1"/>
  <c r="AK110" i="8" s="1"/>
  <c r="AK111" i="8" s="1"/>
  <c r="AK112" i="8" s="1"/>
  <c r="AK113" i="8" s="1"/>
  <c r="AK114" i="8" s="1"/>
  <c r="AK115" i="8" s="1"/>
  <c r="AK116" i="8" s="1"/>
  <c r="AK117" i="8" s="1"/>
  <c r="AK118" i="8" s="1"/>
  <c r="AK119" i="8" s="1"/>
  <c r="AK120" i="8" s="1"/>
  <c r="AK121" i="8" s="1"/>
  <c r="AK122" i="8" s="1"/>
  <c r="AK123" i="8" s="1"/>
  <c r="AL71" i="8"/>
  <c r="AL72" i="8" s="1"/>
  <c r="AL73" i="8" s="1"/>
  <c r="AL74" i="8" s="1"/>
  <c r="AL75" i="8" s="1"/>
  <c r="AL76" i="8" s="1"/>
  <c r="AL77" i="8" s="1"/>
  <c r="AL78" i="8" s="1"/>
  <c r="AL79" i="8" s="1"/>
  <c r="AL80" i="8" s="1"/>
  <c r="AL81" i="8" s="1"/>
  <c r="AL82" i="8" s="1"/>
  <c r="AL83" i="8" s="1"/>
  <c r="AL84" i="8" s="1"/>
  <c r="AL85" i="8" s="1"/>
  <c r="AL86" i="8" s="1"/>
  <c r="AL87" i="8" s="1"/>
  <c r="AL88" i="8" s="1"/>
  <c r="AL89" i="8" s="1"/>
  <c r="AL90" i="8" s="1"/>
  <c r="AL91" i="8" s="1"/>
  <c r="AL92" i="8" s="1"/>
  <c r="AL93" i="8" s="1"/>
  <c r="AL94" i="8" s="1"/>
  <c r="AL95" i="8" s="1"/>
  <c r="AL96" i="8" s="1"/>
  <c r="AL97" i="8" s="1"/>
  <c r="AL98" i="8" s="1"/>
  <c r="AL99" i="8" s="1"/>
  <c r="AL100" i="8" s="1"/>
  <c r="AL101" i="8" s="1"/>
  <c r="AL102" i="8" s="1"/>
  <c r="AL103" i="8" s="1"/>
  <c r="AL104" i="8" s="1"/>
  <c r="AL105" i="8" s="1"/>
  <c r="AL106" i="8" s="1"/>
  <c r="AL107" i="8" s="1"/>
  <c r="AL108" i="8" s="1"/>
  <c r="AL109" i="8" s="1"/>
  <c r="AL110" i="8" s="1"/>
  <c r="AL111" i="8" s="1"/>
  <c r="AL112" i="8" s="1"/>
  <c r="AL113" i="8" s="1"/>
  <c r="AL114" i="8" s="1"/>
  <c r="AL115" i="8" s="1"/>
  <c r="AL116" i="8" s="1"/>
  <c r="AL117" i="8" s="1"/>
  <c r="AL118" i="8" s="1"/>
  <c r="AL119" i="8" s="1"/>
  <c r="AL120" i="8" s="1"/>
  <c r="AL121" i="8" s="1"/>
  <c r="AL122" i="8" s="1"/>
  <c r="AL123" i="8" s="1"/>
  <c r="AM71" i="8"/>
  <c r="AM72" i="8" s="1"/>
  <c r="AM73" i="8" s="1"/>
  <c r="AM74" i="8" s="1"/>
  <c r="AM75" i="8" s="1"/>
  <c r="AM76" i="8" s="1"/>
  <c r="AM77" i="8" s="1"/>
  <c r="AM78" i="8" s="1"/>
  <c r="AM79" i="8" s="1"/>
  <c r="AM80" i="8" s="1"/>
  <c r="AM81" i="8" s="1"/>
  <c r="AM82" i="8" s="1"/>
  <c r="AM83" i="8" s="1"/>
  <c r="AM84" i="8" s="1"/>
  <c r="AM85" i="8" s="1"/>
  <c r="AM86" i="8" s="1"/>
  <c r="AM87" i="8" s="1"/>
  <c r="AM88" i="8" s="1"/>
  <c r="AM89" i="8" s="1"/>
  <c r="AM90" i="8" s="1"/>
  <c r="AM91" i="8" s="1"/>
  <c r="AM92" i="8" s="1"/>
  <c r="AM93" i="8" s="1"/>
  <c r="AM94" i="8" s="1"/>
  <c r="AM95" i="8" s="1"/>
  <c r="AM96" i="8" s="1"/>
  <c r="AM97" i="8" s="1"/>
  <c r="AM98" i="8" s="1"/>
  <c r="AM99" i="8" s="1"/>
  <c r="AM100" i="8" s="1"/>
  <c r="AM101" i="8" s="1"/>
  <c r="AM102" i="8" s="1"/>
  <c r="AM103" i="8" s="1"/>
  <c r="AM104" i="8" s="1"/>
  <c r="AM105" i="8" s="1"/>
  <c r="AM106" i="8" s="1"/>
  <c r="AM107" i="8" s="1"/>
  <c r="AM108" i="8" s="1"/>
  <c r="AM109" i="8" s="1"/>
  <c r="AM110" i="8" s="1"/>
  <c r="AM111" i="8" s="1"/>
  <c r="AM112" i="8" s="1"/>
  <c r="AM113" i="8" s="1"/>
  <c r="AM114" i="8" s="1"/>
  <c r="AM115" i="8" s="1"/>
  <c r="AM116" i="8" s="1"/>
  <c r="AM117" i="8" s="1"/>
  <c r="AM118" i="8" s="1"/>
  <c r="AM119" i="8" s="1"/>
  <c r="AM120" i="8" s="1"/>
  <c r="AM121" i="8" s="1"/>
  <c r="AM122" i="8" s="1"/>
  <c r="AM123" i="8" s="1"/>
  <c r="AI71" i="8"/>
  <c r="AI72" i="8" s="1"/>
  <c r="AI73" i="8" s="1"/>
  <c r="AI74" i="8" s="1"/>
  <c r="AI75" i="8" s="1"/>
  <c r="AI76" i="8" s="1"/>
  <c r="AI77" i="8" s="1"/>
  <c r="AI78" i="8" s="1"/>
  <c r="AI79" i="8" s="1"/>
  <c r="AI80" i="8" s="1"/>
  <c r="AI81" i="8" s="1"/>
  <c r="AI82" i="8" s="1"/>
  <c r="AI83" i="8" s="1"/>
  <c r="AI84" i="8" s="1"/>
  <c r="AI85" i="8" s="1"/>
  <c r="AI86" i="8" s="1"/>
  <c r="AI87" i="8" s="1"/>
  <c r="AI88" i="8" s="1"/>
  <c r="AI89" i="8" s="1"/>
  <c r="AI90" i="8" s="1"/>
  <c r="AI91" i="8" s="1"/>
  <c r="AI92" i="8" s="1"/>
  <c r="AI93" i="8" s="1"/>
  <c r="AI94" i="8" s="1"/>
  <c r="AI95" i="8" s="1"/>
  <c r="AI96" i="8" s="1"/>
  <c r="AI97" i="8" s="1"/>
  <c r="AI98" i="8" s="1"/>
  <c r="AI99" i="8" s="1"/>
  <c r="AI100" i="8" s="1"/>
  <c r="AI101" i="8" s="1"/>
  <c r="AI102" i="8" s="1"/>
  <c r="AI103" i="8" s="1"/>
  <c r="AI104" i="8" s="1"/>
  <c r="AI105" i="8" s="1"/>
  <c r="AI106" i="8" s="1"/>
  <c r="AI107" i="8" s="1"/>
  <c r="AI108" i="8" s="1"/>
  <c r="AI109" i="8" s="1"/>
  <c r="AI110" i="8" s="1"/>
  <c r="AI111" i="8" s="1"/>
  <c r="AI112" i="8" s="1"/>
  <c r="AI113" i="8" s="1"/>
  <c r="AI114" i="8" s="1"/>
  <c r="AI115" i="8" s="1"/>
  <c r="AI116" i="8" s="1"/>
  <c r="AI117" i="8" s="1"/>
  <c r="AI118" i="8" s="1"/>
  <c r="AI119" i="8" s="1"/>
  <c r="AI120" i="8" s="1"/>
  <c r="AI121" i="8" s="1"/>
  <c r="AI122" i="8" s="1"/>
  <c r="AI123" i="8" s="1"/>
  <c r="AN71" i="8"/>
  <c r="AN72" i="8" s="1"/>
  <c r="AN73" i="8" s="1"/>
  <c r="AN74" i="8" s="1"/>
  <c r="AN75" i="8" s="1"/>
  <c r="AN76" i="8" s="1"/>
  <c r="AN77" i="8" s="1"/>
  <c r="AN78" i="8" s="1"/>
  <c r="AN79" i="8" s="1"/>
  <c r="AN80" i="8" s="1"/>
  <c r="AN81" i="8" s="1"/>
  <c r="AN82" i="8" s="1"/>
  <c r="AN83" i="8" s="1"/>
  <c r="AN84" i="8" s="1"/>
  <c r="AN85" i="8" s="1"/>
  <c r="AN86" i="8" s="1"/>
  <c r="AN87" i="8" s="1"/>
  <c r="AN88" i="8" s="1"/>
  <c r="AN89" i="8" s="1"/>
  <c r="AN90" i="8" s="1"/>
  <c r="AN91" i="8" s="1"/>
  <c r="AN92" i="8" s="1"/>
  <c r="AN93" i="8" s="1"/>
  <c r="AN94" i="8" s="1"/>
  <c r="AN95" i="8" s="1"/>
  <c r="AN96" i="8" s="1"/>
  <c r="AN97" i="8" s="1"/>
  <c r="AN98" i="8" s="1"/>
  <c r="AN99" i="8" s="1"/>
  <c r="AN100" i="8" s="1"/>
  <c r="AN101" i="8" s="1"/>
  <c r="AN102" i="8" s="1"/>
  <c r="AN103" i="8" s="1"/>
  <c r="AN104" i="8" s="1"/>
  <c r="AN105" i="8" s="1"/>
  <c r="AN106" i="8" s="1"/>
  <c r="AN107" i="8" s="1"/>
  <c r="AN108" i="8" s="1"/>
  <c r="AN109" i="8" s="1"/>
  <c r="AN110" i="8" s="1"/>
  <c r="AN111" i="8" s="1"/>
  <c r="AN112" i="8" s="1"/>
  <c r="AN113" i="8" s="1"/>
  <c r="AN114" i="8" s="1"/>
  <c r="AN115" i="8" s="1"/>
  <c r="AN116" i="8" s="1"/>
  <c r="AN117" i="8" s="1"/>
  <c r="AN118" i="8" s="1"/>
  <c r="AN119" i="8" s="1"/>
  <c r="AN120" i="8" s="1"/>
  <c r="AN121" i="8" s="1"/>
  <c r="AN122" i="8" s="1"/>
  <c r="AN123" i="8" s="1"/>
  <c r="AO71" i="8"/>
  <c r="AO72" i="8" s="1"/>
  <c r="AO73" i="8" s="1"/>
  <c r="AO74" i="8" s="1"/>
  <c r="AO75" i="8" s="1"/>
  <c r="AO76" i="8" s="1"/>
  <c r="AO77" i="8" s="1"/>
  <c r="AO78" i="8" s="1"/>
  <c r="AO79" i="8" s="1"/>
  <c r="AO80" i="8" s="1"/>
  <c r="AO81" i="8" s="1"/>
  <c r="AO82" i="8" s="1"/>
  <c r="AO83" i="8" s="1"/>
  <c r="AO84" i="8" s="1"/>
  <c r="AO85" i="8" s="1"/>
  <c r="AO86" i="8" s="1"/>
  <c r="AO87" i="8" s="1"/>
  <c r="AO88" i="8" s="1"/>
  <c r="AO89" i="8" s="1"/>
  <c r="AO90" i="8" s="1"/>
  <c r="AO91" i="8" s="1"/>
  <c r="AO92" i="8" s="1"/>
  <c r="AO93" i="8" s="1"/>
  <c r="AO94" i="8" s="1"/>
  <c r="AO95" i="8" s="1"/>
  <c r="AO96" i="8" s="1"/>
  <c r="AO97" i="8" s="1"/>
  <c r="AO98" i="8" s="1"/>
  <c r="AO99" i="8" s="1"/>
  <c r="AO100" i="8" s="1"/>
  <c r="AO101" i="8" s="1"/>
  <c r="AO102" i="8" s="1"/>
  <c r="AO103" i="8" s="1"/>
  <c r="AO104" i="8" s="1"/>
  <c r="AO105" i="8" s="1"/>
  <c r="AO106" i="8" s="1"/>
  <c r="AO107" i="8" s="1"/>
  <c r="AO108" i="8" s="1"/>
  <c r="AO109" i="8" s="1"/>
  <c r="AO110" i="8" s="1"/>
  <c r="AO111" i="8" s="1"/>
  <c r="AO112" i="8" s="1"/>
  <c r="AO113" i="8" s="1"/>
  <c r="AO114" i="8" s="1"/>
  <c r="AO115" i="8" s="1"/>
  <c r="AO116" i="8" s="1"/>
  <c r="AO117" i="8" s="1"/>
  <c r="AO118" i="8" s="1"/>
  <c r="AO119" i="8" s="1"/>
  <c r="AO120" i="8" s="1"/>
  <c r="AO121" i="8" s="1"/>
  <c r="AO122" i="8" s="1"/>
  <c r="AO123" i="8" s="1"/>
  <c r="AH71" i="8"/>
  <c r="AH72" i="8" s="1"/>
  <c r="AH73" i="8" s="1"/>
  <c r="AH74" i="8" s="1"/>
  <c r="AH75" i="8" s="1"/>
  <c r="AH76" i="8" s="1"/>
  <c r="AH77" i="8" s="1"/>
  <c r="AH78" i="8" s="1"/>
  <c r="AH79" i="8" s="1"/>
  <c r="AH80" i="8" s="1"/>
  <c r="AH81" i="8" s="1"/>
  <c r="AH82" i="8" s="1"/>
  <c r="AH83" i="8" s="1"/>
  <c r="AH84" i="8" s="1"/>
  <c r="AH85" i="8" s="1"/>
  <c r="AH86" i="8" s="1"/>
  <c r="AH87" i="8" s="1"/>
  <c r="AH88" i="8" s="1"/>
  <c r="AH89" i="8" s="1"/>
  <c r="AH90" i="8" s="1"/>
  <c r="AH91" i="8" s="1"/>
  <c r="AH92" i="8" s="1"/>
  <c r="AH93" i="8" s="1"/>
  <c r="AH94" i="8" s="1"/>
  <c r="AH95" i="8" s="1"/>
  <c r="AH96" i="8" s="1"/>
  <c r="AH97" i="8" s="1"/>
  <c r="AH98" i="8" s="1"/>
  <c r="AH99" i="8" s="1"/>
  <c r="AH100" i="8" s="1"/>
  <c r="AH101" i="8" s="1"/>
  <c r="AH102" i="8" s="1"/>
  <c r="AH103" i="8" s="1"/>
  <c r="AH104" i="8" s="1"/>
  <c r="AH105" i="8" s="1"/>
  <c r="AH106" i="8" s="1"/>
  <c r="AH107" i="8" s="1"/>
  <c r="AH108" i="8" s="1"/>
  <c r="AH109" i="8" s="1"/>
  <c r="AH110" i="8" s="1"/>
  <c r="AH111" i="8" s="1"/>
  <c r="AH112" i="8" s="1"/>
  <c r="AH113" i="8" s="1"/>
  <c r="AH114" i="8" s="1"/>
  <c r="AH115" i="8" s="1"/>
  <c r="AH116" i="8" s="1"/>
  <c r="AH117" i="8" s="1"/>
  <c r="AH118" i="8" s="1"/>
  <c r="AH119" i="8" s="1"/>
  <c r="AH120" i="8" s="1"/>
  <c r="AH121" i="8" s="1"/>
  <c r="AH122" i="8" s="1"/>
  <c r="AH123" i="8" s="1"/>
  <c r="AF71" i="8"/>
  <c r="AF72" i="8" s="1"/>
  <c r="AF73" i="8" s="1"/>
  <c r="AF74" i="8" s="1"/>
  <c r="AF75" i="8" s="1"/>
  <c r="AF76" i="8" s="1"/>
  <c r="AF77" i="8" s="1"/>
  <c r="AF78" i="8" s="1"/>
  <c r="AF79" i="8" s="1"/>
  <c r="AF80" i="8" s="1"/>
  <c r="AF81" i="8" s="1"/>
  <c r="AF82" i="8" s="1"/>
  <c r="AF83" i="8" s="1"/>
  <c r="AF84" i="8" s="1"/>
  <c r="AF85" i="8" s="1"/>
  <c r="AF86" i="8" s="1"/>
  <c r="AF87" i="8" s="1"/>
  <c r="AF88" i="8" s="1"/>
  <c r="AF89" i="8" s="1"/>
  <c r="AF90" i="8" s="1"/>
  <c r="AF91" i="8" s="1"/>
  <c r="AF92" i="8" s="1"/>
  <c r="AF93" i="8" s="1"/>
  <c r="AF94" i="8" s="1"/>
  <c r="AF95" i="8" s="1"/>
  <c r="AF96" i="8" s="1"/>
  <c r="AF97" i="8" s="1"/>
  <c r="AF98" i="8" s="1"/>
  <c r="AF99" i="8" s="1"/>
  <c r="AF100" i="8" s="1"/>
  <c r="AF101" i="8" s="1"/>
  <c r="AF102" i="8" s="1"/>
  <c r="AF103" i="8" s="1"/>
  <c r="AF104" i="8" s="1"/>
  <c r="AF105" i="8" s="1"/>
  <c r="AF106" i="8" s="1"/>
  <c r="AF107" i="8" s="1"/>
  <c r="AF108" i="8" s="1"/>
  <c r="AF109" i="8" s="1"/>
  <c r="AF110" i="8" s="1"/>
  <c r="AF111" i="8" s="1"/>
  <c r="AF112" i="8" s="1"/>
  <c r="AF113" i="8" s="1"/>
  <c r="AF114" i="8" s="1"/>
  <c r="AF115" i="8" s="1"/>
  <c r="AF116" i="8" s="1"/>
  <c r="AF117" i="8" s="1"/>
  <c r="AF118" i="8" s="1"/>
  <c r="AF119" i="8" s="1"/>
  <c r="AF120" i="8" s="1"/>
  <c r="AF121" i="8" s="1"/>
  <c r="AF122" i="8" s="1"/>
  <c r="AF123" i="8" s="1"/>
  <c r="AG71" i="8"/>
  <c r="AG72" i="8" s="1"/>
  <c r="AG73" i="8" s="1"/>
  <c r="AG74" i="8" s="1"/>
  <c r="AG75" i="8" s="1"/>
  <c r="AG76" i="8" s="1"/>
  <c r="AG77" i="8" s="1"/>
  <c r="AG78" i="8" s="1"/>
  <c r="AG79" i="8" s="1"/>
  <c r="AG80" i="8" s="1"/>
  <c r="AG81" i="8" s="1"/>
  <c r="AG82" i="8" s="1"/>
  <c r="AG83" i="8" s="1"/>
  <c r="AG84" i="8" s="1"/>
  <c r="AG85" i="8" s="1"/>
  <c r="AG86" i="8" s="1"/>
  <c r="AG87" i="8" s="1"/>
  <c r="AG88" i="8" s="1"/>
  <c r="AG89" i="8" s="1"/>
  <c r="AG90" i="8" s="1"/>
  <c r="AG91" i="8" s="1"/>
  <c r="AG92" i="8" s="1"/>
  <c r="AG93" i="8" s="1"/>
  <c r="AG94" i="8" s="1"/>
  <c r="AG95" i="8" s="1"/>
  <c r="AG96" i="8" s="1"/>
  <c r="AG97" i="8" s="1"/>
  <c r="AG98" i="8" s="1"/>
  <c r="AG99" i="8" s="1"/>
  <c r="AG100" i="8" s="1"/>
  <c r="AG101" i="8" s="1"/>
  <c r="AG102" i="8" s="1"/>
  <c r="AG103" i="8" s="1"/>
  <c r="AG104" i="8" s="1"/>
  <c r="AG105" i="8" s="1"/>
  <c r="AG106" i="8" s="1"/>
  <c r="AG107" i="8" s="1"/>
  <c r="AG108" i="8" s="1"/>
  <c r="AG109" i="8" s="1"/>
  <c r="AG110" i="8" s="1"/>
  <c r="AG111" i="8" s="1"/>
  <c r="AG112" i="8" s="1"/>
  <c r="AG113" i="8" s="1"/>
  <c r="AG114" i="8" s="1"/>
  <c r="AG115" i="8" s="1"/>
  <c r="AG116" i="8" s="1"/>
  <c r="AG117" i="8" s="1"/>
  <c r="AG118" i="8" s="1"/>
  <c r="AG119" i="8" s="1"/>
  <c r="AG120" i="8" s="1"/>
  <c r="AG121" i="8" s="1"/>
  <c r="AG122" i="8" s="1"/>
  <c r="AG123" i="8" s="1"/>
  <c r="S142" i="12"/>
  <c r="S117" i="12"/>
  <c r="S179" i="12"/>
  <c r="Z126" i="12"/>
  <c r="S156" i="12"/>
  <c r="S115" i="12"/>
  <c r="S107" i="12"/>
  <c r="Z178" i="12"/>
  <c r="S109" i="12"/>
  <c r="S149" i="12"/>
  <c r="S192" i="12"/>
  <c r="Z110" i="12"/>
  <c r="S199" i="12"/>
  <c r="S177" i="12"/>
  <c r="S135" i="12"/>
  <c r="Z160" i="12"/>
  <c r="Z173" i="12"/>
  <c r="Z138" i="12"/>
  <c r="S152" i="12"/>
  <c r="S140" i="12"/>
  <c r="S188" i="12"/>
  <c r="Z37" i="12"/>
  <c r="S37" i="12"/>
  <c r="S165" i="12"/>
  <c r="Z156" i="12"/>
  <c r="S183" i="12"/>
  <c r="Z158" i="12"/>
  <c r="Z168" i="12"/>
  <c r="Z171" i="12"/>
  <c r="Z166" i="12"/>
  <c r="Z202" i="12"/>
  <c r="S150" i="12"/>
  <c r="S202" i="12"/>
  <c r="S194" i="12"/>
  <c r="S49" i="12"/>
  <c r="Z49" i="12"/>
  <c r="S174" i="12"/>
  <c r="S116" i="12"/>
  <c r="S112" i="12"/>
  <c r="S190" i="12"/>
  <c r="S185" i="12"/>
  <c r="Z175" i="12"/>
  <c r="Z184" i="12"/>
  <c r="Z136" i="12"/>
  <c r="Z163" i="12"/>
  <c r="Z141" i="12"/>
  <c r="Z112" i="12"/>
  <c r="Z194" i="12"/>
  <c r="S167" i="12"/>
  <c r="S151" i="12"/>
  <c r="S130" i="12"/>
  <c r="S193" i="12"/>
  <c r="Z107" i="12"/>
  <c r="S163" i="12"/>
  <c r="Z197" i="12"/>
  <c r="Z206" i="12"/>
  <c r="Z152" i="12"/>
  <c r="S176" i="12"/>
  <c r="Z165" i="12"/>
  <c r="S160" i="12"/>
  <c r="S178" i="12"/>
  <c r="Z139" i="12"/>
  <c r="Z180" i="12"/>
  <c r="Z182" i="12"/>
  <c r="S146" i="12"/>
  <c r="S172" i="12"/>
  <c r="Z128" i="12"/>
  <c r="Z143" i="12"/>
  <c r="Z120" i="12"/>
  <c r="S138" i="12"/>
  <c r="Z135" i="12"/>
  <c r="S136" i="12"/>
  <c r="Z121" i="12"/>
  <c r="S133" i="12"/>
  <c r="Z150" i="12"/>
  <c r="Z127" i="12"/>
  <c r="Z119" i="12"/>
  <c r="Z130" i="12"/>
  <c r="S131" i="12"/>
  <c r="S148" i="12"/>
  <c r="Z137" i="12"/>
  <c r="S204" i="12"/>
  <c r="Z189" i="12"/>
  <c r="S118" i="12"/>
  <c r="S158" i="12"/>
  <c r="S79" i="12"/>
  <c r="Z79" i="12"/>
  <c r="S126" i="12"/>
  <c r="S168" i="12"/>
  <c r="S145" i="12"/>
  <c r="S189" i="12"/>
  <c r="S120" i="12"/>
  <c r="Z149" i="12"/>
  <c r="Z123" i="12"/>
  <c r="Z172" i="12"/>
  <c r="S147" i="12"/>
  <c r="S119" i="12"/>
  <c r="Z191" i="12"/>
  <c r="S159" i="12"/>
  <c r="Z155" i="12"/>
  <c r="S197" i="12"/>
  <c r="Z205" i="12"/>
  <c r="Z201" i="12"/>
  <c r="S173" i="12"/>
  <c r="Z170" i="12"/>
  <c r="S195" i="12"/>
  <c r="Z116" i="12"/>
  <c r="Z145" i="12"/>
  <c r="S184" i="12"/>
  <c r="S128" i="12"/>
  <c r="Z146" i="12"/>
  <c r="Z186" i="12"/>
  <c r="S196" i="12"/>
  <c r="Z154" i="12"/>
  <c r="Z199" i="12"/>
  <c r="S111" i="12"/>
  <c r="S114" i="12"/>
  <c r="S191" i="12"/>
  <c r="S201" i="12"/>
  <c r="Z147" i="12"/>
  <c r="Z203" i="12"/>
  <c r="S186" i="12"/>
  <c r="Z153" i="12"/>
  <c r="Z94" i="12"/>
  <c r="S94" i="12"/>
  <c r="S206" i="12"/>
  <c r="S153" i="12"/>
  <c r="S181" i="12"/>
  <c r="S162" i="12"/>
  <c r="Z192" i="12"/>
  <c r="S125" i="12"/>
  <c r="Z179" i="12"/>
  <c r="Z187" i="12"/>
  <c r="Z134" i="12"/>
  <c r="Z111" i="12"/>
  <c r="S157" i="12"/>
  <c r="Z117" i="12"/>
  <c r="Z73" i="12"/>
  <c r="S73" i="12"/>
  <c r="S132" i="12"/>
  <c r="S166" i="12"/>
  <c r="Z188" i="12"/>
  <c r="S124" i="12"/>
  <c r="S144" i="12"/>
  <c r="Z144" i="12"/>
  <c r="S110" i="12"/>
  <c r="S203" i="12"/>
  <c r="S134" i="12"/>
  <c r="Z177" i="12"/>
  <c r="Z108" i="12"/>
  <c r="S180" i="12"/>
  <c r="S164" i="12"/>
  <c r="Z195" i="12"/>
  <c r="S161" i="12"/>
  <c r="Z109" i="12"/>
  <c r="S154" i="12"/>
  <c r="S139" i="12"/>
  <c r="Z148" i="12"/>
  <c r="Z157" i="12"/>
  <c r="Z204" i="12"/>
  <c r="S108" i="12"/>
  <c r="S137" i="12"/>
  <c r="Z142" i="12"/>
  <c r="Z169" i="12"/>
  <c r="Z133" i="12"/>
  <c r="S198" i="12"/>
  <c r="S129" i="12"/>
  <c r="S87" i="12"/>
  <c r="Z87" i="12"/>
  <c r="Z196" i="12"/>
  <c r="Z159" i="12"/>
  <c r="S122" i="12"/>
  <c r="Z174" i="12"/>
  <c r="Z164" i="12"/>
  <c r="S205" i="12"/>
  <c r="S143" i="12"/>
  <c r="S113" i="12"/>
  <c r="Z115" i="12"/>
  <c r="S170" i="12"/>
  <c r="Z63" i="12"/>
  <c r="S63" i="12"/>
  <c r="Z181" i="12"/>
  <c r="S121" i="12"/>
  <c r="Z183" i="12"/>
  <c r="Z198" i="12"/>
  <c r="Z124" i="12"/>
  <c r="S187" i="12"/>
  <c r="Z185" i="12"/>
  <c r="Z118" i="12"/>
  <c r="S123" i="12"/>
  <c r="S141" i="12"/>
  <c r="Z131" i="12"/>
  <c r="Z122" i="12"/>
  <c r="Z95" i="12"/>
  <c r="S95" i="12"/>
  <c r="S200" i="12"/>
  <c r="Z113" i="12"/>
  <c r="Z193" i="12"/>
  <c r="Z162" i="12"/>
  <c r="Z200" i="12"/>
  <c r="Z132" i="12"/>
  <c r="Z161" i="12"/>
  <c r="S127" i="12"/>
  <c r="S175" i="12"/>
  <c r="S169" i="12"/>
  <c r="S182" i="12"/>
  <c r="Z140" i="12"/>
  <c r="Z125" i="12"/>
  <c r="Z176" i="12"/>
  <c r="Z167" i="12"/>
  <c r="Z129" i="12"/>
  <c r="S171" i="12"/>
  <c r="Z114" i="12"/>
  <c r="T42" i="12"/>
  <c r="AA42" i="12"/>
  <c r="Z151" i="12"/>
  <c r="S155" i="12"/>
  <c r="Z190" i="12"/>
  <c r="M14" i="8"/>
  <c r="M77" i="12" l="1"/>
  <c r="M88" i="12"/>
  <c r="M67" i="12"/>
  <c r="M34" i="12"/>
  <c r="M80" i="12"/>
  <c r="M89" i="12"/>
  <c r="M38" i="12"/>
  <c r="M31" i="12"/>
  <c r="M10" i="12"/>
  <c r="M72" i="12"/>
  <c r="M53" i="12"/>
  <c r="M43" i="12"/>
  <c r="M9" i="12"/>
  <c r="M46" i="12"/>
  <c r="M27" i="12"/>
  <c r="E59" i="10"/>
  <c r="L59" i="10" s="1"/>
  <c r="E115" i="10"/>
  <c r="L115" i="10" s="1"/>
  <c r="E113" i="10"/>
  <c r="L113" i="10" s="1"/>
  <c r="M75" i="12"/>
  <c r="M23" i="12"/>
  <c r="M101" i="12"/>
  <c r="M64" i="12"/>
  <c r="M86" i="12"/>
  <c r="M99" i="12"/>
  <c r="M98" i="12"/>
  <c r="M68" i="12"/>
  <c r="M40" i="12"/>
  <c r="M58" i="12"/>
  <c r="M18" i="12"/>
  <c r="E71" i="10"/>
  <c r="L71" i="10" s="1"/>
  <c r="E43" i="10"/>
  <c r="L43" i="10" s="1"/>
  <c r="M84" i="12"/>
  <c r="M41" i="12"/>
  <c r="E30" i="10"/>
  <c r="L30" i="10" s="1"/>
  <c r="M50" i="12"/>
  <c r="M25" i="12"/>
  <c r="E27" i="10"/>
  <c r="L27" i="10" s="1"/>
  <c r="M91" i="12"/>
  <c r="M14" i="12"/>
  <c r="M22" i="12"/>
  <c r="M103" i="12"/>
  <c r="M69" i="12"/>
  <c r="E51" i="10"/>
  <c r="L51" i="10" s="1"/>
  <c r="M57" i="12"/>
  <c r="E89" i="10"/>
  <c r="L89" i="10" s="1"/>
  <c r="M6" i="12"/>
  <c r="M76" i="12"/>
  <c r="M47" i="12"/>
  <c r="M74" i="12"/>
  <c r="E116" i="10"/>
  <c r="L116" i="10" s="1"/>
  <c r="E65" i="10"/>
  <c r="L65" i="10" s="1"/>
  <c r="M95" i="12"/>
  <c r="M63" i="12"/>
  <c r="M87" i="12"/>
  <c r="M73" i="12"/>
  <c r="M94" i="12"/>
  <c r="M79" i="12"/>
  <c r="M49" i="12"/>
  <c r="M37" i="12"/>
  <c r="G529" i="8"/>
  <c r="AA9" i="12"/>
  <c r="T9" i="12"/>
  <c r="T46" i="12"/>
  <c r="AA46" i="12"/>
  <c r="T6" i="12"/>
  <c r="AA6" i="12"/>
  <c r="T27" i="12"/>
  <c r="AA27" i="12"/>
  <c r="T76" i="12"/>
  <c r="AA76" i="12"/>
  <c r="T75" i="12"/>
  <c r="AA75" i="12"/>
  <c r="T23" i="12"/>
  <c r="AA23" i="12"/>
  <c r="AA101" i="12"/>
  <c r="T101" i="12"/>
  <c r="AA89" i="12"/>
  <c r="T89" i="12"/>
  <c r="AA91" i="12"/>
  <c r="T91" i="12"/>
  <c r="T38" i="12"/>
  <c r="AA38" i="12"/>
  <c r="AA14" i="12"/>
  <c r="T14" i="12"/>
  <c r="T99" i="12"/>
  <c r="AA99" i="12"/>
  <c r="T22" i="12"/>
  <c r="AA22" i="12"/>
  <c r="AA98" i="12"/>
  <c r="T98" i="12"/>
  <c r="T103" i="12"/>
  <c r="AA103" i="12"/>
  <c r="AA72" i="12"/>
  <c r="T72" i="12"/>
  <c r="AA69" i="12"/>
  <c r="T69" i="12"/>
  <c r="T53" i="12"/>
  <c r="AA53" i="12"/>
  <c r="T58" i="12"/>
  <c r="AA58" i="12"/>
  <c r="T84" i="12"/>
  <c r="AA84" i="12"/>
  <c r="T47" i="12"/>
  <c r="AA47" i="12"/>
  <c r="T77" i="12"/>
  <c r="AA77" i="12"/>
  <c r="AA41" i="12"/>
  <c r="T41" i="12"/>
  <c r="T74" i="12"/>
  <c r="AA74" i="12"/>
  <c r="T88" i="12"/>
  <c r="AA88" i="12"/>
  <c r="AA67" i="12"/>
  <c r="T67" i="12"/>
  <c r="T50" i="12"/>
  <c r="AA50" i="12"/>
  <c r="T34" i="12"/>
  <c r="AA34" i="12"/>
  <c r="AA25" i="12"/>
  <c r="T25" i="12"/>
  <c r="T80" i="12"/>
  <c r="AA80" i="12"/>
  <c r="T64" i="12"/>
  <c r="AA64" i="12"/>
  <c r="AA86" i="12"/>
  <c r="T86" i="12"/>
  <c r="AA31" i="12"/>
  <c r="T31" i="12"/>
  <c r="AA10" i="12"/>
  <c r="T10" i="12"/>
  <c r="T68" i="12"/>
  <c r="AA68" i="12"/>
  <c r="T40" i="12"/>
  <c r="AA40" i="12"/>
  <c r="T43" i="12"/>
  <c r="AA43" i="12"/>
  <c r="AA57" i="12"/>
  <c r="T57" i="12"/>
  <c r="T18" i="12"/>
  <c r="AA18" i="12"/>
  <c r="AA121" i="12"/>
  <c r="T186" i="12"/>
  <c r="AA206" i="12"/>
  <c r="AA182" i="12"/>
  <c r="AA167" i="12"/>
  <c r="AA131" i="12"/>
  <c r="AA164" i="12"/>
  <c r="T154" i="12"/>
  <c r="T132" i="12"/>
  <c r="AA147" i="12"/>
  <c r="T173" i="12"/>
  <c r="T126" i="12"/>
  <c r="T138" i="12"/>
  <c r="T163" i="12"/>
  <c r="T116" i="12"/>
  <c r="AA138" i="12"/>
  <c r="T117" i="12"/>
  <c r="AA176" i="12"/>
  <c r="T141" i="12"/>
  <c r="AA174" i="12"/>
  <c r="AA109" i="12"/>
  <c r="AA117" i="12"/>
  <c r="T201" i="12"/>
  <c r="AA201" i="12"/>
  <c r="T158" i="12"/>
  <c r="AA120" i="12"/>
  <c r="AA107" i="12"/>
  <c r="T174" i="12"/>
  <c r="AA173" i="12"/>
  <c r="T142" i="12"/>
  <c r="AA125" i="12"/>
  <c r="T123" i="12"/>
  <c r="T122" i="12"/>
  <c r="T161" i="12"/>
  <c r="T157" i="12"/>
  <c r="T191" i="12"/>
  <c r="AA205" i="12"/>
  <c r="T118" i="12"/>
  <c r="AA143" i="12"/>
  <c r="T193" i="12"/>
  <c r="T194" i="12"/>
  <c r="AA160" i="12"/>
  <c r="AA140" i="12"/>
  <c r="AA118" i="12"/>
  <c r="AA159" i="12"/>
  <c r="AA195" i="12"/>
  <c r="AA111" i="12"/>
  <c r="T197" i="12"/>
  <c r="AA189" i="12"/>
  <c r="AA128" i="12"/>
  <c r="T130" i="12"/>
  <c r="T202" i="12"/>
  <c r="T135" i="12"/>
  <c r="T182" i="12"/>
  <c r="AA185" i="12"/>
  <c r="T164" i="12"/>
  <c r="AA134" i="12"/>
  <c r="AA155" i="12"/>
  <c r="T204" i="12"/>
  <c r="T151" i="12"/>
  <c r="T177" i="12"/>
  <c r="T169" i="12"/>
  <c r="T129" i="12"/>
  <c r="T159" i="12"/>
  <c r="T199" i="12"/>
  <c r="T198" i="12"/>
  <c r="T148" i="12"/>
  <c r="T73" i="12"/>
  <c r="AA73" i="12"/>
  <c r="T114" i="12"/>
  <c r="T95" i="12"/>
  <c r="AA95" i="12"/>
  <c r="AA196" i="12"/>
  <c r="T111" i="12"/>
  <c r="T172" i="12"/>
  <c r="T150" i="12"/>
  <c r="AA63" i="12"/>
  <c r="T63" i="12"/>
  <c r="T187" i="12"/>
  <c r="T167" i="12"/>
  <c r="AA108" i="12"/>
  <c r="AA166" i="12"/>
  <c r="T127" i="12"/>
  <c r="AA198" i="12"/>
  <c r="AA133" i="12"/>
  <c r="AA177" i="12"/>
  <c r="T125" i="12"/>
  <c r="T196" i="12"/>
  <c r="T119" i="12"/>
  <c r="T131" i="12"/>
  <c r="AA180" i="12"/>
  <c r="AA112" i="12"/>
  <c r="AA171" i="12"/>
  <c r="T192" i="12"/>
  <c r="AA94" i="12"/>
  <c r="T94" i="12"/>
  <c r="AA181" i="12"/>
  <c r="T128" i="12"/>
  <c r="T160" i="12"/>
  <c r="T183" i="12"/>
  <c r="T155" i="12"/>
  <c r="T108" i="12"/>
  <c r="T184" i="12"/>
  <c r="AA165" i="12"/>
  <c r="T107" i="12"/>
  <c r="AA193" i="12"/>
  <c r="AA204" i="12"/>
  <c r="T206" i="12"/>
  <c r="T120" i="12"/>
  <c r="T176" i="12"/>
  <c r="T165" i="12"/>
  <c r="AA116" i="12"/>
  <c r="T185" i="12"/>
  <c r="T156" i="12"/>
  <c r="T171" i="12"/>
  <c r="T200" i="12"/>
  <c r="AA148" i="12"/>
  <c r="AA188" i="12"/>
  <c r="T145" i="12"/>
  <c r="T190" i="12"/>
  <c r="AA122" i="12"/>
  <c r="T166" i="12"/>
  <c r="AA170" i="12"/>
  <c r="AA197" i="12"/>
  <c r="T179" i="12"/>
  <c r="AA199" i="12"/>
  <c r="AA202" i="12"/>
  <c r="AA124" i="12"/>
  <c r="AA191" i="12"/>
  <c r="AA161" i="12"/>
  <c r="AA183" i="12"/>
  <c r="AA169" i="12"/>
  <c r="T134" i="12"/>
  <c r="AA192" i="12"/>
  <c r="AA186" i="12"/>
  <c r="T147" i="12"/>
  <c r="AA130" i="12"/>
  <c r="AA139" i="12"/>
  <c r="AA141" i="12"/>
  <c r="AA168" i="12"/>
  <c r="T149" i="12"/>
  <c r="T79" i="12"/>
  <c r="AA79" i="12"/>
  <c r="AA49" i="12"/>
  <c r="T49" i="12"/>
  <c r="AA190" i="12"/>
  <c r="T137" i="12"/>
  <c r="T181" i="12"/>
  <c r="AA127" i="12"/>
  <c r="AA178" i="12"/>
  <c r="AA162" i="12"/>
  <c r="AA144" i="12"/>
  <c r="AA149" i="12"/>
  <c r="AA184" i="12"/>
  <c r="T143" i="12"/>
  <c r="T195" i="12"/>
  <c r="T136" i="12"/>
  <c r="AA126" i="12"/>
  <c r="T205" i="12"/>
  <c r="AA203" i="12"/>
  <c r="AA135" i="12"/>
  <c r="T152" i="12"/>
  <c r="AA187" i="12"/>
  <c r="T146" i="12"/>
  <c r="T175" i="12"/>
  <c r="AA154" i="12"/>
  <c r="AA110" i="12"/>
  <c r="AA132" i="12"/>
  <c r="T121" i="12"/>
  <c r="AA142" i="12"/>
  <c r="T203" i="12"/>
  <c r="T162" i="12"/>
  <c r="AA146" i="12"/>
  <c r="AA172" i="12"/>
  <c r="AA119" i="12"/>
  <c r="T178" i="12"/>
  <c r="AA163" i="12"/>
  <c r="AA158" i="12"/>
  <c r="T109" i="12"/>
  <c r="AA200" i="12"/>
  <c r="T110" i="12"/>
  <c r="AA123" i="12"/>
  <c r="AA136" i="12"/>
  <c r="AA37" i="12"/>
  <c r="T37" i="12"/>
  <c r="T170" i="12"/>
  <c r="T153" i="12"/>
  <c r="AA150" i="12"/>
  <c r="AA156" i="12"/>
  <c r="AA151" i="12"/>
  <c r="AA115" i="12"/>
  <c r="T144" i="12"/>
  <c r="AA145" i="12"/>
  <c r="T133" i="12"/>
  <c r="AA175" i="12"/>
  <c r="T115" i="12"/>
  <c r="AA114" i="12"/>
  <c r="AA113" i="12"/>
  <c r="T113" i="12"/>
  <c r="AA157" i="12"/>
  <c r="T124" i="12"/>
  <c r="AA153" i="12"/>
  <c r="T189" i="12"/>
  <c r="AA152" i="12"/>
  <c r="T188" i="12"/>
  <c r="T140" i="12"/>
  <c r="AA129" i="12"/>
  <c r="T139" i="12"/>
  <c r="T168" i="12"/>
  <c r="T112" i="12"/>
  <c r="T180" i="12"/>
  <c r="AA137" i="12"/>
  <c r="T87" i="12"/>
  <c r="AA87" i="12"/>
  <c r="AA179" i="12"/>
  <c r="AA194" i="12"/>
  <c r="M15" i="8"/>
  <c r="E41" i="10" l="1"/>
  <c r="L41" i="10" s="1"/>
  <c r="E80" i="10"/>
  <c r="L80" i="10" s="1"/>
  <c r="E66" i="10"/>
  <c r="L66" i="10" s="1"/>
  <c r="E63" i="10"/>
  <c r="L63" i="10" s="1"/>
  <c r="E91" i="10"/>
  <c r="L91" i="10" s="1"/>
  <c r="E33" i="10"/>
  <c r="L33" i="10" s="1"/>
  <c r="E54" i="10"/>
  <c r="L54" i="10" s="1"/>
  <c r="E109" i="10"/>
  <c r="L109" i="10" s="1"/>
  <c r="E87" i="10"/>
  <c r="L87" i="10" s="1"/>
  <c r="M94" i="10"/>
  <c r="M74" i="10"/>
  <c r="M115" i="10"/>
  <c r="M40" i="10"/>
  <c r="M84" i="10"/>
  <c r="M116" i="10"/>
  <c r="M34" i="10"/>
  <c r="M112" i="10"/>
  <c r="M37" i="10"/>
  <c r="M96" i="10"/>
  <c r="M88" i="10"/>
  <c r="M99" i="10"/>
  <c r="M124" i="10"/>
  <c r="M91" i="10"/>
  <c r="M71" i="10"/>
  <c r="M113" i="10"/>
  <c r="M47" i="10"/>
  <c r="M54" i="10"/>
  <c r="M46" i="10"/>
  <c r="M67" i="10"/>
  <c r="M97" i="10"/>
  <c r="M68" i="10"/>
  <c r="M59" i="10"/>
  <c r="M109" i="10"/>
  <c r="M80" i="10"/>
  <c r="M35" i="10"/>
  <c r="M72" i="10"/>
  <c r="M121" i="10"/>
  <c r="M105" i="10"/>
  <c r="M51" i="10"/>
  <c r="M89" i="10"/>
  <c r="M52" i="10"/>
  <c r="M43" i="10"/>
  <c r="M101" i="10"/>
  <c r="M27" i="10"/>
  <c r="M92" i="10"/>
  <c r="M31" i="10"/>
  <c r="M30" i="10"/>
  <c r="M81" i="10"/>
  <c r="M36" i="10"/>
  <c r="M122" i="10"/>
  <c r="M93" i="10"/>
  <c r="M60" i="10"/>
  <c r="M86" i="10"/>
  <c r="M126" i="10"/>
  <c r="M73" i="10"/>
  <c r="M28" i="10"/>
  <c r="M114" i="10"/>
  <c r="M85" i="10"/>
  <c r="M44" i="10"/>
  <c r="M48" i="10"/>
  <c r="M119" i="10"/>
  <c r="M41" i="10"/>
  <c r="M55" i="10"/>
  <c r="M111" i="10"/>
  <c r="M50" i="10"/>
  <c r="M123" i="10"/>
  <c r="M103" i="10"/>
  <c r="M29" i="10"/>
  <c r="M70" i="10"/>
  <c r="M56" i="10"/>
  <c r="M107" i="10"/>
  <c r="M64" i="10"/>
  <c r="M87" i="10"/>
  <c r="M53" i="10"/>
  <c r="M62" i="10"/>
  <c r="M117" i="10"/>
  <c r="M78" i="10"/>
  <c r="M63" i="10"/>
  <c r="M61" i="10"/>
  <c r="M79" i="10"/>
  <c r="M100" i="10"/>
  <c r="M75" i="10"/>
  <c r="M125" i="10"/>
  <c r="M38" i="10"/>
  <c r="M118" i="10"/>
  <c r="M58" i="10"/>
  <c r="M65" i="10"/>
  <c r="M106" i="10"/>
  <c r="M77" i="10"/>
  <c r="M32" i="10"/>
  <c r="M110" i="10"/>
  <c r="M42" i="10"/>
  <c r="M49" i="10"/>
  <c r="M98" i="10"/>
  <c r="M69" i="10"/>
  <c r="M57" i="10"/>
  <c r="M102" i="10"/>
  <c r="M33" i="10"/>
  <c r="M90" i="10"/>
  <c r="M66" i="10"/>
  <c r="M82" i="10"/>
  <c r="M39" i="10"/>
  <c r="M95" i="10"/>
  <c r="M108" i="10"/>
  <c r="M120" i="10"/>
  <c r="M45" i="10"/>
  <c r="M83" i="10"/>
  <c r="M104" i="10"/>
  <c r="M76" i="10"/>
  <c r="E103" i="10"/>
  <c r="L103" i="10" s="1"/>
  <c r="E48" i="10"/>
  <c r="L48" i="10" s="1"/>
  <c r="E57" i="10"/>
  <c r="L57" i="10" s="1"/>
  <c r="E73" i="10"/>
  <c r="L73" i="10" s="1"/>
  <c r="E90" i="10"/>
  <c r="L90" i="10" s="1"/>
  <c r="E111" i="10"/>
  <c r="L111" i="10" s="1"/>
  <c r="E97" i="10"/>
  <c r="L97" i="10" s="1"/>
  <c r="E64" i="10"/>
  <c r="L64" i="10" s="1"/>
  <c r="E100" i="10"/>
  <c r="L100" i="10" s="1"/>
  <c r="E70" i="10"/>
  <c r="L70" i="10" s="1"/>
  <c r="E107" i="10"/>
  <c r="L107" i="10" s="1"/>
  <c r="E81" i="10"/>
  <c r="L81" i="10" s="1"/>
  <c r="E76" i="10"/>
  <c r="L76" i="10" s="1"/>
  <c r="E92" i="10"/>
  <c r="L92" i="10" s="1"/>
  <c r="E95" i="10"/>
  <c r="L95" i="10" s="1"/>
  <c r="E126" i="10"/>
  <c r="L126" i="10" s="1"/>
  <c r="E121" i="10"/>
  <c r="L121" i="10" s="1"/>
  <c r="E45" i="10"/>
  <c r="L45" i="10" s="1"/>
  <c r="E122" i="10"/>
  <c r="L122" i="10" s="1"/>
  <c r="E37" i="10"/>
  <c r="L37" i="10" s="1"/>
  <c r="E61" i="10"/>
  <c r="L61" i="10" s="1"/>
  <c r="E114" i="10"/>
  <c r="L114" i="10" s="1"/>
  <c r="E112" i="10"/>
  <c r="L112" i="10" s="1"/>
  <c r="E124" i="10"/>
  <c r="L124" i="10" s="1"/>
  <c r="E46" i="10"/>
  <c r="L46" i="10" s="1"/>
  <c r="E98" i="10"/>
  <c r="L98" i="10" s="1"/>
  <c r="E99" i="10"/>
  <c r="L99" i="10" s="1"/>
  <c r="E50" i="10"/>
  <c r="L50" i="10" s="1"/>
  <c r="E29" i="10"/>
  <c r="L29" i="10" s="1"/>
  <c r="E69" i="10"/>
  <c r="L69" i="10" s="1"/>
  <c r="E32" i="10"/>
  <c r="L32" i="10" s="1"/>
  <c r="E110" i="10"/>
  <c r="L110" i="10" s="1"/>
  <c r="E60" i="10"/>
  <c r="L60" i="10" s="1"/>
  <c r="E72" i="10"/>
  <c r="L72" i="10" s="1"/>
  <c r="E102" i="10"/>
  <c r="L102" i="10" s="1"/>
  <c r="E117" i="10"/>
  <c r="L117" i="10" s="1"/>
  <c r="E86" i="10"/>
  <c r="L86" i="10" s="1"/>
  <c r="E118" i="10"/>
  <c r="L118" i="10" s="1"/>
  <c r="E96" i="10"/>
  <c r="L96" i="10" s="1"/>
  <c r="G530" i="8"/>
  <c r="M16" i="8"/>
  <c r="AA10" i="10" l="1"/>
  <c r="Q32" i="10"/>
  <c r="Q35" i="10" s="1"/>
  <c r="Q37" i="10" s="1"/>
  <c r="Q33" i="10"/>
  <c r="Q36" i="10" s="1"/>
  <c r="AA9" i="10"/>
  <c r="G531" i="8"/>
  <c r="M17" i="8"/>
  <c r="R36" i="10" l="1"/>
  <c r="S36" i="10"/>
  <c r="Q38" i="10"/>
  <c r="S37" i="10"/>
  <c r="R37" i="10"/>
  <c r="G532" i="8"/>
  <c r="M18" i="8"/>
  <c r="Q39" i="10" l="1"/>
  <c r="S38" i="10"/>
  <c r="R38" i="10"/>
  <c r="G533" i="8"/>
  <c r="M19" i="8"/>
  <c r="Q40" i="10" l="1"/>
  <c r="S39" i="10"/>
  <c r="R39" i="10"/>
  <c r="G534" i="8"/>
  <c r="M20" i="8"/>
  <c r="Q41" i="10" l="1"/>
  <c r="R40" i="10"/>
  <c r="G535" i="8"/>
  <c r="M21" i="8"/>
  <c r="S40" i="10" l="1"/>
  <c r="Q42" i="10"/>
  <c r="S41" i="10"/>
  <c r="R41" i="10"/>
  <c r="G536" i="8"/>
  <c r="M22" i="8"/>
  <c r="Q43" i="10" l="1"/>
  <c r="R42" i="10"/>
  <c r="G537" i="8"/>
  <c r="M23" i="8"/>
  <c r="S42" i="10" l="1"/>
  <c r="Q44" i="10"/>
  <c r="S43" i="10"/>
  <c r="R43" i="10"/>
  <c r="G538" i="8"/>
  <c r="M24" i="8"/>
  <c r="Q45" i="10" l="1"/>
  <c r="R44" i="10"/>
  <c r="S44" i="10"/>
  <c r="G539" i="8"/>
  <c r="M25" i="8"/>
  <c r="Q46" i="10" l="1"/>
  <c r="R45" i="10"/>
  <c r="S45" i="10"/>
  <c r="G540" i="8"/>
  <c r="M26" i="8"/>
  <c r="Q47" i="10" l="1"/>
  <c r="S46" i="10"/>
  <c r="R46" i="10"/>
  <c r="G541" i="8"/>
  <c r="M27" i="8"/>
  <c r="Q48" i="10" l="1"/>
  <c r="R47" i="10"/>
  <c r="S47" i="10"/>
  <c r="G542" i="8"/>
  <c r="M28" i="8"/>
  <c r="Q49" i="10" l="1"/>
  <c r="S48" i="10"/>
  <c r="R48" i="10"/>
  <c r="G543" i="8"/>
  <c r="M29" i="8"/>
  <c r="Q50" i="10" l="1"/>
  <c r="R49" i="10"/>
  <c r="S49" i="10"/>
  <c r="G544" i="8"/>
  <c r="M30" i="8"/>
  <c r="Q51" i="10" l="1"/>
  <c r="R50" i="10"/>
  <c r="G545" i="8"/>
  <c r="M31" i="8"/>
  <c r="S50" i="10" l="1"/>
  <c r="Q52" i="10"/>
  <c r="R51" i="10"/>
  <c r="S51" i="10"/>
  <c r="G546" i="8"/>
  <c r="M32" i="8"/>
  <c r="Q53" i="10" l="1"/>
  <c r="S52" i="10"/>
  <c r="R52" i="10"/>
  <c r="G547" i="8"/>
  <c r="M33" i="8"/>
  <c r="Q54" i="10" l="1"/>
  <c r="R53" i="10"/>
  <c r="S53" i="10"/>
  <c r="G548" i="8"/>
  <c r="M34" i="8"/>
  <c r="Q55" i="10" l="1"/>
  <c r="R54" i="10"/>
  <c r="S54" i="10"/>
  <c r="G549" i="8"/>
  <c r="M35" i="8"/>
  <c r="Q56" i="10" l="1"/>
  <c r="R55" i="10"/>
  <c r="G550" i="8"/>
  <c r="M36" i="8"/>
  <c r="Q57" i="10" l="1"/>
  <c r="S56" i="10"/>
  <c r="R56" i="10"/>
  <c r="S55" i="10"/>
  <c r="G551" i="8"/>
  <c r="M37" i="8"/>
  <c r="Q58" i="10" l="1"/>
  <c r="R57" i="10"/>
  <c r="G552" i="8"/>
  <c r="M38" i="8"/>
  <c r="S57" i="10" l="1"/>
  <c r="Q59" i="10"/>
  <c r="S58" i="10"/>
  <c r="R58" i="10"/>
  <c r="G553" i="8"/>
  <c r="M39" i="8"/>
  <c r="Q60" i="10" l="1"/>
  <c r="R59" i="10"/>
  <c r="S59" i="10"/>
  <c r="G554" i="8"/>
  <c r="M40" i="8"/>
  <c r="Q61" i="10" l="1"/>
  <c r="R60" i="10"/>
  <c r="S60" i="10"/>
  <c r="G555" i="8"/>
  <c r="M41" i="8"/>
  <c r="Q62" i="10" l="1"/>
  <c r="R61" i="10"/>
  <c r="G556" i="8"/>
  <c r="M42" i="8"/>
  <c r="S61" i="10" l="1"/>
  <c r="Q63" i="10"/>
  <c r="S62" i="10"/>
  <c r="R62" i="10"/>
  <c r="G557" i="8"/>
  <c r="M43" i="8"/>
  <c r="Q64" i="10" l="1"/>
  <c r="R63" i="10"/>
  <c r="G558" i="8"/>
  <c r="M44" i="8"/>
  <c r="S63" i="10" l="1"/>
  <c r="Q65" i="10"/>
  <c r="S64" i="10"/>
  <c r="G559" i="8"/>
  <c r="M45" i="8"/>
  <c r="Q66" i="10" l="1"/>
  <c r="R65" i="10"/>
  <c r="R64" i="10"/>
  <c r="G560" i="8"/>
  <c r="M46" i="8"/>
  <c r="S65" i="10" l="1"/>
  <c r="R66" i="10"/>
  <c r="R67" i="10" s="1"/>
  <c r="S66" i="10"/>
  <c r="S67" i="10" s="1"/>
  <c r="G561" i="8"/>
  <c r="M47" i="8"/>
  <c r="G562" i="8" l="1"/>
  <c r="M48" i="8"/>
  <c r="G563" i="8" l="1"/>
  <c r="M49" i="8"/>
  <c r="G564" i="8" l="1"/>
  <c r="M50" i="8"/>
  <c r="G565" i="8" l="1"/>
  <c r="M51" i="8"/>
  <c r="G566" i="8" l="1"/>
  <c r="M52" i="8"/>
  <c r="G567" i="8" l="1"/>
  <c r="M53" i="8"/>
  <c r="G568" i="8" l="1"/>
  <c r="M54" i="8"/>
  <c r="G569" i="8" l="1"/>
  <c r="M55" i="8"/>
  <c r="G570" i="8" l="1"/>
  <c r="M56" i="8"/>
  <c r="G571" i="8" l="1"/>
  <c r="M57" i="8"/>
  <c r="G572" i="8" l="1"/>
  <c r="M58" i="8"/>
  <c r="G573" i="8" l="1"/>
  <c r="M59" i="8"/>
  <c r="G574" i="8" l="1"/>
  <c r="M60" i="8"/>
  <c r="G575" i="8" l="1"/>
  <c r="M61" i="8"/>
  <c r="G576" i="8" l="1"/>
  <c r="M62" i="8"/>
  <c r="G577" i="8" l="1"/>
  <c r="M63" i="8"/>
  <c r="G578" i="8" l="1"/>
  <c r="M64" i="8"/>
  <c r="G579" i="8" l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G602" i="8" s="1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G616" i="8" s="1"/>
  <c r="G617" i="8" s="1"/>
  <c r="G618" i="8" s="1"/>
  <c r="G619" i="8" s="1"/>
  <c r="G620" i="8" s="1"/>
  <c r="G621" i="8" s="1"/>
  <c r="G622" i="8" s="1"/>
  <c r="G623" i="8" s="1"/>
  <c r="G624" i="8" s="1"/>
  <c r="G625" i="8" s="1"/>
  <c r="G626" i="8" s="1"/>
  <c r="G627" i="8" s="1"/>
  <c r="G628" i="8" s="1"/>
  <c r="G629" i="8" s="1"/>
  <c r="G630" i="8" s="1"/>
  <c r="G631" i="8" s="1"/>
  <c r="G632" i="8" s="1"/>
  <c r="G633" i="8" s="1"/>
  <c r="G634" i="8" s="1"/>
  <c r="G635" i="8" s="1"/>
  <c r="G636" i="8" s="1"/>
  <c r="G637" i="8" s="1"/>
  <c r="G638" i="8" s="1"/>
  <c r="G639" i="8" s="1"/>
  <c r="G640" i="8" s="1"/>
  <c r="G641" i="8" s="1"/>
  <c r="G642" i="8" s="1"/>
  <c r="G643" i="8" s="1"/>
  <c r="G644" i="8" s="1"/>
  <c r="G645" i="8" s="1"/>
  <c r="G646" i="8" s="1"/>
  <c r="G647" i="8" s="1"/>
  <c r="G648" i="8" s="1"/>
  <c r="G649" i="8" s="1"/>
  <c r="G650" i="8" s="1"/>
  <c r="G651" i="8" s="1"/>
  <c r="G652" i="8" s="1"/>
  <c r="G653" i="8" s="1"/>
  <c r="G654" i="8" s="1"/>
  <c r="G655" i="8" s="1"/>
  <c r="G656" i="8" s="1"/>
</calcChain>
</file>

<file path=xl/sharedStrings.xml><?xml version="1.0" encoding="utf-8"?>
<sst xmlns="http://schemas.openxmlformats.org/spreadsheetml/2006/main" count="240" uniqueCount="116">
  <si>
    <t>戦略に関する情報</t>
    <rPh sb="0" eb="2">
      <t>センリャク</t>
    </rPh>
    <rPh sb="3" eb="4">
      <t>カン</t>
    </rPh>
    <rPh sb="6" eb="8">
      <t>ジョウホウ</t>
    </rPh>
    <phoneticPr fontId="2"/>
  </si>
  <si>
    <t>バックテストの結果</t>
    <rPh sb="7" eb="9">
      <t>ケッカ</t>
    </rPh>
    <phoneticPr fontId="2"/>
  </si>
  <si>
    <t>[1]分析の前提</t>
    <rPh sb="3" eb="5">
      <t>ブンセキ</t>
    </rPh>
    <rPh sb="6" eb="8">
      <t>ゼンテイ</t>
    </rPh>
    <phoneticPr fontId="2"/>
  </si>
  <si>
    <t>分析期間</t>
    <rPh sb="0" eb="2">
      <t>ブンセキ</t>
    </rPh>
    <rPh sb="2" eb="4">
      <t>キカン</t>
    </rPh>
    <phoneticPr fontId="2"/>
  </si>
  <si>
    <t>資金額</t>
    <rPh sb="0" eb="2">
      <t>シキン</t>
    </rPh>
    <rPh sb="2" eb="3">
      <t>ガク</t>
    </rPh>
    <phoneticPr fontId="2"/>
  </si>
  <si>
    <t>表示する戦略</t>
    <rPh sb="0" eb="2">
      <t>ヒョウジ</t>
    </rPh>
    <rPh sb="4" eb="6">
      <t>センリャク</t>
    </rPh>
    <phoneticPr fontId="2"/>
  </si>
  <si>
    <t>戦略A</t>
  </si>
  <si>
    <t>開始</t>
    <rPh sb="0" eb="2">
      <t>カイシ</t>
    </rPh>
    <phoneticPr fontId="2"/>
  </si>
  <si>
    <t>終了</t>
    <rPh sb="0" eb="2">
      <t>シュウリョウ</t>
    </rPh>
    <phoneticPr fontId="2"/>
  </si>
  <si>
    <t>バックテスト開始時点</t>
    <rPh sb="6" eb="8">
      <t>カイシ</t>
    </rPh>
    <rPh sb="8" eb="10">
      <t>ジテン</t>
    </rPh>
    <phoneticPr fontId="2"/>
  </si>
  <si>
    <t>バックテスト終了時点</t>
    <rPh sb="6" eb="8">
      <t>シュウリョウ</t>
    </rPh>
    <rPh sb="8" eb="10">
      <t>ジテン</t>
    </rPh>
    <phoneticPr fontId="2"/>
  </si>
  <si>
    <t>[2]ポートフォリオの選定</t>
    <rPh sb="11" eb="13">
      <t>センテイ</t>
    </rPh>
    <phoneticPr fontId="2"/>
  </si>
  <si>
    <t>開始時点</t>
    <rPh sb="0" eb="2">
      <t>カイシ</t>
    </rPh>
    <rPh sb="2" eb="4">
      <t>ジテン</t>
    </rPh>
    <phoneticPr fontId="2"/>
  </si>
  <si>
    <t>各資産への投資ウェイト</t>
    <rPh sb="0" eb="3">
      <t>カクシサン</t>
    </rPh>
    <rPh sb="5" eb="7">
      <t>トウシ</t>
    </rPh>
    <phoneticPr fontId="2"/>
  </si>
  <si>
    <t>各資産の期待リターンとボラティリティ</t>
    <rPh sb="0" eb="3">
      <t>カクシサン</t>
    </rPh>
    <rPh sb="4" eb="6">
      <t>キタイ</t>
    </rPh>
    <phoneticPr fontId="2"/>
  </si>
  <si>
    <t>終了時点</t>
    <rPh sb="0" eb="2">
      <t>シュウリョウ</t>
    </rPh>
    <rPh sb="2" eb="4">
      <t>ジテン</t>
    </rPh>
    <phoneticPr fontId="2"/>
  </si>
  <si>
    <t>戦略A</t>
    <rPh sb="0" eb="2">
      <t>センリャク</t>
    </rPh>
    <phoneticPr fontId="2"/>
  </si>
  <si>
    <t>戦略B</t>
    <rPh sb="0" eb="2">
      <t>センリャク</t>
    </rPh>
    <phoneticPr fontId="2"/>
  </si>
  <si>
    <t>戦略C</t>
    <rPh sb="0" eb="2">
      <t>センリャク</t>
    </rPh>
    <phoneticPr fontId="2"/>
  </si>
  <si>
    <t>ヨーロピアン</t>
    <phoneticPr fontId="2"/>
  </si>
  <si>
    <t>国内株式</t>
  </si>
  <si>
    <t>国内債券</t>
  </si>
  <si>
    <t>バリア</t>
    <phoneticPr fontId="2"/>
  </si>
  <si>
    <t>国内不動産</t>
    <rPh sb="0" eb="2">
      <t>コクナイ</t>
    </rPh>
    <rPh sb="2" eb="5">
      <t>フドウサン</t>
    </rPh>
    <phoneticPr fontId="2"/>
  </si>
  <si>
    <t>外国株式</t>
  </si>
  <si>
    <t>合計</t>
    <rPh sb="0" eb="2">
      <t>ゴウケイ</t>
    </rPh>
    <phoneticPr fontId="2"/>
  </si>
  <si>
    <t>外国債券</t>
  </si>
  <si>
    <t>海外不動産</t>
    <rPh sb="0" eb="2">
      <t>カイガイ</t>
    </rPh>
    <rPh sb="2" eb="5">
      <t>フドウサン</t>
    </rPh>
    <phoneticPr fontId="2"/>
  </si>
  <si>
    <t>相関係数行列</t>
    <rPh sb="0" eb="2">
      <t>ソウカン</t>
    </rPh>
    <rPh sb="2" eb="4">
      <t>ケイスウ</t>
    </rPh>
    <rPh sb="4" eb="6">
      <t>ギョウレツ</t>
    </rPh>
    <phoneticPr fontId="2"/>
  </si>
  <si>
    <t>期待リターン（年率）</t>
    <rPh sb="0" eb="2">
      <t>キタイ</t>
    </rPh>
    <rPh sb="7" eb="9">
      <t>ネンリツ</t>
    </rPh>
    <phoneticPr fontId="2"/>
  </si>
  <si>
    <t>ボラティリティ（年率）</t>
    <rPh sb="8" eb="10">
      <t>ネンリツ</t>
    </rPh>
    <phoneticPr fontId="2"/>
  </si>
  <si>
    <t>[3]オプションの選定</t>
    <rPh sb="9" eb="11">
      <t>センテイ</t>
    </rPh>
    <phoneticPr fontId="2"/>
  </si>
  <si>
    <t>ヨーロピアンオプション</t>
    <phoneticPr fontId="2"/>
  </si>
  <si>
    <t>買い(1)or売り(-1)
orポジションを取らない(0)</t>
    <rPh sb="7" eb="8">
      <t>ウ</t>
    </rPh>
    <rPh sb="22" eb="23">
      <t>ト</t>
    </rPh>
    <phoneticPr fontId="2"/>
  </si>
  <si>
    <t>コールorプット</t>
    <phoneticPr fontId="2"/>
  </si>
  <si>
    <t>行使価格</t>
    <rPh sb="0" eb="2">
      <t>コウシ</t>
    </rPh>
    <rPh sb="2" eb="4">
      <t>カカク</t>
    </rPh>
    <phoneticPr fontId="2"/>
  </si>
  <si>
    <t>バリアオプション</t>
    <phoneticPr fontId="2"/>
  </si>
  <si>
    <t>バリア価格</t>
    <rPh sb="3" eb="5">
      <t>カカク</t>
    </rPh>
    <phoneticPr fontId="2"/>
  </si>
  <si>
    <t>バリアの種類</t>
    <rPh sb="4" eb="6">
      <t>シュルイ</t>
    </rPh>
    <phoneticPr fontId="2"/>
  </si>
  <si>
    <t>オプションコストの合計</t>
    <rPh sb="9" eb="11">
      <t>ゴウケイ</t>
    </rPh>
    <phoneticPr fontId="2"/>
  </si>
  <si>
    <t>[4]ポートフォリオへの初期投資価格の決定</t>
    <rPh sb="12" eb="14">
      <t>ショキ</t>
    </rPh>
    <rPh sb="14" eb="16">
      <t>トウシ</t>
    </rPh>
    <rPh sb="16" eb="18">
      <t>カカク</t>
    </rPh>
    <rPh sb="19" eb="21">
      <t>ケッテイ</t>
    </rPh>
    <phoneticPr fontId="2"/>
  </si>
  <si>
    <t>ポートフォリオの価格(億円)</t>
    <rPh sb="8" eb="10">
      <t>カカク</t>
    </rPh>
    <rPh sb="11" eb="13">
      <t>オクエン</t>
    </rPh>
    <phoneticPr fontId="2"/>
  </si>
  <si>
    <t>戦略全体の価格(億円)</t>
    <rPh sb="0" eb="2">
      <t>センリャク</t>
    </rPh>
    <rPh sb="2" eb="4">
      <t>ゼンタイ</t>
    </rPh>
    <rPh sb="5" eb="7">
      <t>カカク</t>
    </rPh>
    <rPh sb="8" eb="10">
      <t>オクエン</t>
    </rPh>
    <phoneticPr fontId="2"/>
  </si>
  <si>
    <t>最適化前後</t>
    <rPh sb="0" eb="3">
      <t>サイテキカ</t>
    </rPh>
    <rPh sb="3" eb="5">
      <t>ゼンゴ</t>
    </rPh>
    <phoneticPr fontId="2"/>
  </si>
  <si>
    <t>最適化計算用(変更不要)</t>
    <rPh sb="0" eb="3">
      <t>サイテキカ</t>
    </rPh>
    <rPh sb="3" eb="5">
      <t>ケイサン</t>
    </rPh>
    <rPh sb="5" eb="6">
      <t>ヨウ</t>
    </rPh>
    <rPh sb="7" eb="9">
      <t>ヘンコウ</t>
    </rPh>
    <rPh sb="9" eb="11">
      <t>フヨウ</t>
    </rPh>
    <phoneticPr fontId="2"/>
  </si>
  <si>
    <t>目的関数</t>
    <rPh sb="0" eb="2">
      <t>モクテキ</t>
    </rPh>
    <rPh sb="2" eb="4">
      <t>カンスウ</t>
    </rPh>
    <phoneticPr fontId="2"/>
  </si>
  <si>
    <t>初期値</t>
    <rPh sb="0" eb="3">
      <t>ショキチ</t>
    </rPh>
    <phoneticPr fontId="2"/>
  </si>
  <si>
    <t>権利行使価格</t>
    <rPh sb="0" eb="2">
      <t>ケンリ</t>
    </rPh>
    <rPh sb="2" eb="4">
      <t>コウシ</t>
    </rPh>
    <rPh sb="4" eb="6">
      <t>カカク</t>
    </rPh>
    <phoneticPr fontId="2"/>
  </si>
  <si>
    <t>最後に最適化した際のポートフォリオ・オプションのコスト</t>
    <rPh sb="0" eb="2">
      <t>サイゴ</t>
    </rPh>
    <rPh sb="3" eb="6">
      <t>サイテキカ</t>
    </rPh>
    <rPh sb="8" eb="9">
      <t>サイ</t>
    </rPh>
    <phoneticPr fontId="2"/>
  </si>
  <si>
    <t>戦略の情報</t>
    <rPh sb="0" eb="2">
      <t>センリャク</t>
    </rPh>
    <rPh sb="3" eb="5">
      <t>ジョウホウ</t>
    </rPh>
    <phoneticPr fontId="2"/>
  </si>
  <si>
    <t>ポートフォリオリターンのパフォーマンス</t>
    <phoneticPr fontId="2"/>
  </si>
  <si>
    <t>コールorプット</t>
  </si>
  <si>
    <t>戦略リターンのパフォーマンス</t>
    <rPh sb="0" eb="2">
      <t>センリャク</t>
    </rPh>
    <phoneticPr fontId="2"/>
  </si>
  <si>
    <t>ポートフォリオのウェイト</t>
    <phoneticPr fontId="2"/>
  </si>
  <si>
    <t>オプションコスト合計</t>
    <rPh sb="8" eb="10">
      <t>ゴウケイ</t>
    </rPh>
    <phoneticPr fontId="2"/>
  </si>
  <si>
    <t>ポートフォリオの初期時点の投資額</t>
    <rPh sb="8" eb="10">
      <t>ショキ</t>
    </rPh>
    <rPh sb="10" eb="12">
      <t>ジテン</t>
    </rPh>
    <rPh sb="13" eb="15">
      <t>トウシ</t>
    </rPh>
    <rPh sb="15" eb="16">
      <t>ガク</t>
    </rPh>
    <phoneticPr fontId="2"/>
  </si>
  <si>
    <t>シミュレーション</t>
    <phoneticPr fontId="2"/>
  </si>
  <si>
    <t>ポートフォリオの価格推移</t>
    <rPh sb="8" eb="10">
      <t>カカク</t>
    </rPh>
    <rPh sb="10" eb="12">
      <t>スイイ</t>
    </rPh>
    <phoneticPr fontId="2"/>
  </si>
  <si>
    <t>戦略全体のリターン</t>
    <rPh sb="0" eb="2">
      <t>センリャク</t>
    </rPh>
    <rPh sb="2" eb="4">
      <t>ゼンタイ</t>
    </rPh>
    <phoneticPr fontId="2"/>
  </si>
  <si>
    <r>
      <rPr>
        <sz val="11"/>
        <color theme="0"/>
        <rFont val="ＭＳ Ｐゴシック"/>
        <family val="2"/>
        <charset val="128"/>
      </rPr>
      <t>パス</t>
    </r>
    <r>
      <rPr>
        <sz val="11"/>
        <color theme="0"/>
        <rFont val="Arial"/>
        <family val="2"/>
      </rPr>
      <t>No</t>
    </r>
    <phoneticPr fontId="2"/>
  </si>
  <si>
    <t>リターン</t>
    <phoneticPr fontId="2"/>
  </si>
  <si>
    <t>ヒストグラムの作成</t>
    <rPh sb="7" eb="9">
      <t>サクセイ</t>
    </rPh>
    <phoneticPr fontId="2"/>
  </si>
  <si>
    <t>期待リターン最大値</t>
    <rPh sb="0" eb="2">
      <t>キタイ</t>
    </rPh>
    <rPh sb="6" eb="9">
      <t>サイダイチ</t>
    </rPh>
    <phoneticPr fontId="2"/>
  </si>
  <si>
    <t>期待リターン最小値</t>
    <rPh sb="0" eb="2">
      <t>キタイ</t>
    </rPh>
    <rPh sb="6" eb="9">
      <t>サイショウチ</t>
    </rPh>
    <phoneticPr fontId="2"/>
  </si>
  <si>
    <t>階級幅(30分割)</t>
    <rPh sb="0" eb="2">
      <t>カイキュウ</t>
    </rPh>
    <rPh sb="2" eb="3">
      <t>ハバ</t>
    </rPh>
    <rPh sb="6" eb="8">
      <t>ブンカツ</t>
    </rPh>
    <phoneticPr fontId="2"/>
  </si>
  <si>
    <t>階級に入るシナリオ数</t>
    <rPh sb="0" eb="2">
      <t>カイキュウ</t>
    </rPh>
    <rPh sb="3" eb="4">
      <t>ハイ</t>
    </rPh>
    <rPh sb="9" eb="10">
      <t>スウ</t>
    </rPh>
    <phoneticPr fontId="2"/>
  </si>
  <si>
    <t>階級の分点</t>
    <rPh sb="0" eb="2">
      <t>カイキュウ</t>
    </rPh>
    <rPh sb="3" eb="5">
      <t>ブンテン</t>
    </rPh>
    <phoneticPr fontId="2"/>
  </si>
  <si>
    <t>合計シナリオ</t>
    <rPh sb="0" eb="2">
      <t>ゴウケイ</t>
    </rPh>
    <phoneticPr fontId="2"/>
  </si>
  <si>
    <t>国内株式</t>
    <rPh sb="0" eb="2">
      <t>コクナイ</t>
    </rPh>
    <rPh sb="2" eb="4">
      <t>カブシキ</t>
    </rPh>
    <phoneticPr fontId="2"/>
  </si>
  <si>
    <t>国内債券</t>
    <rPh sb="0" eb="2">
      <t>コクナイ</t>
    </rPh>
    <rPh sb="2" eb="4">
      <t>サイケン</t>
    </rPh>
    <phoneticPr fontId="2"/>
  </si>
  <si>
    <t>外国株式</t>
    <rPh sb="0" eb="2">
      <t>ガイコク</t>
    </rPh>
    <rPh sb="2" eb="4">
      <t>カブシキ</t>
    </rPh>
    <phoneticPr fontId="2"/>
  </si>
  <si>
    <t>外国債券</t>
    <rPh sb="0" eb="2">
      <t>ガイコク</t>
    </rPh>
    <rPh sb="2" eb="4">
      <t>サイケン</t>
    </rPh>
    <phoneticPr fontId="2"/>
  </si>
  <si>
    <r>
      <rPr>
        <sz val="11"/>
        <color theme="0"/>
        <rFont val="ＭＳ Ｐゴシック"/>
        <family val="2"/>
        <charset val="128"/>
      </rPr>
      <t>パス</t>
    </r>
    <r>
      <rPr>
        <sz val="11"/>
        <color theme="0"/>
        <rFont val="Arial"/>
        <family val="2"/>
      </rPr>
      <t>No\</t>
    </r>
    <r>
      <rPr>
        <sz val="11"/>
        <color theme="0"/>
        <rFont val="ＭＳ Ｐゴシック"/>
        <family val="2"/>
        <charset val="128"/>
      </rPr>
      <t>時刻</t>
    </r>
    <r>
      <rPr>
        <sz val="11"/>
        <color theme="0"/>
        <rFont val="Arial"/>
        <family val="2"/>
      </rPr>
      <t>(</t>
    </r>
    <r>
      <rPr>
        <sz val="11"/>
        <color theme="0"/>
        <rFont val="ＭＳ Ｐゴシック"/>
        <family val="2"/>
        <charset val="128"/>
      </rPr>
      <t>年</t>
    </r>
    <r>
      <rPr>
        <sz val="11"/>
        <color theme="0"/>
        <rFont val="Arial"/>
        <family val="2"/>
      </rPr>
      <t>)</t>
    </r>
    <rPh sb="5" eb="7">
      <t>ジコク</t>
    </rPh>
    <rPh sb="8" eb="9">
      <t>ネン</t>
    </rPh>
    <phoneticPr fontId="2"/>
  </si>
  <si>
    <t>価格データ</t>
    <rPh sb="0" eb="2">
      <t>カカク</t>
    </rPh>
    <phoneticPr fontId="2"/>
  </si>
  <si>
    <t>I列変更不可</t>
    <rPh sb="1" eb="2">
      <t>レツ</t>
    </rPh>
    <rPh sb="2" eb="6">
      <t>ヘンコウフカ</t>
    </rPh>
    <phoneticPr fontId="2"/>
  </si>
  <si>
    <t>期待リターン</t>
    <rPh sb="0" eb="2">
      <t>キタイ</t>
    </rPh>
    <phoneticPr fontId="2"/>
  </si>
  <si>
    <t>ボラティリティ</t>
    <phoneticPr fontId="2"/>
  </si>
  <si>
    <t>●ポートフォリオの情報</t>
    <rPh sb="9" eb="11">
      <t>ジョウホウ</t>
    </rPh>
    <phoneticPr fontId="2"/>
  </si>
  <si>
    <t>●バリアオプションの情報</t>
    <rPh sb="10" eb="12">
      <t>ジョウホウ</t>
    </rPh>
    <phoneticPr fontId="2"/>
  </si>
  <si>
    <t>●バックテスト用</t>
    <rPh sb="7" eb="8">
      <t>ヨウ</t>
    </rPh>
    <phoneticPr fontId="2"/>
  </si>
  <si>
    <t>ポートフォリオの
リターン(戦略A)</t>
    <rPh sb="14" eb="16">
      <t>センリャク</t>
    </rPh>
    <phoneticPr fontId="2"/>
  </si>
  <si>
    <t>ポートフォリオの
リターン(戦略B)</t>
    <rPh sb="14" eb="16">
      <t>センリャク</t>
    </rPh>
    <phoneticPr fontId="2"/>
  </si>
  <si>
    <t>ポートフォリオの
リターン(戦略C)</t>
    <rPh sb="14" eb="16">
      <t>センリャク</t>
    </rPh>
    <phoneticPr fontId="2"/>
  </si>
  <si>
    <t>ポートフォリオの
価格推移（戦略A）</t>
    <rPh sb="9" eb="11">
      <t>カカク</t>
    </rPh>
    <rPh sb="11" eb="13">
      <t>スイイ</t>
    </rPh>
    <rPh sb="14" eb="16">
      <t>センリャク</t>
    </rPh>
    <phoneticPr fontId="2"/>
  </si>
  <si>
    <t>ポートフォリオの
価格推移（戦略B）</t>
    <rPh sb="9" eb="11">
      <t>カカク</t>
    </rPh>
    <rPh sb="11" eb="13">
      <t>スイイ</t>
    </rPh>
    <rPh sb="14" eb="16">
      <t>センリャク</t>
    </rPh>
    <phoneticPr fontId="2"/>
  </si>
  <si>
    <t>ポートフォリオの
価格推移（戦略C）</t>
    <rPh sb="9" eb="11">
      <t>カカク</t>
    </rPh>
    <rPh sb="11" eb="13">
      <t>スイイ</t>
    </rPh>
    <rPh sb="14" eb="16">
      <t>センリャク</t>
    </rPh>
    <phoneticPr fontId="2"/>
  </si>
  <si>
    <t>MATCH関数用</t>
    <rPh sb="5" eb="7">
      <t>カンスウ</t>
    </rPh>
    <rPh sb="7" eb="8">
      <t>ヨウ</t>
    </rPh>
    <phoneticPr fontId="2"/>
  </si>
  <si>
    <t>買い(1)or売り(-1)orポジションを取らない(0)</t>
    <rPh sb="7" eb="8">
      <t>ウ</t>
    </rPh>
    <rPh sb="21" eb="22">
      <t>ト</t>
    </rPh>
    <phoneticPr fontId="2"/>
  </si>
  <si>
    <t>価格推移</t>
    <rPh sb="0" eb="2">
      <t>カカク</t>
    </rPh>
    <rPh sb="2" eb="4">
      <t>スイイ</t>
    </rPh>
    <phoneticPr fontId="2"/>
  </si>
  <si>
    <t>バリアオプション1</t>
    <phoneticPr fontId="2"/>
  </si>
  <si>
    <t>バリアオプション2</t>
    <phoneticPr fontId="2"/>
  </si>
  <si>
    <t>ポートフォリオの価格</t>
    <rPh sb="8" eb="10">
      <t>カカク</t>
    </rPh>
    <phoneticPr fontId="2"/>
  </si>
  <si>
    <t>バリアオプションの価格推移</t>
    <rPh sb="9" eb="11">
      <t>カカク</t>
    </rPh>
    <rPh sb="11" eb="13">
      <t>スイイ</t>
    </rPh>
    <phoneticPr fontId="2"/>
  </si>
  <si>
    <t>権利行使（可能ならば１，不可能ならば2）</t>
    <rPh sb="0" eb="2">
      <t>ケンリ</t>
    </rPh>
    <rPh sb="2" eb="4">
      <t>コウシ</t>
    </rPh>
    <rPh sb="5" eb="7">
      <t>カノウ</t>
    </rPh>
    <rPh sb="12" eb="15">
      <t>フカノウ</t>
    </rPh>
    <phoneticPr fontId="2"/>
  </si>
  <si>
    <t>ポートフォリオのリターン</t>
    <phoneticPr fontId="2"/>
  </si>
  <si>
    <t>バリアオプション１の価格推移</t>
    <rPh sb="10" eb="12">
      <t>カカク</t>
    </rPh>
    <rPh sb="12" eb="14">
      <t>スイイ</t>
    </rPh>
    <phoneticPr fontId="2"/>
  </si>
  <si>
    <t>バリアオプション２の価格推移</t>
    <rPh sb="10" eb="12">
      <t>カカク</t>
    </rPh>
    <rPh sb="12" eb="14">
      <t>スイイ</t>
    </rPh>
    <phoneticPr fontId="2"/>
  </si>
  <si>
    <t>権利行使（可能ならば1,不可能ならば0)</t>
    <rPh sb="0" eb="2">
      <t>ケンリ</t>
    </rPh>
    <rPh sb="2" eb="4">
      <t>コウシ</t>
    </rPh>
    <rPh sb="5" eb="7">
      <t>カノウ</t>
    </rPh>
    <rPh sb="12" eb="15">
      <t>フカノウ</t>
    </rPh>
    <phoneticPr fontId="2"/>
  </si>
  <si>
    <t>初期年金資産（億円）</t>
    <rPh sb="0" eb="2">
      <t>ショキ</t>
    </rPh>
    <rPh sb="2" eb="4">
      <t>ネンキン</t>
    </rPh>
    <rPh sb="4" eb="6">
      <t>シサン</t>
    </rPh>
    <rPh sb="7" eb="9">
      <t>オクエン</t>
    </rPh>
    <phoneticPr fontId="2"/>
  </si>
  <si>
    <t>プット</t>
  </si>
  <si>
    <t>許容値</t>
    <rPh sb="0" eb="3">
      <t>キョヨウチ</t>
    </rPh>
    <phoneticPr fontId="2"/>
  </si>
  <si>
    <t>戦略の価値</t>
    <rPh sb="0" eb="2">
      <t>センリャク</t>
    </rPh>
    <rPh sb="3" eb="5">
      <t>カチ</t>
    </rPh>
    <phoneticPr fontId="2"/>
  </si>
  <si>
    <t>目的関数</t>
    <rPh sb="0" eb="4">
      <t>モクテキカンスウ</t>
    </rPh>
    <phoneticPr fontId="2"/>
  </si>
  <si>
    <t>Down and In</t>
  </si>
  <si>
    <t>コール</t>
  </si>
  <si>
    <t>初期年金資産を超えてないか</t>
    <rPh sb="0" eb="2">
      <t>ショキ</t>
    </rPh>
    <rPh sb="2" eb="4">
      <t>ネンキン</t>
    </rPh>
    <rPh sb="4" eb="6">
      <t>シサン</t>
    </rPh>
    <rPh sb="7" eb="8">
      <t>コ</t>
    </rPh>
    <phoneticPr fontId="2"/>
  </si>
  <si>
    <t>ポートフォリオの推移（億円）</t>
    <rPh sb="8" eb="10">
      <t>スイイ</t>
    </rPh>
    <rPh sb="11" eb="13">
      <t>オクエン</t>
    </rPh>
    <phoneticPr fontId="2"/>
  </si>
  <si>
    <t>オプションのペイオフ（億円）</t>
    <rPh sb="11" eb="13">
      <t>オクエン</t>
    </rPh>
    <phoneticPr fontId="2"/>
  </si>
  <si>
    <t>投資戦略全体の価値（億円）</t>
    <rPh sb="0" eb="2">
      <t>トウシ</t>
    </rPh>
    <rPh sb="2" eb="4">
      <t>センリャク</t>
    </rPh>
    <rPh sb="4" eb="6">
      <t>ゼンタイ</t>
    </rPh>
    <rPh sb="7" eb="9">
      <t>カチ</t>
    </rPh>
    <rPh sb="10" eb="12">
      <t>オクエン</t>
    </rPh>
    <phoneticPr fontId="2"/>
  </si>
  <si>
    <t>ポートフォリオの価格推移（億円）</t>
    <rPh sb="8" eb="10">
      <t>カカク</t>
    </rPh>
    <rPh sb="10" eb="12">
      <t>スイイ</t>
    </rPh>
    <rPh sb="13" eb="15">
      <t>オクエン</t>
    </rPh>
    <phoneticPr fontId="2"/>
  </si>
  <si>
    <t>戦略全体の価値（億円）</t>
    <rPh sb="0" eb="2">
      <t>センリャク</t>
    </rPh>
    <rPh sb="2" eb="4">
      <t>ゼンタイ</t>
    </rPh>
    <rPh sb="5" eb="7">
      <t>カチ</t>
    </rPh>
    <rPh sb="8" eb="10">
      <t>オクエン</t>
    </rPh>
    <phoneticPr fontId="2"/>
  </si>
  <si>
    <t>行使価格（億円）</t>
    <rPh sb="0" eb="2">
      <t>コウシ</t>
    </rPh>
    <rPh sb="2" eb="4">
      <t>カカク</t>
    </rPh>
    <rPh sb="5" eb="7">
      <t>オクエン</t>
    </rPh>
    <phoneticPr fontId="2"/>
  </si>
  <si>
    <t>初期価格（億円）</t>
    <rPh sb="0" eb="2">
      <t>ショキ</t>
    </rPh>
    <rPh sb="2" eb="4">
      <t>カカク</t>
    </rPh>
    <rPh sb="5" eb="7">
      <t>オクエン</t>
    </rPh>
    <phoneticPr fontId="2"/>
  </si>
  <si>
    <t>バリア価格（億円）</t>
    <rPh sb="3" eb="5">
      <t>カカク</t>
    </rPh>
    <rPh sb="6" eb="8">
      <t>オクエン</t>
    </rPh>
    <phoneticPr fontId="2"/>
  </si>
  <si>
    <t>初期年金資産
（億円）</t>
    <rPh sb="0" eb="2">
      <t>ショキ</t>
    </rPh>
    <rPh sb="2" eb="4">
      <t>ネンキン</t>
    </rPh>
    <rPh sb="4" eb="6">
      <t>シサン</t>
    </rPh>
    <rPh sb="8" eb="10">
      <t>オクエン</t>
    </rPh>
    <phoneticPr fontId="2"/>
  </si>
  <si>
    <t>投資額（億円）</t>
    <rPh sb="0" eb="2">
      <t>トウシ</t>
    </rPh>
    <rPh sb="2" eb="3">
      <t>ガク</t>
    </rPh>
    <rPh sb="4" eb="6">
      <t>オクエン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</si>
</sst>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0_ "/>
    <numFmt numFmtId="178" formatCode="0.000"/>
    <numFmt numFmtId="179" formatCode="0;&quot;ー&quot;0"/>
    <numFmt numFmtId="180" formatCode="0.E+00"/>
    <numFmt numFmtId="181" formatCode="0.00.E+00"/>
  </numFmts>
  <fonts count="15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20"/>
      <color theme="1"/>
      <name val="ＭＳ Ｐゴシック"/>
      <family val="3"/>
      <charset val="128"/>
    </font>
    <font>
      <sz val="11"/>
      <color theme="0"/>
      <name val="ＭＳ Ｐゴシック"/>
      <family val="2"/>
      <charset val="128"/>
    </font>
    <font>
      <b/>
      <sz val="11"/>
      <color theme="1"/>
      <name val="Meiryo UI"/>
      <family val="3"/>
      <charset val="128"/>
    </font>
    <font>
      <sz val="11"/>
      <color theme="0"/>
      <name val="Arial"/>
      <family val="2"/>
    </font>
    <font>
      <sz val="11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sz val="11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9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indexed="64"/>
      </right>
      <top/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10" fontId="3" fillId="0" borderId="0" xfId="2" applyNumberFormat="1" applyFont="1">
      <alignment vertical="center"/>
    </xf>
    <xf numFmtId="0" fontId="3" fillId="0" borderId="0" xfId="0" applyFont="1" applyFill="1">
      <alignment vertical="center"/>
    </xf>
    <xf numFmtId="10" fontId="3" fillId="0" borderId="0" xfId="2" applyNumberFormat="1" applyFont="1" applyFill="1">
      <alignment vertical="center"/>
    </xf>
    <xf numFmtId="0" fontId="3" fillId="0" borderId="0" xfId="0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0" fontId="3" fillId="0" borderId="0" xfId="2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2" xfId="0" applyFont="1" applyFill="1" applyBorder="1">
      <alignment vertical="center"/>
    </xf>
    <xf numFmtId="14" fontId="3" fillId="3" borderId="3" xfId="0" applyNumberFormat="1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7" xfId="0" applyNumberFormat="1" applyFont="1" applyFill="1" applyBorder="1">
      <alignment vertical="center"/>
    </xf>
    <xf numFmtId="14" fontId="4" fillId="2" borderId="4" xfId="0" applyNumberFormat="1" applyFont="1" applyFill="1" applyBorder="1">
      <alignment vertical="center"/>
    </xf>
    <xf numFmtId="0" fontId="4" fillId="2" borderId="7" xfId="0" applyFont="1" applyFill="1" applyBorder="1" applyAlignment="1">
      <alignment horizontal="center" vertical="center"/>
    </xf>
    <xf numFmtId="176" fontId="3" fillId="3" borderId="8" xfId="2" applyNumberFormat="1" applyFont="1" applyFill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14" fontId="4" fillId="2" borderId="2" xfId="0" applyNumberFormat="1" applyFont="1" applyFill="1" applyBorder="1">
      <alignment vertical="center"/>
    </xf>
    <xf numFmtId="38" fontId="3" fillId="4" borderId="1" xfId="1" applyFont="1" applyFill="1" applyBorder="1">
      <alignment vertical="center"/>
    </xf>
    <xf numFmtId="38" fontId="3" fillId="4" borderId="8" xfId="1" applyFont="1" applyFill="1" applyBorder="1">
      <alignment vertical="center"/>
    </xf>
    <xf numFmtId="38" fontId="3" fillId="4" borderId="9" xfId="1" applyFont="1" applyFill="1" applyBorder="1">
      <alignment vertical="center"/>
    </xf>
    <xf numFmtId="38" fontId="3" fillId="4" borderId="5" xfId="1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8" xfId="0" applyFont="1" applyBorder="1">
      <alignment vertical="center"/>
    </xf>
    <xf numFmtId="10" fontId="3" fillId="4" borderId="1" xfId="2" applyNumberFormat="1" applyFont="1" applyFill="1" applyBorder="1">
      <alignment vertical="center"/>
    </xf>
    <xf numFmtId="10" fontId="3" fillId="4" borderId="8" xfId="2" applyNumberFormat="1" applyFont="1" applyFill="1" applyBorder="1">
      <alignment vertical="center"/>
    </xf>
    <xf numFmtId="10" fontId="3" fillId="4" borderId="9" xfId="2" applyNumberFormat="1" applyFont="1" applyFill="1" applyBorder="1">
      <alignment vertical="center"/>
    </xf>
    <xf numFmtId="10" fontId="3" fillId="4" borderId="5" xfId="2" applyNumberFormat="1" applyFont="1" applyFill="1" applyBorder="1">
      <alignment vertical="center"/>
    </xf>
    <xf numFmtId="176" fontId="3" fillId="3" borderId="1" xfId="2" applyNumberFormat="1" applyFont="1" applyFill="1" applyBorder="1">
      <alignment vertical="center"/>
    </xf>
    <xf numFmtId="0" fontId="4" fillId="2" borderId="10" xfId="0" applyFont="1" applyFill="1" applyBorder="1" applyAlignment="1">
      <alignment horizontal="center" vertical="center"/>
    </xf>
    <xf numFmtId="14" fontId="3" fillId="4" borderId="5" xfId="1" applyNumberFormat="1" applyFont="1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4" fontId="3" fillId="3" borderId="9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3" fillId="3" borderId="1" xfId="0" applyNumberFormat="1" applyFont="1" applyFill="1" applyBorder="1">
      <alignment vertical="center"/>
    </xf>
    <xf numFmtId="0" fontId="3" fillId="3" borderId="9" xfId="0" applyNumberFormat="1" applyFont="1" applyFill="1" applyBorder="1">
      <alignment vertical="center"/>
    </xf>
    <xf numFmtId="2" fontId="3" fillId="4" borderId="8" xfId="1" applyNumberFormat="1" applyFont="1" applyFill="1" applyBorder="1">
      <alignment vertical="center"/>
    </xf>
    <xf numFmtId="2" fontId="3" fillId="4" borderId="5" xfId="1" applyNumberFormat="1" applyFont="1" applyFill="1" applyBorder="1">
      <alignment vertical="center"/>
    </xf>
    <xf numFmtId="14" fontId="4" fillId="2" borderId="7" xfId="0" applyNumberFormat="1" applyFont="1" applyFill="1" applyBorder="1" applyAlignment="1">
      <alignment horizontal="center" vertical="center"/>
    </xf>
    <xf numFmtId="177" fontId="3" fillId="4" borderId="8" xfId="1" applyNumberFormat="1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177" fontId="3" fillId="4" borderId="5" xfId="1" applyNumberFormat="1" applyFont="1" applyFill="1" applyBorder="1" applyAlignment="1">
      <alignment horizontal="right" vertical="center"/>
    </xf>
    <xf numFmtId="176" fontId="3" fillId="3" borderId="3" xfId="2" applyNumberFormat="1" applyFont="1" applyFill="1" applyBorder="1">
      <alignment vertical="center"/>
    </xf>
    <xf numFmtId="0" fontId="4" fillId="2" borderId="24" xfId="0" applyFont="1" applyFill="1" applyBorder="1" applyAlignment="1">
      <alignment horizontal="center" vertical="center"/>
    </xf>
    <xf numFmtId="9" fontId="3" fillId="4" borderId="5" xfId="2" applyFont="1" applyFill="1" applyBorder="1">
      <alignment vertical="center"/>
    </xf>
    <xf numFmtId="0" fontId="4" fillId="2" borderId="26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0" fontId="8" fillId="0" borderId="28" xfId="0" applyFon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2" xfId="0" applyBorder="1">
      <alignment vertical="center"/>
    </xf>
    <xf numFmtId="0" fontId="0" fillId="0" borderId="31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2" fontId="3" fillId="4" borderId="3" xfId="1" applyNumberFormat="1" applyFont="1" applyFill="1" applyBorder="1">
      <alignment vertical="center"/>
    </xf>
    <xf numFmtId="0" fontId="4" fillId="2" borderId="36" xfId="0" applyFont="1" applyFill="1" applyBorder="1" applyAlignment="1">
      <alignment horizontal="center" vertical="center"/>
    </xf>
    <xf numFmtId="178" fontId="3" fillId="4" borderId="8" xfId="2" applyNumberFormat="1" applyFont="1" applyFill="1" applyBorder="1">
      <alignment vertical="center"/>
    </xf>
    <xf numFmtId="0" fontId="4" fillId="2" borderId="38" xfId="0" applyFont="1" applyFill="1" applyBorder="1" applyAlignment="1">
      <alignment horizontal="center" vertical="center"/>
    </xf>
    <xf numFmtId="0" fontId="8" fillId="0" borderId="39" xfId="0" applyFont="1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10" fontId="3" fillId="4" borderId="5" xfId="2" applyNumberFormat="1" applyFont="1" applyFill="1" applyBorder="1" applyAlignment="1">
      <alignment horizontal="right" vertical="center"/>
    </xf>
    <xf numFmtId="0" fontId="4" fillId="2" borderId="47" xfId="0" applyFont="1" applyFill="1" applyBorder="1" applyAlignment="1">
      <alignment horizontal="center" vertical="center"/>
    </xf>
    <xf numFmtId="2" fontId="3" fillId="4" borderId="1" xfId="1" applyNumberFormat="1" applyFont="1" applyFill="1" applyBorder="1">
      <alignment vertical="center"/>
    </xf>
    <xf numFmtId="2" fontId="3" fillId="4" borderId="9" xfId="1" applyNumberFormat="1" applyFont="1" applyFill="1" applyBorder="1">
      <alignment vertical="center"/>
    </xf>
    <xf numFmtId="10" fontId="10" fillId="0" borderId="1" xfId="2" applyNumberFormat="1" applyFont="1" applyBorder="1">
      <alignment vertical="center"/>
    </xf>
    <xf numFmtId="10" fontId="10" fillId="0" borderId="8" xfId="2" applyNumberFormat="1" applyFont="1" applyBorder="1">
      <alignment vertical="center"/>
    </xf>
    <xf numFmtId="0" fontId="4" fillId="2" borderId="20" xfId="0" applyFont="1" applyFill="1" applyBorder="1" applyAlignment="1">
      <alignment horizontal="left" vertical="center"/>
    </xf>
    <xf numFmtId="9" fontId="3" fillId="4" borderId="8" xfId="2" applyNumberFormat="1" applyFont="1" applyFill="1" applyBorder="1">
      <alignment vertical="center"/>
    </xf>
    <xf numFmtId="9" fontId="3" fillId="4" borderId="5" xfId="2" applyNumberFormat="1" applyFont="1" applyFill="1" applyBorder="1">
      <alignment vertical="center"/>
    </xf>
    <xf numFmtId="10" fontId="3" fillId="4" borderId="3" xfId="2" applyNumberFormat="1" applyFont="1" applyFill="1" applyBorder="1">
      <alignment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11" fillId="2" borderId="2" xfId="0" applyNumberFormat="1" applyFont="1" applyFill="1" applyBorder="1">
      <alignment vertical="center"/>
    </xf>
    <xf numFmtId="10" fontId="12" fillId="4" borderId="3" xfId="0" applyNumberFormat="1" applyFont="1" applyFill="1" applyBorder="1">
      <alignment vertical="center"/>
    </xf>
    <xf numFmtId="0" fontId="12" fillId="0" borderId="0" xfId="0" applyNumberFormat="1" applyFont="1">
      <alignment vertical="center"/>
    </xf>
    <xf numFmtId="0" fontId="11" fillId="2" borderId="4" xfId="0" applyNumberFormat="1" applyFont="1" applyFill="1" applyBorder="1">
      <alignment vertical="center"/>
    </xf>
    <xf numFmtId="10" fontId="12" fillId="4" borderId="5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11" fillId="2" borderId="27" xfId="0" applyFont="1" applyFill="1" applyBorder="1">
      <alignment vertical="center"/>
    </xf>
    <xf numFmtId="0" fontId="11" fillId="2" borderId="10" xfId="0" applyFont="1" applyFill="1" applyBorder="1" applyAlignment="1">
      <alignment horizontal="center" vertical="center"/>
    </xf>
    <xf numFmtId="10" fontId="12" fillId="4" borderId="13" xfId="0" applyNumberFormat="1" applyFont="1" applyFill="1" applyBorder="1">
      <alignment vertical="center"/>
    </xf>
    <xf numFmtId="0" fontId="12" fillId="4" borderId="13" xfId="0" applyFont="1" applyFill="1" applyBorder="1">
      <alignment vertical="center"/>
    </xf>
    <xf numFmtId="0" fontId="11" fillId="2" borderId="23" xfId="0" applyFont="1" applyFill="1" applyBorder="1" applyAlignment="1">
      <alignment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2" fillId="4" borderId="11" xfId="0" applyFont="1" applyFill="1" applyBorder="1">
      <alignment vertical="center"/>
    </xf>
    <xf numFmtId="0" fontId="4" fillId="2" borderId="53" xfId="0" applyFont="1" applyFill="1" applyBorder="1" applyAlignment="1">
      <alignment horizontal="left" vertical="center"/>
    </xf>
    <xf numFmtId="0" fontId="4" fillId="2" borderId="54" xfId="0" applyFont="1" applyFill="1" applyBorder="1" applyAlignment="1">
      <alignment horizontal="center" vertical="center"/>
    </xf>
    <xf numFmtId="0" fontId="4" fillId="2" borderId="55" xfId="0" applyFont="1" applyFill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/>
    </xf>
    <xf numFmtId="0" fontId="4" fillId="2" borderId="57" xfId="0" applyFont="1" applyFill="1" applyBorder="1" applyAlignment="1">
      <alignment horizontal="center" vertical="center"/>
    </xf>
    <xf numFmtId="0" fontId="4" fillId="2" borderId="58" xfId="0" applyFont="1" applyFill="1" applyBorder="1" applyAlignment="1">
      <alignment horizontal="left" vertical="center"/>
    </xf>
    <xf numFmtId="0" fontId="4" fillId="2" borderId="59" xfId="0" applyFont="1" applyFill="1" applyBorder="1" applyAlignment="1">
      <alignment horizontal="center" vertical="center"/>
    </xf>
    <xf numFmtId="0" fontId="4" fillId="2" borderId="60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0" fontId="4" fillId="2" borderId="64" xfId="0" applyFont="1" applyFill="1" applyBorder="1" applyAlignment="1">
      <alignment horizontal="center" vertical="center"/>
    </xf>
    <xf numFmtId="0" fontId="4" fillId="2" borderId="62" xfId="0" applyFont="1" applyFill="1" applyBorder="1" applyAlignment="1">
      <alignment horizontal="left" vertical="center"/>
    </xf>
    <xf numFmtId="0" fontId="4" fillId="2" borderId="61" xfId="0" applyFont="1" applyFill="1" applyBorder="1" applyAlignment="1">
      <alignment horizontal="center" vertical="center"/>
    </xf>
    <xf numFmtId="0" fontId="12" fillId="4" borderId="6" xfId="0" applyFont="1" applyFill="1" applyBorder="1">
      <alignment vertical="center"/>
    </xf>
    <xf numFmtId="0" fontId="12" fillId="4" borderId="3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8" xfId="0" applyFont="1" applyFill="1" applyBorder="1">
      <alignment vertical="center"/>
    </xf>
    <xf numFmtId="0" fontId="12" fillId="4" borderId="9" xfId="0" applyFont="1" applyFill="1" applyBorder="1">
      <alignment vertical="center"/>
    </xf>
    <xf numFmtId="0" fontId="12" fillId="4" borderId="5" xfId="0" applyFont="1" applyFill="1" applyBorder="1">
      <alignment vertical="center"/>
    </xf>
    <xf numFmtId="0" fontId="11" fillId="2" borderId="65" xfId="0" applyFont="1" applyFill="1" applyBorder="1" applyAlignment="1">
      <alignment vertical="center"/>
    </xf>
    <xf numFmtId="0" fontId="11" fillId="2" borderId="66" xfId="0" applyFont="1" applyFill="1" applyBorder="1" applyAlignment="1">
      <alignment vertical="center"/>
    </xf>
    <xf numFmtId="0" fontId="12" fillId="4" borderId="68" xfId="0" applyFont="1" applyFill="1" applyBorder="1">
      <alignment vertical="center"/>
    </xf>
    <xf numFmtId="0" fontId="12" fillId="4" borderId="17" xfId="0" applyFont="1" applyFill="1" applyBorder="1">
      <alignment vertical="center"/>
    </xf>
    <xf numFmtId="0" fontId="12" fillId="4" borderId="69" xfId="0" applyFont="1" applyFill="1" applyBorder="1">
      <alignment vertical="center"/>
    </xf>
    <xf numFmtId="0" fontId="0" fillId="0" borderId="59" xfId="0" applyBorder="1">
      <alignment vertical="center"/>
    </xf>
    <xf numFmtId="0" fontId="0" fillId="0" borderId="70" xfId="0" applyBorder="1">
      <alignment vertical="center"/>
    </xf>
    <xf numFmtId="0" fontId="8" fillId="0" borderId="71" xfId="0" applyFont="1" applyBorder="1">
      <alignment vertical="center"/>
    </xf>
    <xf numFmtId="0" fontId="0" fillId="0" borderId="72" xfId="0" applyBorder="1">
      <alignment vertical="center"/>
    </xf>
    <xf numFmtId="0" fontId="0" fillId="0" borderId="71" xfId="0" applyBorder="1">
      <alignment vertical="center"/>
    </xf>
    <xf numFmtId="0" fontId="0" fillId="0" borderId="73" xfId="0" applyBorder="1">
      <alignment vertical="center"/>
    </xf>
    <xf numFmtId="0" fontId="0" fillId="0" borderId="12" xfId="0" applyBorder="1">
      <alignment vertical="center"/>
    </xf>
    <xf numFmtId="0" fontId="0" fillId="0" borderId="74" xfId="0" applyBorder="1">
      <alignment vertical="center"/>
    </xf>
    <xf numFmtId="0" fontId="8" fillId="0" borderId="27" xfId="0" applyFont="1" applyBorder="1">
      <alignment vertical="center"/>
    </xf>
    <xf numFmtId="0" fontId="3" fillId="0" borderId="59" xfId="0" applyFont="1" applyBorder="1">
      <alignment vertical="center"/>
    </xf>
    <xf numFmtId="10" fontId="3" fillId="4" borderId="1" xfId="2" applyNumberFormat="1" applyFont="1" applyFill="1" applyBorder="1" applyAlignment="1">
      <alignment horizontal="right" vertical="center"/>
    </xf>
    <xf numFmtId="10" fontId="3" fillId="4" borderId="8" xfId="2" applyNumberFormat="1" applyFont="1" applyFill="1" applyBorder="1" applyAlignment="1">
      <alignment horizontal="right" vertical="center"/>
    </xf>
    <xf numFmtId="10" fontId="3" fillId="4" borderId="9" xfId="2" applyNumberFormat="1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75" xfId="0" applyBorder="1">
      <alignment vertical="center"/>
    </xf>
    <xf numFmtId="0" fontId="13" fillId="0" borderId="0" xfId="0" applyFont="1">
      <alignment vertical="center"/>
    </xf>
    <xf numFmtId="2" fontId="3" fillId="4" borderId="16" xfId="1" applyNumberFormat="1" applyFont="1" applyFill="1" applyBorder="1">
      <alignment vertical="center"/>
    </xf>
    <xf numFmtId="2" fontId="3" fillId="4" borderId="15" xfId="1" applyNumberFormat="1" applyFont="1" applyFill="1" applyBorder="1">
      <alignment vertical="center"/>
    </xf>
    <xf numFmtId="2" fontId="3" fillId="4" borderId="67" xfId="1" applyNumberFormat="1" applyFont="1" applyFill="1" applyBorder="1">
      <alignment vertical="center"/>
    </xf>
    <xf numFmtId="0" fontId="8" fillId="0" borderId="76" xfId="0" applyFont="1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0" fillId="0" borderId="83" xfId="0" applyBorder="1">
      <alignment vertical="center"/>
    </xf>
    <xf numFmtId="1" fontId="3" fillId="3" borderId="25" xfId="2" applyNumberFormat="1" applyFont="1" applyFill="1" applyBorder="1">
      <alignment vertical="center"/>
    </xf>
    <xf numFmtId="179" fontId="3" fillId="3" borderId="1" xfId="0" applyNumberFormat="1" applyFont="1" applyFill="1" applyBorder="1" applyAlignment="1">
      <alignment horizontal="center" vertical="center"/>
    </xf>
    <xf numFmtId="179" fontId="3" fillId="3" borderId="9" xfId="0" applyNumberFormat="1" applyFont="1" applyFill="1" applyBorder="1" applyAlignment="1">
      <alignment horizontal="center" vertical="center"/>
    </xf>
    <xf numFmtId="0" fontId="4" fillId="2" borderId="26" xfId="0" applyFont="1" applyFill="1" applyBorder="1">
      <alignment vertical="center"/>
    </xf>
    <xf numFmtId="0" fontId="3" fillId="3" borderId="25" xfId="0" applyNumberFormat="1" applyFont="1" applyFill="1" applyBorder="1">
      <alignment vertical="center"/>
    </xf>
    <xf numFmtId="0" fontId="4" fillId="2" borderId="84" xfId="0" applyFont="1" applyFill="1" applyBorder="1" applyAlignment="1">
      <alignment horizontal="center" vertical="center"/>
    </xf>
    <xf numFmtId="0" fontId="4" fillId="2" borderId="37" xfId="0" applyFont="1" applyFill="1" applyBorder="1" applyAlignment="1">
      <alignment horizontal="center" vertical="center"/>
    </xf>
    <xf numFmtId="2" fontId="3" fillId="4" borderId="63" xfId="1" applyNumberFormat="1" applyFont="1" applyFill="1" applyBorder="1">
      <alignment vertical="center"/>
    </xf>
    <xf numFmtId="2" fontId="3" fillId="4" borderId="6" xfId="1" applyNumberFormat="1" applyFont="1" applyFill="1" applyBorder="1">
      <alignment vertical="center"/>
    </xf>
    <xf numFmtId="0" fontId="4" fillId="2" borderId="86" xfId="0" applyFont="1" applyFill="1" applyBorder="1" applyAlignment="1">
      <alignment horizontal="center" vertical="center"/>
    </xf>
    <xf numFmtId="2" fontId="3" fillId="4" borderId="87" xfId="1" applyNumberFormat="1" applyFont="1" applyFill="1" applyBorder="1">
      <alignment vertical="center"/>
    </xf>
    <xf numFmtId="2" fontId="3" fillId="4" borderId="61" xfId="1" applyNumberFormat="1" applyFont="1" applyFill="1" applyBorder="1">
      <alignment vertical="center"/>
    </xf>
    <xf numFmtId="2" fontId="3" fillId="4" borderId="88" xfId="1" applyNumberFormat="1" applyFont="1" applyFill="1" applyBorder="1">
      <alignment vertical="center"/>
    </xf>
    <xf numFmtId="0" fontId="4" fillId="2" borderId="85" xfId="0" applyFont="1" applyFill="1" applyBorder="1" applyAlignment="1">
      <alignment horizontal="center" vertical="center"/>
    </xf>
    <xf numFmtId="14" fontId="3" fillId="3" borderId="6" xfId="0" applyNumberFormat="1" applyFont="1" applyFill="1" applyBorder="1">
      <alignment vertical="center"/>
    </xf>
    <xf numFmtId="14" fontId="3" fillId="4" borderId="9" xfId="1" applyNumberFormat="1" applyFont="1" applyFill="1" applyBorder="1">
      <alignment vertical="center"/>
    </xf>
    <xf numFmtId="0" fontId="4" fillId="2" borderId="89" xfId="0" applyFont="1" applyFill="1" applyBorder="1">
      <alignment vertical="center"/>
    </xf>
    <xf numFmtId="0" fontId="4" fillId="2" borderId="65" xfId="0" applyFont="1" applyFill="1" applyBorder="1">
      <alignment vertical="center"/>
    </xf>
    <xf numFmtId="0" fontId="3" fillId="3" borderId="66" xfId="0" applyNumberFormat="1" applyFont="1" applyFill="1" applyBorder="1">
      <alignment vertical="center"/>
    </xf>
    <xf numFmtId="0" fontId="4" fillId="2" borderId="52" xfId="0" applyFont="1" applyFill="1" applyBorder="1" applyAlignment="1">
      <alignment horizontal="center" vertical="center" wrapText="1"/>
    </xf>
    <xf numFmtId="178" fontId="3" fillId="4" borderId="5" xfId="2" applyNumberFormat="1" applyFont="1" applyFill="1" applyBorder="1">
      <alignment vertical="center"/>
    </xf>
    <xf numFmtId="178" fontId="3" fillId="4" borderId="1" xfId="2" applyNumberFormat="1" applyFont="1" applyFill="1" applyBorder="1">
      <alignment vertical="center"/>
    </xf>
    <xf numFmtId="178" fontId="3" fillId="4" borderId="9" xfId="2" applyNumberFormat="1" applyFont="1" applyFill="1" applyBorder="1">
      <alignment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1" fontId="3" fillId="4" borderId="8" xfId="1" applyNumberFormat="1" applyFont="1" applyFill="1" applyBorder="1" applyAlignment="1">
      <alignment horizontal="center" vertical="center"/>
    </xf>
    <xf numFmtId="2" fontId="3" fillId="4" borderId="9" xfId="1" applyNumberFormat="1" applyFont="1" applyFill="1" applyBorder="1" applyAlignment="1">
      <alignment horizontal="center" vertical="center"/>
    </xf>
    <xf numFmtId="2" fontId="3" fillId="4" borderId="5" xfId="1" applyNumberFormat="1" applyFont="1" applyFill="1" applyBorder="1" applyAlignment="1">
      <alignment horizontal="center" vertical="center"/>
    </xf>
    <xf numFmtId="176" fontId="12" fillId="4" borderId="23" xfId="2" applyNumberFormat="1" applyFont="1" applyFill="1" applyBorder="1">
      <alignment vertical="center"/>
    </xf>
    <xf numFmtId="176" fontId="12" fillId="4" borderId="50" xfId="0" applyNumberFormat="1" applyFont="1" applyFill="1" applyBorder="1">
      <alignment vertical="center"/>
    </xf>
    <xf numFmtId="176" fontId="12" fillId="4" borderId="18" xfId="0" applyNumberFormat="1" applyFont="1" applyFill="1" applyBorder="1">
      <alignment vertical="center"/>
    </xf>
    <xf numFmtId="176" fontId="12" fillId="4" borderId="51" xfId="0" applyNumberFormat="1" applyFont="1" applyFill="1" applyBorder="1">
      <alignment vertical="center"/>
    </xf>
    <xf numFmtId="14" fontId="4" fillId="2" borderId="36" xfId="0" applyNumberFormat="1" applyFont="1" applyFill="1" applyBorder="1">
      <alignment vertical="center"/>
    </xf>
    <xf numFmtId="38" fontId="3" fillId="4" borderId="61" xfId="1" applyFont="1" applyFill="1" applyBorder="1">
      <alignment vertical="center"/>
    </xf>
    <xf numFmtId="38" fontId="3" fillId="4" borderId="88" xfId="1" applyFont="1" applyFill="1" applyBorder="1">
      <alignment vertical="center"/>
    </xf>
    <xf numFmtId="10" fontId="3" fillId="4" borderId="61" xfId="2" applyNumberFormat="1" applyFont="1" applyFill="1" applyBorder="1">
      <alignment vertical="center"/>
    </xf>
    <xf numFmtId="10" fontId="3" fillId="4" borderId="88" xfId="2" applyNumberFormat="1" applyFont="1" applyFill="1" applyBorder="1">
      <alignment vertical="center"/>
    </xf>
    <xf numFmtId="14" fontId="4" fillId="2" borderId="22" xfId="0" applyNumberFormat="1" applyFont="1" applyFill="1" applyBorder="1">
      <alignment vertical="center"/>
    </xf>
    <xf numFmtId="0" fontId="4" fillId="2" borderId="48" xfId="0" applyFont="1" applyFill="1" applyBorder="1" applyAlignment="1">
      <alignment horizontal="center" vertical="center" wrapText="1"/>
    </xf>
    <xf numFmtId="0" fontId="3" fillId="0" borderId="6" xfId="0" applyFont="1" applyBorder="1">
      <alignment vertical="center"/>
    </xf>
    <xf numFmtId="178" fontId="3" fillId="4" borderId="6" xfId="2" applyNumberFormat="1" applyFont="1" applyFill="1" applyBorder="1">
      <alignment vertical="center"/>
    </xf>
    <xf numFmtId="178" fontId="3" fillId="4" borderId="3" xfId="2" applyNumberFormat="1" applyFont="1" applyFill="1" applyBorder="1">
      <alignment vertical="center"/>
    </xf>
    <xf numFmtId="10" fontId="10" fillId="0" borderId="9" xfId="2" applyNumberFormat="1" applyFont="1" applyBorder="1">
      <alignment vertical="center"/>
    </xf>
    <xf numFmtId="10" fontId="10" fillId="0" borderId="5" xfId="2" applyNumberFormat="1" applyFont="1" applyBorder="1">
      <alignment vertical="center"/>
    </xf>
    <xf numFmtId="0" fontId="3" fillId="3" borderId="1" xfId="0" applyNumberFormat="1" applyFont="1" applyFill="1" applyBorder="1" applyAlignment="1">
      <alignment horizontal="right" vertical="center"/>
    </xf>
    <xf numFmtId="0" fontId="3" fillId="3" borderId="9" xfId="0" applyNumberFormat="1" applyFont="1" applyFill="1" applyBorder="1" applyAlignment="1">
      <alignment horizontal="right" vertical="center"/>
    </xf>
    <xf numFmtId="177" fontId="3" fillId="4" borderId="25" xfId="1" applyNumberFormat="1" applyFont="1" applyFill="1" applyBorder="1" applyAlignment="1">
      <alignment horizontal="right" vertical="center"/>
    </xf>
    <xf numFmtId="0" fontId="4" fillId="2" borderId="89" xfId="0" applyFont="1" applyFill="1" applyBorder="1" applyAlignment="1">
      <alignment horizontal="center" vertical="center" wrapText="1"/>
    </xf>
    <xf numFmtId="1" fontId="3" fillId="4" borderId="25" xfId="1" applyNumberFormat="1" applyFont="1" applyFill="1" applyBorder="1" applyAlignment="1">
      <alignment horizontal="center" vertical="center"/>
    </xf>
    <xf numFmtId="14" fontId="3" fillId="4" borderId="6" xfId="1" applyNumberFormat="1" applyFont="1" applyFill="1" applyBorder="1" applyAlignment="1">
      <alignment horizontal="center" vertical="center"/>
    </xf>
    <xf numFmtId="14" fontId="3" fillId="4" borderId="3" xfId="1" applyNumberFormat="1" applyFont="1" applyFill="1" applyBorder="1" applyAlignment="1">
      <alignment horizontal="center" vertical="center"/>
    </xf>
    <xf numFmtId="14" fontId="3" fillId="4" borderId="9" xfId="1" applyNumberFormat="1" applyFont="1" applyFill="1" applyBorder="1" applyAlignment="1">
      <alignment horizontal="center" vertical="center"/>
    </xf>
    <xf numFmtId="14" fontId="3" fillId="4" borderId="5" xfId="1" applyNumberFormat="1" applyFont="1" applyFill="1" applyBorder="1" applyAlignment="1">
      <alignment horizontal="center" vertical="center"/>
    </xf>
    <xf numFmtId="9" fontId="3" fillId="4" borderId="8" xfId="2" applyNumberFormat="1" applyFont="1" applyFill="1" applyBorder="1" applyAlignment="1">
      <alignment horizontal="center" vertical="center"/>
    </xf>
    <xf numFmtId="9" fontId="3" fillId="4" borderId="5" xfId="2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3" fillId="4" borderId="1" xfId="1" applyNumberFormat="1" applyFont="1" applyFill="1" applyBorder="1">
      <alignment vertical="center"/>
    </xf>
    <xf numFmtId="0" fontId="4" fillId="2" borderId="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1" fontId="3" fillId="4" borderId="8" xfId="1" applyNumberFormat="1" applyFont="1" applyFill="1" applyBorder="1">
      <alignment vertical="center"/>
    </xf>
    <xf numFmtId="0" fontId="3" fillId="4" borderId="9" xfId="1" applyNumberFormat="1" applyFont="1" applyFill="1" applyBorder="1">
      <alignment vertical="center"/>
    </xf>
    <xf numFmtId="1" fontId="3" fillId="4" borderId="5" xfId="1" applyNumberFormat="1" applyFont="1" applyFill="1" applyBorder="1">
      <alignment vertical="center"/>
    </xf>
    <xf numFmtId="0" fontId="10" fillId="0" borderId="27" xfId="0" applyFont="1" applyBorder="1">
      <alignment vertical="center"/>
    </xf>
    <xf numFmtId="0" fontId="10" fillId="0" borderId="59" xfId="0" applyFont="1" applyBorder="1">
      <alignment vertical="center"/>
    </xf>
    <xf numFmtId="0" fontId="10" fillId="0" borderId="70" xfId="0" applyFont="1" applyBorder="1">
      <alignment vertical="center"/>
    </xf>
    <xf numFmtId="0" fontId="10" fillId="0" borderId="71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72" xfId="0" applyFont="1" applyBorder="1">
      <alignment vertical="center"/>
    </xf>
    <xf numFmtId="0" fontId="10" fillId="0" borderId="73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74" xfId="0" applyFont="1" applyBorder="1">
      <alignment vertical="center"/>
    </xf>
    <xf numFmtId="2" fontId="3" fillId="4" borderId="8" xfId="1" applyNumberFormat="1" applyFont="1" applyFill="1" applyBorder="1" applyAlignment="1">
      <alignment horizontal="right" vertical="center"/>
    </xf>
    <xf numFmtId="2" fontId="3" fillId="4" borderId="5" xfId="1" applyNumberFormat="1" applyFont="1" applyFill="1" applyBorder="1" applyAlignment="1">
      <alignment horizontal="right" vertical="center"/>
    </xf>
    <xf numFmtId="2" fontId="3" fillId="4" borderId="1" xfId="1" applyNumberFormat="1" applyFont="1" applyFill="1" applyBorder="1" applyAlignment="1">
      <alignment horizontal="right" vertical="center"/>
    </xf>
    <xf numFmtId="2" fontId="3" fillId="4" borderId="9" xfId="1" applyNumberFormat="1" applyFont="1" applyFill="1" applyBorder="1" applyAlignment="1">
      <alignment horizontal="right" vertical="center"/>
    </xf>
    <xf numFmtId="0" fontId="4" fillId="2" borderId="6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49" xfId="0" applyFont="1" applyFill="1" applyBorder="1" applyAlignment="1">
      <alignment horizontal="center" vertical="center" wrapText="1"/>
    </xf>
    <xf numFmtId="9" fontId="3" fillId="4" borderId="1" xfId="2" applyFont="1" applyFill="1" applyBorder="1">
      <alignment vertical="center"/>
    </xf>
    <xf numFmtId="9" fontId="3" fillId="4" borderId="8" xfId="2" applyFont="1" applyFill="1" applyBorder="1">
      <alignment vertical="center"/>
    </xf>
    <xf numFmtId="10" fontId="3" fillId="4" borderId="1" xfId="2" applyNumberFormat="1" applyFont="1" applyFill="1" applyBorder="1" applyAlignment="1">
      <alignment horizontal="center" vertical="center"/>
    </xf>
    <xf numFmtId="10" fontId="3" fillId="4" borderId="8" xfId="2" applyNumberFormat="1" applyFont="1" applyFill="1" applyBorder="1" applyAlignment="1">
      <alignment horizontal="center" vertical="center"/>
    </xf>
    <xf numFmtId="10" fontId="3" fillId="4" borderId="9" xfId="2" applyNumberFormat="1" applyFont="1" applyFill="1" applyBorder="1" applyAlignment="1">
      <alignment horizontal="center" vertical="center"/>
    </xf>
    <xf numFmtId="10" fontId="3" fillId="4" borderId="5" xfId="2" applyNumberFormat="1" applyFont="1" applyFill="1" applyBorder="1" applyAlignment="1">
      <alignment horizontal="center" vertical="center"/>
    </xf>
    <xf numFmtId="178" fontId="3" fillId="4" borderId="1" xfId="1" applyNumberFormat="1" applyFont="1" applyFill="1" applyBorder="1" applyAlignment="1">
      <alignment horizontal="center" vertical="center"/>
    </xf>
    <xf numFmtId="178" fontId="3" fillId="4" borderId="8" xfId="1" applyNumberFormat="1" applyFont="1" applyFill="1" applyBorder="1" applyAlignment="1">
      <alignment horizontal="center" vertical="center"/>
    </xf>
    <xf numFmtId="178" fontId="3" fillId="4" borderId="9" xfId="1" applyNumberFormat="1" applyFont="1" applyFill="1" applyBorder="1" applyAlignment="1">
      <alignment horizontal="center" vertical="center"/>
    </xf>
    <xf numFmtId="1" fontId="3" fillId="4" borderId="5" xfId="1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 indent="3"/>
    </xf>
    <xf numFmtId="0" fontId="4" fillId="2" borderId="47" xfId="0" applyFont="1" applyFill="1" applyBorder="1" applyAlignment="1">
      <alignment horizontal="center" vertical="center" wrapText="1"/>
    </xf>
    <xf numFmtId="0" fontId="4" fillId="2" borderId="52" xfId="0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left" vertical="center"/>
    </xf>
    <xf numFmtId="1" fontId="3" fillId="4" borderId="1" xfId="1" applyNumberFormat="1" applyFont="1" applyFill="1" applyBorder="1">
      <alignment vertical="center"/>
    </xf>
    <xf numFmtId="1" fontId="3" fillId="4" borderId="9" xfId="1" applyNumberFormat="1" applyFont="1" applyFill="1" applyBorder="1">
      <alignment vertical="center"/>
    </xf>
    <xf numFmtId="0" fontId="4" fillId="2" borderId="6" xfId="0" applyNumberFormat="1" applyFont="1" applyFill="1" applyBorder="1" applyAlignment="1">
      <alignment horizontal="center" vertical="center"/>
    </xf>
    <xf numFmtId="180" fontId="3" fillId="4" borderId="1" xfId="1" applyNumberFormat="1" applyFont="1" applyFill="1" applyBorder="1">
      <alignment vertical="center"/>
    </xf>
    <xf numFmtId="180" fontId="3" fillId="4" borderId="9" xfId="1" applyNumberFormat="1" applyFont="1" applyFill="1" applyBorder="1">
      <alignment vertical="center"/>
    </xf>
    <xf numFmtId="181" fontId="3" fillId="4" borderId="8" xfId="1" applyNumberFormat="1" applyFont="1" applyFill="1" applyBorder="1" applyAlignment="1">
      <alignment horizontal="right" vertical="center"/>
    </xf>
    <xf numFmtId="181" fontId="3" fillId="4" borderId="5" xfId="1" applyNumberFormat="1" applyFont="1" applyFill="1" applyBorder="1" applyAlignment="1">
      <alignment horizontal="right" vertical="center"/>
    </xf>
    <xf numFmtId="0" fontId="4" fillId="2" borderId="26" xfId="0" applyFont="1" applyFill="1" applyBorder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2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ポートフォリオ・戦略リターンのヒストグラム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ポートフォリオのリターン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シミュレーション!$R$36:$R$66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53-44D2-BFB7-23686FF257A7}"/>
            </c:ext>
          </c:extLst>
        </c:ser>
        <c:ser>
          <c:idx val="0"/>
          <c:order val="1"/>
          <c:tx>
            <c:v>戦略のリターン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シミュレーション!$S$36:$S$66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82-4714-916E-B1542B5FD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戦略リターンのヒストグラム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戦略のリターン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シミュレーション!$S$36:$S$66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BD-49C3-89A7-992A959E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ポートフォリオリターンのヒストグラム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ポートフォリオのリターン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シミュレーション!$R$36:$R$66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6-45AE-B906-BA095083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49</xdr:row>
          <xdr:rowOff>57150</xdr:rowOff>
        </xdr:from>
        <xdr:to>
          <xdr:col>3</xdr:col>
          <xdr:colOff>1047750</xdr:colOff>
          <xdr:row>50</xdr:row>
          <xdr:rowOff>142875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50</xdr:row>
          <xdr:rowOff>190500</xdr:rowOff>
        </xdr:from>
        <xdr:to>
          <xdr:col>3</xdr:col>
          <xdr:colOff>1038225</xdr:colOff>
          <xdr:row>52</xdr:row>
          <xdr:rowOff>66675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52</xdr:row>
          <xdr:rowOff>123825</xdr:rowOff>
        </xdr:from>
        <xdr:to>
          <xdr:col>3</xdr:col>
          <xdr:colOff>1028700</xdr:colOff>
          <xdr:row>54</xdr:row>
          <xdr:rowOff>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818030</xdr:colOff>
      <xdr:row>2</xdr:row>
      <xdr:rowOff>112059</xdr:rowOff>
    </xdr:from>
    <xdr:to>
      <xdr:col>4</xdr:col>
      <xdr:colOff>78441</xdr:colOff>
      <xdr:row>2</xdr:row>
      <xdr:rowOff>652059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55912" y="705971"/>
          <a:ext cx="1949823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戦略</a:t>
          </a:r>
        </a:p>
      </xdr:txBody>
    </xdr:sp>
    <xdr:clientData/>
  </xdr:twoCellAnchor>
  <xdr:twoCellAnchor>
    <xdr:from>
      <xdr:col>4</xdr:col>
      <xdr:colOff>1284192</xdr:colOff>
      <xdr:row>2</xdr:row>
      <xdr:rowOff>118782</xdr:rowOff>
    </xdr:from>
    <xdr:to>
      <xdr:col>7</xdr:col>
      <xdr:colOff>280145</xdr:colOff>
      <xdr:row>2</xdr:row>
      <xdr:rowOff>658782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11486" y="712694"/>
          <a:ext cx="3074894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ポートフォリオ</a:t>
          </a:r>
        </a:p>
      </xdr:txBody>
    </xdr:sp>
    <xdr:clientData/>
  </xdr:twoCellAnchor>
  <xdr:twoCellAnchor>
    <xdr:from>
      <xdr:col>7</xdr:col>
      <xdr:colOff>1257296</xdr:colOff>
      <xdr:row>2</xdr:row>
      <xdr:rowOff>114300</xdr:rowOff>
    </xdr:from>
    <xdr:to>
      <xdr:col>9</xdr:col>
      <xdr:colOff>874055</xdr:colOff>
      <xdr:row>2</xdr:row>
      <xdr:rowOff>654300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63531" y="708212"/>
          <a:ext cx="2216524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オプション</a:t>
          </a:r>
        </a:p>
      </xdr:txBody>
    </xdr:sp>
    <xdr:clientData/>
  </xdr:twoCellAnchor>
  <xdr:twoCellAnchor>
    <xdr:from>
      <xdr:col>4</xdr:col>
      <xdr:colOff>313765</xdr:colOff>
      <xdr:row>2</xdr:row>
      <xdr:rowOff>145677</xdr:rowOff>
    </xdr:from>
    <xdr:to>
      <xdr:col>4</xdr:col>
      <xdr:colOff>1026460</xdr:colOff>
      <xdr:row>2</xdr:row>
      <xdr:rowOff>685677</xdr:rowOff>
    </xdr:to>
    <xdr:sp macro="" textlink="">
      <xdr:nvSpPr>
        <xdr:cNvPr id="3" name="等号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41059" y="739589"/>
          <a:ext cx="712695" cy="5400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481855</xdr:colOff>
      <xdr:row>2</xdr:row>
      <xdr:rowOff>145676</xdr:rowOff>
    </xdr:from>
    <xdr:to>
      <xdr:col>7</xdr:col>
      <xdr:colOff>1026461</xdr:colOff>
      <xdr:row>2</xdr:row>
      <xdr:rowOff>685676</xdr:rowOff>
    </xdr:to>
    <xdr:sp macro="" textlink="">
      <xdr:nvSpPr>
        <xdr:cNvPr id="4" name="加算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88090" y="739588"/>
          <a:ext cx="544606" cy="5400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851647</xdr:colOff>
          <xdr:row>11</xdr:row>
          <xdr:rowOff>0</xdr:rowOff>
        </xdr:from>
        <xdr:to>
          <xdr:col>8</xdr:col>
          <xdr:colOff>713814</xdr:colOff>
          <xdr:row>17</xdr:row>
          <xdr:rowOff>28575</xdr:rowOff>
        </xdr:to>
        <xdr:pic>
          <xdr:nvPicPr>
            <xdr:cNvPr id="12" name="図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ファンドデータ(変更不要)'!$Z$4:$AB$10" spid="_x0000_s12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858000" y="3092824"/>
              <a:ext cx="2461932" cy="130604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840439</xdr:colOff>
          <xdr:row>18</xdr:row>
          <xdr:rowOff>0</xdr:rowOff>
        </xdr:from>
        <xdr:to>
          <xdr:col>10</xdr:col>
          <xdr:colOff>66913</xdr:colOff>
          <xdr:row>24</xdr:row>
          <xdr:rowOff>28576</xdr:rowOff>
        </xdr:to>
        <xdr:pic>
          <xdr:nvPicPr>
            <xdr:cNvPr id="14" name="図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ファンドデータ(変更不要)'!$R$4:$X$10" spid="_x0000_s12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46792" y="4583206"/>
              <a:ext cx="4643717" cy="130604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328462</xdr:colOff>
      <xdr:row>32</xdr:row>
      <xdr:rowOff>184673</xdr:rowOff>
    </xdr:from>
    <xdr:to>
      <xdr:col>24</xdr:col>
      <xdr:colOff>111643</xdr:colOff>
      <xdr:row>51</xdr:row>
      <xdr:rowOff>33326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</xdr:colOff>
      <xdr:row>0</xdr:row>
      <xdr:rowOff>97651</xdr:rowOff>
    </xdr:from>
    <xdr:to>
      <xdr:col>24</xdr:col>
      <xdr:colOff>89648</xdr:colOff>
      <xdr:row>14</xdr:row>
      <xdr:rowOff>166187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2094</xdr:colOff>
      <xdr:row>15</xdr:row>
      <xdr:rowOff>11420</xdr:rowOff>
    </xdr:from>
    <xdr:to>
      <xdr:col>24</xdr:col>
      <xdr:colOff>91925</xdr:colOff>
      <xdr:row>32</xdr:row>
      <xdr:rowOff>181958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2:AB72"/>
  <sheetViews>
    <sheetView showGridLines="0" tabSelected="1" zoomScale="70" zoomScaleNormal="70" workbookViewId="0">
      <selection activeCell="G29" sqref="G29"/>
    </sheetView>
  </sheetViews>
  <sheetFormatPr defaultRowHeight="13.5" x14ac:dyDescent="0.15"/>
  <cols>
    <col min="1" max="1" width="1.625" customWidth="1"/>
    <col min="2" max="2" width="5.375" customWidth="1"/>
    <col min="3" max="3" width="17.125" customWidth="1"/>
    <col min="4" max="6" width="18.25" customWidth="1"/>
    <col min="7" max="8" width="17.125" customWidth="1"/>
    <col min="9" max="9" width="20" customWidth="1"/>
    <col min="10" max="11" width="17.125" customWidth="1"/>
    <col min="12" max="12" width="5.375" customWidth="1"/>
    <col min="13" max="13" width="3.875" customWidth="1"/>
    <col min="14" max="14" width="3.5" customWidth="1"/>
    <col min="15" max="15" width="20.125" customWidth="1"/>
    <col min="16" max="16" width="11.375" customWidth="1"/>
    <col min="17" max="17" width="2.75" customWidth="1"/>
    <col min="18" max="27" width="11.375" customWidth="1"/>
    <col min="28" max="28" width="3.75" customWidth="1"/>
    <col min="29" max="30" width="17.125" customWidth="1"/>
    <col min="31" max="31" width="2.625" customWidth="1"/>
  </cols>
  <sheetData>
    <row r="2" spans="2:28" ht="33.75" customHeight="1" x14ac:dyDescent="0.15">
      <c r="B2" s="150" t="s">
        <v>0</v>
      </c>
      <c r="N2" s="150" t="s">
        <v>1</v>
      </c>
    </row>
    <row r="3" spans="2:28" ht="63" customHeight="1" thickBot="1" x14ac:dyDescent="0.2">
      <c r="B3" s="150"/>
      <c r="N3" s="150"/>
    </row>
    <row r="4" spans="2:28" ht="16.5" customHeight="1" thickBot="1" x14ac:dyDescent="0.2">
      <c r="B4" s="143" t="s">
        <v>2</v>
      </c>
      <c r="C4" s="144"/>
      <c r="D4" s="135"/>
      <c r="E4" s="135"/>
      <c r="F4" s="135"/>
      <c r="G4" s="135"/>
      <c r="H4" s="135"/>
      <c r="I4" s="135"/>
      <c r="J4" s="135"/>
      <c r="K4" s="135"/>
      <c r="L4" s="136"/>
      <c r="N4" s="154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6"/>
    </row>
    <row r="5" spans="2:28" ht="16.5" customHeight="1" thickBot="1" x14ac:dyDescent="0.2">
      <c r="B5" s="137"/>
      <c r="C5" s="63" t="s">
        <v>3</v>
      </c>
      <c r="D5" s="64"/>
      <c r="E5" s="64"/>
      <c r="F5" s="63" t="s">
        <v>4</v>
      </c>
      <c r="G5" s="64"/>
      <c r="H5" s="64"/>
      <c r="I5" s="64"/>
      <c r="J5" s="64"/>
      <c r="K5" s="64"/>
      <c r="L5" s="138"/>
      <c r="N5" s="157"/>
      <c r="O5" s="64"/>
      <c r="P5" s="178" t="s">
        <v>5</v>
      </c>
      <c r="Q5" s="179"/>
      <c r="R5" s="180" t="s">
        <v>6</v>
      </c>
      <c r="S5" s="64"/>
      <c r="T5" s="64"/>
      <c r="U5" s="64"/>
      <c r="V5" s="64"/>
      <c r="W5" s="64"/>
      <c r="X5" s="64"/>
      <c r="Y5" s="64"/>
      <c r="Z5" s="64"/>
      <c r="AA5" s="64"/>
      <c r="AB5" s="158"/>
    </row>
    <row r="6" spans="2:28" ht="16.5" customHeight="1" thickBot="1" x14ac:dyDescent="0.2">
      <c r="B6" s="139"/>
      <c r="C6" s="10" t="s">
        <v>7</v>
      </c>
      <c r="D6" s="11">
        <v>43497</v>
      </c>
      <c r="E6" s="64"/>
      <c r="F6" s="165" t="s">
        <v>98</v>
      </c>
      <c r="G6" s="166">
        <v>970</v>
      </c>
      <c r="H6" s="64"/>
      <c r="I6" s="64"/>
      <c r="J6" s="64"/>
      <c r="K6" s="64"/>
      <c r="L6" s="138"/>
      <c r="N6" s="157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141"/>
      <c r="AB6" s="158"/>
    </row>
    <row r="7" spans="2:28" ht="16.5" customHeight="1" thickBot="1" x14ac:dyDescent="0.2">
      <c r="B7" s="149"/>
      <c r="C7" s="12" t="s">
        <v>8</v>
      </c>
      <c r="D7" s="35">
        <f>IF(D6="","",D6+52*7)</f>
        <v>43861</v>
      </c>
      <c r="E7" s="139"/>
      <c r="F7" s="135"/>
      <c r="G7" s="135"/>
      <c r="H7" s="64"/>
      <c r="I7" s="64"/>
      <c r="J7" s="64"/>
      <c r="K7" s="64"/>
      <c r="L7" s="138"/>
      <c r="M7" s="64"/>
      <c r="N7" s="157"/>
      <c r="O7" s="64"/>
      <c r="P7" s="10" t="s">
        <v>9</v>
      </c>
      <c r="Q7" s="241"/>
      <c r="R7" s="176"/>
      <c r="S7" s="176"/>
      <c r="T7" s="176"/>
      <c r="U7" s="176"/>
      <c r="V7" s="176"/>
      <c r="W7" s="176"/>
      <c r="X7" s="176"/>
      <c r="Y7" s="176"/>
      <c r="Z7" s="176"/>
      <c r="AA7" s="11"/>
      <c r="AB7" s="158"/>
    </row>
    <row r="8" spans="2:28" ht="16.5" customHeight="1" thickBot="1" x14ac:dyDescent="0.2">
      <c r="B8" s="139"/>
      <c r="C8" s="135"/>
      <c r="D8" s="135"/>
      <c r="E8" s="64"/>
      <c r="F8" s="64"/>
      <c r="G8" s="64"/>
      <c r="H8" s="64"/>
      <c r="I8" s="64"/>
      <c r="J8" s="64"/>
      <c r="K8" s="64"/>
      <c r="L8" s="138"/>
      <c r="M8" s="64"/>
      <c r="N8" s="157"/>
      <c r="O8" s="64"/>
      <c r="P8" s="12" t="s">
        <v>10</v>
      </c>
      <c r="Q8" s="242"/>
      <c r="R8" s="177"/>
      <c r="S8" s="177"/>
      <c r="T8" s="177"/>
      <c r="U8" s="177"/>
      <c r="V8" s="177"/>
      <c r="W8" s="177"/>
      <c r="X8" s="177"/>
      <c r="Y8" s="177"/>
      <c r="Z8" s="177"/>
      <c r="AA8" s="35"/>
      <c r="AB8" s="158"/>
    </row>
    <row r="9" spans="2:28" ht="16.5" customHeight="1" thickBot="1" x14ac:dyDescent="0.2">
      <c r="B9" s="137" t="s">
        <v>11</v>
      </c>
      <c r="C9" s="64"/>
      <c r="D9" s="64"/>
      <c r="E9" s="64"/>
      <c r="F9" s="64"/>
      <c r="G9" s="64"/>
      <c r="H9" s="64"/>
      <c r="I9" s="64"/>
      <c r="J9" s="64"/>
      <c r="K9" s="64"/>
      <c r="L9" s="138"/>
      <c r="N9" s="157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135"/>
      <c r="AA9" s="64"/>
      <c r="AB9" s="158"/>
    </row>
    <row r="10" spans="2:28" ht="16.5" customHeight="1" x14ac:dyDescent="0.15">
      <c r="B10" s="137"/>
      <c r="C10" s="64"/>
      <c r="D10" s="64"/>
      <c r="E10" s="64"/>
      <c r="F10" s="64"/>
      <c r="G10" s="64"/>
      <c r="I10" s="64"/>
      <c r="J10" s="64"/>
      <c r="K10" s="64"/>
      <c r="L10" s="138"/>
      <c r="N10" s="157"/>
      <c r="O10" s="63" t="s">
        <v>106</v>
      </c>
      <c r="P10" s="53" t="s">
        <v>12</v>
      </c>
      <c r="Q10" s="86"/>
      <c r="R10" s="170" t="str">
        <f ca="1">IF(OR(R7="",OFFSET($C$19,0,MATCH($R$5,$D$12:$F$12,0))=""),"",OFFSET($F$50,MATCH($R$5,$E$51:$E$53,0),0))</f>
        <v/>
      </c>
      <c r="S10" s="170" t="str">
        <f t="shared" ref="S10:AA10" ca="1" si="0">IF(OR(S7="",OFFSET($C$19,0,MATCH($R$5,$D$12:$F$12,0))=""),"",OFFSET($F$50,MATCH($R$5,$E$51:$E$53,0),0))</f>
        <v/>
      </c>
      <c r="T10" s="170" t="str">
        <f t="shared" ca="1" si="0"/>
        <v/>
      </c>
      <c r="U10" s="170" t="str">
        <f t="shared" ca="1" si="0"/>
        <v/>
      </c>
      <c r="V10" s="170" t="str">
        <f t="shared" ca="1" si="0"/>
        <v/>
      </c>
      <c r="W10" s="170" t="str">
        <f t="shared" ca="1" si="0"/>
        <v/>
      </c>
      <c r="X10" s="170" t="str">
        <f t="shared" ca="1" si="0"/>
        <v/>
      </c>
      <c r="Y10" s="170" t="str">
        <f t="shared" ca="1" si="0"/>
        <v/>
      </c>
      <c r="Z10" s="170" t="str">
        <f t="shared" ca="1" si="0"/>
        <v/>
      </c>
      <c r="AA10" s="73" t="str">
        <f t="shared" ca="1" si="0"/>
        <v/>
      </c>
      <c r="AB10" s="158"/>
    </row>
    <row r="11" spans="2:28" ht="16.5" customHeight="1" thickBot="1" x14ac:dyDescent="0.2">
      <c r="B11" s="137"/>
      <c r="C11" s="63" t="s">
        <v>13</v>
      </c>
      <c r="D11" s="64"/>
      <c r="E11" s="64"/>
      <c r="F11" s="64"/>
      <c r="G11" s="254" t="s">
        <v>14</v>
      </c>
      <c r="L11" s="138"/>
      <c r="N11" s="157"/>
      <c r="O11" s="64"/>
      <c r="P11" s="167" t="s">
        <v>15</v>
      </c>
      <c r="Q11" s="120"/>
      <c r="R11" s="87" t="str">
        <f ca="1">IF(OR(R7="",OFFSET($C$19,0,MATCH($R$5,$D$12:$F$12,0))=""),"",'ヘッジ付きポートフォリオ計算用（変更不要）'!T67)</f>
        <v/>
      </c>
      <c r="S11" s="87" t="str">
        <f ca="1">IF(OR(S7="",OFFSET($C$19,0,MATCH($R$5,$D$12:$F$12,0))=""),"",'ヘッジ付きポートフォリオ計算用（変更不要）'!U67)</f>
        <v/>
      </c>
      <c r="T11" s="87" t="str">
        <f ca="1">IF(OR(T7="",OFFSET($C$19,0,MATCH($R$5,$D$12:$F$12,0))=""),"",'ヘッジ付きポートフォリオ計算用（変更不要）'!V67)</f>
        <v/>
      </c>
      <c r="U11" s="87" t="str">
        <f ca="1">IF(OR(U7="",OFFSET($C$19,0,MATCH($R$5,$D$12:$F$12,0))=""),"",'ヘッジ付きポートフォリオ計算用（変更不要）'!W67)</f>
        <v/>
      </c>
      <c r="V11" s="87" t="str">
        <f ca="1">IF(OR(V7="",OFFSET($C$19,0,MATCH($R$5,$D$12:$F$12,0))=""),"",'ヘッジ付きポートフォリオ計算用（変更不要）'!X67)</f>
        <v/>
      </c>
      <c r="W11" s="87" t="str">
        <f ca="1">IF(OR(W7="",OFFSET($C$19,0,MATCH($R$5,$D$12:$F$12,0))=""),"",'ヘッジ付きポートフォリオ計算用（変更不要）'!Y67)</f>
        <v/>
      </c>
      <c r="X11" s="87" t="str">
        <f ca="1">IF(OR(X7="",OFFSET($C$19,0,MATCH($R$5,$D$12:$F$12,0))=""),"",'ヘッジ付きポートフォリオ計算用（変更不要）'!Z67)</f>
        <v/>
      </c>
      <c r="Y11" s="87" t="str">
        <f ca="1">IF(OR(Y7="",OFFSET($C$19,0,MATCH($R$5,$D$12:$F$12,0))=""),"",'ヘッジ付きポートフォリオ計算用（変更不要）'!AA67)</f>
        <v/>
      </c>
      <c r="Z11" s="87" t="str">
        <f ca="1">IF(OR(Z7="",OFFSET($C$19,0,MATCH($R$5,$D$12:$F$12,0))=""),"",'ヘッジ付きポートフォリオ計算用（変更不要）'!AB67)</f>
        <v/>
      </c>
      <c r="AA11" s="44" t="str">
        <f ca="1">IF(OR(AA7="",OFFSET($C$19,0,MATCH($R$5,$D$12:$F$12,0))=""),"",'ヘッジ付きポートフォリオ計算用（変更不要）'!AC67)</f>
        <v/>
      </c>
      <c r="AB11" s="158"/>
    </row>
    <row r="12" spans="2:28" ht="16.5" customHeight="1" x14ac:dyDescent="0.15">
      <c r="B12" s="139"/>
      <c r="C12" s="13"/>
      <c r="D12" s="260" t="s">
        <v>16</v>
      </c>
      <c r="E12" s="36" t="s">
        <v>17</v>
      </c>
      <c r="F12" s="37" t="s">
        <v>18</v>
      </c>
      <c r="L12" s="138"/>
      <c r="N12" s="157"/>
      <c r="O12" s="63" t="s">
        <v>107</v>
      </c>
      <c r="P12" s="60" t="s">
        <v>19</v>
      </c>
      <c r="Q12" s="51">
        <v>1</v>
      </c>
      <c r="R12" s="152" t="str">
        <f ca="1">IF(OR(R7="",OFFSET($C$19,0,MATCH($R$5,$D$12:$F$12,0))=""),"",EuropeanOptionPrice(OFFSET($F$27,MATCH($R$5,$C$28:$C$33,0)+MATCH($Q12,$D$28:$D$29,0)-1,0),R$11,0,OFFSET($G$27,MATCH($R$5,$C$28:$C$33,0)+MATCH($Q12,$D$28:$D$29,0)-1,0),OFFSET($C$12,1,MATCH($R$5,$D$12:$F$12,0),6,1))*OFFSET($E$27,MATCH($R$5,$C$28:$C$33,0)+MATCH($Q12,$D$28:$D$29,0)-1,0))</f>
        <v/>
      </c>
      <c r="S12" s="152" t="str">
        <f ca="1">IF(OR(S7="",OFFSET($C$19,0,MATCH($R$5,$D$12:$F$12,0))=""),"",EuropeanOptionPrice(OFFSET($F$27,MATCH($R$5,$C$28:$C$33,0)+MATCH($Q12,$D$28:$D$29,0)-1,0),S$11,0,OFFSET($G$27,MATCH($R$5,$C$28:$C$33,0)+MATCH($Q12,$D$28:$D$29,0)-1,0),OFFSET($C$12,1,MATCH($R$5,$D$12:$F$12,0),6,1))*OFFSET($E$27,MATCH($R$5,$C$28:$C$33,0)+MATCH($Q12,$D$28:$D$29,0)-1,0))</f>
        <v/>
      </c>
      <c r="T12" s="152" t="str">
        <f ca="1">IF(OR(T7="",OFFSET($C$19,0,MATCH($R$5,$D$12:$F$12,0))=""),"",EuropeanOptionPrice(OFFSET($F$27,MATCH($R$5,$C$28:$C$33,0)+MATCH($Q12,$D$28:$D$29,0)-1,0),T$11,0,OFFSET($G$27,MATCH($R$5,$C$28:$C$33,0)+MATCH($Q12,$D$28:$D$29,0)-1,0),OFFSET($C$12,1,MATCH($R$5,$D$12:$F$12,0),6,1))*OFFSET($E$27,MATCH($R$5,$C$28:$C$33,0)+MATCH($Q12,$D$28:$D$29,0)-1,0))</f>
        <v/>
      </c>
      <c r="U12" s="152" t="str">
        <f ca="1">IF(OR(U7="",OFFSET($C$19,0,MATCH($R$5,$D$12:$F$12,0))=""),"",EuropeanOptionPrice(OFFSET($F$27,MATCH($R$5,$C$28:$C$33,0)+MATCH($Q12,$D$28:$D$29,0)-1,0),U$11,0,OFFSET($G$27,MATCH($R$5,$C$28:$C$33,0)+MATCH($Q12,$D$28:$D$29,0)-1,0),OFFSET($C$12,1,MATCH($R$5,$D$12:$F$12,0),6,1))*OFFSET($E$27,MATCH($R$5,$C$28:$C$33,0)+MATCH($Q12,$D$28:$D$29,0)-1,0))</f>
        <v/>
      </c>
      <c r="V12" s="152" t="str">
        <f ca="1">IF(OR(V7="",OFFSET($C$19,0,MATCH($R$5,$D$12:$F$12,0))=""),"",EuropeanOptionPrice(OFFSET($F$27,MATCH($R$5,$C$28:$C$33,0)+MATCH($Q12,$D$28:$D$29,0)-1,0),V$11,0,OFFSET($G$27,MATCH($R$5,$C$28:$C$33,0)+MATCH($Q12,$D$28:$D$29,0)-1,0),OFFSET($C$12,1,MATCH($R$5,$D$12:$F$12,0),6,1))*OFFSET($E$27,MATCH($R$5,$C$28:$C$33,0)+MATCH($Q12,$D$28:$D$29,0)-1,0))</f>
        <v/>
      </c>
      <c r="W12" s="152" t="str">
        <f ca="1">IF(OR(W7="",OFFSET($C$19,0,MATCH($R$5,$D$12:$F$12,0))=""),"",EuropeanOptionPrice(OFFSET($F$27,MATCH($R$5,$C$28:$C$33,0)+MATCH($Q12,$D$28:$D$29,0)-1,0),W$11,0,OFFSET($G$27,MATCH($R$5,$C$28:$C$33,0)+MATCH($Q12,$D$28:$D$29,0)-1,0),OFFSET($C$12,1,MATCH($R$5,$D$12:$F$12,0),6,1))*OFFSET($E$27,MATCH($R$5,$C$28:$C$33,0)+MATCH($Q12,$D$28:$D$29,0)-1,0))</f>
        <v/>
      </c>
      <c r="X12" s="152" t="str">
        <f ca="1">IF(OR(X7="",OFFSET($C$19,0,MATCH($R$5,$D$12:$F$12,0))=""),"",EuropeanOptionPrice(OFFSET($F$27,MATCH($R$5,$C$28:$C$33,0)+MATCH($Q12,$D$28:$D$29,0)-1,0),X$11,0,OFFSET($G$27,MATCH($R$5,$C$28:$C$33,0)+MATCH($Q12,$D$28:$D$29,0)-1,0),OFFSET($C$12,1,MATCH($R$5,$D$12:$F$12,0),6,1))*OFFSET($E$27,MATCH($R$5,$C$28:$C$33,0)+MATCH($Q12,$D$28:$D$29,0)-1,0))</f>
        <v/>
      </c>
      <c r="Y12" s="152" t="str">
        <f ca="1">IF(OR(Y7="",OFFSET($C$19,0,MATCH($R$5,$D$12:$F$12,0))=""),"",EuropeanOptionPrice(OFFSET($F$27,MATCH($R$5,$C$28:$C$33,0)+MATCH($Q12,$D$28:$D$29,0)-1,0),Y$11,0,OFFSET($G$27,MATCH($R$5,$C$28:$C$33,0)+MATCH($Q12,$D$28:$D$29,0)-1,0),OFFSET($C$12,1,MATCH($R$5,$D$12:$F$12,0),6,1))*OFFSET($E$27,MATCH($R$5,$C$28:$C$33,0)+MATCH($Q12,$D$28:$D$29,0)-1,0))</f>
        <v/>
      </c>
      <c r="Z12" s="152" t="str">
        <f ca="1">IF(OR(Z7="",OFFSET($C$19,0,MATCH($R$5,$D$12:$F$12,0))=""),"",EuropeanOptionPrice(OFFSET($F$27,MATCH($R$5,$C$28:$C$33,0)+MATCH($Q12,$D$28:$D$29,0)-1,0),Z$11,0,OFFSET($G$27,MATCH($R$5,$C$28:$C$33,0)+MATCH($Q12,$D$28:$D$29,0)-1,0),OFFSET($C$12,1,MATCH($R$5,$D$12:$F$12,0),6,1))*OFFSET($E$27,MATCH($R$5,$C$28:$C$33,0)+MATCH($Q12,$D$28:$D$29,0)-1,0))</f>
        <v/>
      </c>
      <c r="AA12" s="151" t="str">
        <f ca="1">IF(OR(AA7="",OFFSET($C$19,0,MATCH($R$5,$D$12:$F$12,0))=""),"",EuropeanOptionPrice(OFFSET($F$27,MATCH($R$5,$C$28:$C$33,0)+MATCH($Q12,$D$28:$D$29,0)-1,0),AA$11,0,OFFSET($G$27,MATCH($R$5,$C$28:$C$33,0)+MATCH($Q12,$D$28:$D$29,0)-1,0),OFFSET($C$12,1,MATCH($R$5,$D$12:$F$12,0),6,1))*OFFSET($E$27,MATCH($R$5,$C$28:$C$33,0)+MATCH($Q12,$D$28:$D$29,0)-1,0))</f>
        <v/>
      </c>
      <c r="AB12" s="158"/>
    </row>
    <row r="13" spans="2:28" ht="16.5" customHeight="1" x14ac:dyDescent="0.15">
      <c r="B13" s="139"/>
      <c r="C13" s="18" t="s">
        <v>20</v>
      </c>
      <c r="D13" s="33">
        <v>8.8048363525676729E-2</v>
      </c>
      <c r="E13" s="33">
        <v>0</v>
      </c>
      <c r="F13" s="19">
        <v>0</v>
      </c>
      <c r="L13" s="138"/>
      <c r="N13" s="157"/>
      <c r="O13" s="64"/>
      <c r="P13" s="57"/>
      <c r="Q13" s="48">
        <v>2</v>
      </c>
      <c r="R13" s="87" t="str">
        <f ca="1">IF(OR(R7="",OFFSET($C$19,0,MATCH($R$5,$D$12:$F$12,0))=""),"",EuropeanOptionPrice(OFFSET($F$27,MATCH($R$5,$C$28:$C$33,0)+MATCH($Q13,$D$28:$D$29,0)-1,0),R$11,0,OFFSET($G$27,MATCH($R$5,$C$28:$C$33,0)+MATCH($Q13,$D$28:$D$29,0)-1,0),OFFSET($C$12,1,MATCH($R$5,$D$12:$F$12,0),6,1))*OFFSET($E$27,MATCH($R$5,$C$28:$C$33,0)+MATCH($Q13,$D$28:$D$29,0)-1,0))</f>
        <v/>
      </c>
      <c r="S13" s="87" t="str">
        <f ca="1">IF(OR(S7="",OFFSET($C$19,0,MATCH($R$5,$D$12:$F$12,0))=""),"",EuropeanOptionPrice(OFFSET($F$27,MATCH($R$5,$C$28:$C$33,0)+MATCH($Q13,$D$28:$D$29,0)-1,0),S$11,0,OFFSET($G$27,MATCH($R$5,$C$28:$C$33,0)+MATCH($Q13,$D$28:$D$29,0)-1,0),OFFSET($C$12,1,MATCH($R$5,$D$12:$F$12,0),6,1))*OFFSET($E$27,MATCH($R$5,$C$28:$C$33,0)+MATCH($Q13,$D$28:$D$29,0)-1,0))</f>
        <v/>
      </c>
      <c r="T13" s="87" t="str">
        <f ca="1">IF(OR(T7="",OFFSET($C$19,0,MATCH($R$5,$D$12:$F$12,0))=""),"",EuropeanOptionPrice(OFFSET($F$27,MATCH($R$5,$C$28:$C$33,0)+MATCH($Q13,$D$28:$D$29,0)-1,0),T$11,0,OFFSET($G$27,MATCH($R$5,$C$28:$C$33,0)+MATCH($Q13,$D$28:$D$29,0)-1,0),OFFSET($C$12,1,MATCH($R$5,$D$12:$F$12,0),6,1))*OFFSET($E$27,MATCH($R$5,$C$28:$C$33,0)+MATCH($Q13,$D$28:$D$29,0)-1,0))</f>
        <v/>
      </c>
      <c r="U13" s="87" t="str">
        <f ca="1">IF(OR(U7="",OFFSET($C$19,0,MATCH($R$5,$D$12:$F$12,0))=""),"",EuropeanOptionPrice(OFFSET($F$27,MATCH($R$5,$C$28:$C$33,0)+MATCH($Q13,$D$28:$D$29,0)-1,0),U$11,0,OFFSET($G$27,MATCH($R$5,$C$28:$C$33,0)+MATCH($Q13,$D$28:$D$29,0)-1,0),OFFSET($C$12,1,MATCH($R$5,$D$12:$F$12,0),6,1))*OFFSET($E$27,MATCH($R$5,$C$28:$C$33,0)+MATCH($Q13,$D$28:$D$29,0)-1,0))</f>
        <v/>
      </c>
      <c r="V13" s="87" t="str">
        <f ca="1">IF(OR(V7="",OFFSET($C$19,0,MATCH($R$5,$D$12:$F$12,0))=""),"",EuropeanOptionPrice(OFFSET($F$27,MATCH($R$5,$C$28:$C$33,0)+MATCH($Q13,$D$28:$D$29,0)-1,0),V$11,0,OFFSET($G$27,MATCH($R$5,$C$28:$C$33,0)+MATCH($Q13,$D$28:$D$29,0)-1,0),OFFSET($C$12,1,MATCH($R$5,$D$12:$F$12,0),6,1))*OFFSET($E$27,MATCH($R$5,$C$28:$C$33,0)+MATCH($Q13,$D$28:$D$29,0)-1,0))</f>
        <v/>
      </c>
      <c r="W13" s="87" t="str">
        <f ca="1">IF(OR(W7="",OFFSET($C$19,0,MATCH($R$5,$D$12:$F$12,0))=""),"",EuropeanOptionPrice(OFFSET($F$27,MATCH($R$5,$C$28:$C$33,0)+MATCH($Q13,$D$28:$D$29,0)-1,0),W$11,0,OFFSET($G$27,MATCH($R$5,$C$28:$C$33,0)+MATCH($Q13,$D$28:$D$29,0)-1,0),OFFSET($C$12,1,MATCH($R$5,$D$12:$F$12,0),6,1))*OFFSET($E$27,MATCH($R$5,$C$28:$C$33,0)+MATCH($Q13,$D$28:$D$29,0)-1,0))</f>
        <v/>
      </c>
      <c r="X13" s="87" t="str">
        <f ca="1">IF(OR(X7="",OFFSET($C$19,0,MATCH($R$5,$D$12:$F$12,0))=""),"",EuropeanOptionPrice(OFFSET($F$27,MATCH($R$5,$C$28:$C$33,0)+MATCH($Q13,$D$28:$D$29,0)-1,0),X$11,0,OFFSET($G$27,MATCH($R$5,$C$28:$C$33,0)+MATCH($Q13,$D$28:$D$29,0)-1,0),OFFSET($C$12,1,MATCH($R$5,$D$12:$F$12,0),6,1))*OFFSET($E$27,MATCH($R$5,$C$28:$C$33,0)+MATCH($Q13,$D$28:$D$29,0)-1,0))</f>
        <v/>
      </c>
      <c r="Y13" s="87" t="str">
        <f ca="1">IF(OR(Y7="",OFFSET($C$19,0,MATCH($R$5,$D$12:$F$12,0))=""),"",EuropeanOptionPrice(OFFSET($F$27,MATCH($R$5,$C$28:$C$33,0)+MATCH($Q13,$D$28:$D$29,0)-1,0),Y$11,0,OFFSET($G$27,MATCH($R$5,$C$28:$C$33,0)+MATCH($Q13,$D$28:$D$29,0)-1,0),OFFSET($C$12,1,MATCH($R$5,$D$12:$F$12,0),6,1))*OFFSET($E$27,MATCH($R$5,$C$28:$C$33,0)+MATCH($Q13,$D$28:$D$29,0)-1,0))</f>
        <v/>
      </c>
      <c r="Z13" s="87" t="str">
        <f ca="1">IF(OR(Z7="",OFFSET($C$19,0,MATCH($R$5,$D$12:$F$12,0))=""),"",EuropeanOptionPrice(OFFSET($F$27,MATCH($R$5,$C$28:$C$33,0)+MATCH($Q13,$D$28:$D$29,0)-1,0),Z$11,0,OFFSET($G$27,MATCH($R$5,$C$28:$C$33,0)+MATCH($Q13,$D$28:$D$29,0)-1,0),OFFSET($C$12,1,MATCH($R$5,$D$12:$F$12,0),6,1))*OFFSET($E$27,MATCH($R$5,$C$28:$C$33,0)+MATCH($Q13,$D$28:$D$29,0)-1,0))</f>
        <v/>
      </c>
      <c r="AA13" s="44" t="str">
        <f ca="1">IF(OR(AA7="",OFFSET($C$19,0,MATCH($R$5,$D$12:$F$12,0))=""),"",EuropeanOptionPrice(OFFSET($F$27,MATCH($R$5,$C$28:$C$33,0)+MATCH($Q13,$D$28:$D$29,0)-1,0),AA$11,0,OFFSET($G$27,MATCH($R$5,$C$28:$C$33,0)+MATCH($Q13,$D$28:$D$29,0)-1,0),OFFSET($C$12,1,MATCH($R$5,$D$12:$F$12,0),6,1))*OFFSET($E$27,MATCH($R$5,$C$28:$C$33,0)+MATCH($Q13,$D$28:$D$29,0)-1,0))</f>
        <v/>
      </c>
      <c r="AB13" s="158"/>
    </row>
    <row r="14" spans="2:28" ht="16.5" customHeight="1" x14ac:dyDescent="0.15">
      <c r="B14" s="139"/>
      <c r="C14" s="18" t="s">
        <v>21</v>
      </c>
      <c r="D14" s="33">
        <v>0.3</v>
      </c>
      <c r="E14" s="33">
        <v>0.13958900016641948</v>
      </c>
      <c r="F14" s="19">
        <v>0.13958900016641948</v>
      </c>
      <c r="L14" s="138"/>
      <c r="N14" s="157"/>
      <c r="O14" s="64"/>
      <c r="P14" s="74" t="s">
        <v>22</v>
      </c>
      <c r="Q14" s="48">
        <v>1</v>
      </c>
      <c r="R14" s="87" t="str">
        <f ca="1">IF(OR(R7="",OFFSET($C$19,0,MATCH($R$5,$D$12:$F$12,0))=""),"",'ヘッジ付きポートフォリオ計算用（変更不要）'!AF67*'ヘッジ付きポートフォリオ計算用（変更不要）'!AF123*'ヘッジ付きポートフォリオ計算用（変更不要）'!AF123)</f>
        <v/>
      </c>
      <c r="S14" s="87" t="str">
        <f ca="1">IF(OR(S7="",OFFSET($C$19,0,MATCH($R$5,$D$12:$F$12,0))=""),"",'ヘッジ付きポートフォリオ計算用（変更不要）'!AG67*'ヘッジ付きポートフォリオ計算用（変更不要）'!AG123*'ヘッジ付きポートフォリオ計算用（変更不要）'!AG123)</f>
        <v/>
      </c>
      <c r="T14" s="87" t="str">
        <f ca="1">IF(OR(T7="",OFFSET($C$19,0,MATCH($R$5,$D$12:$F$12,0))=""),"",'ヘッジ付きポートフォリオ計算用（変更不要）'!AH67*'ヘッジ付きポートフォリオ計算用（変更不要）'!AH123*'ヘッジ付きポートフォリオ計算用（変更不要）'!AH123)</f>
        <v/>
      </c>
      <c r="U14" s="87" t="str">
        <f ca="1">IF(OR(U7="",OFFSET($C$19,0,MATCH($R$5,$D$12:$F$12,0))=""),"",'ヘッジ付きポートフォリオ計算用（変更不要）'!AI67*'ヘッジ付きポートフォリオ計算用（変更不要）'!AI123*'ヘッジ付きポートフォリオ計算用（変更不要）'!AI123)</f>
        <v/>
      </c>
      <c r="V14" s="87" t="str">
        <f ca="1">IF(OR(V7="",OFFSET($C$19,0,MATCH($R$5,$D$12:$F$12,0))=""),"",'ヘッジ付きポートフォリオ計算用（変更不要）'!AJ67*'ヘッジ付きポートフォリオ計算用（変更不要）'!AJ123*'ヘッジ付きポートフォリオ計算用（変更不要）'!AJ123)</f>
        <v/>
      </c>
      <c r="W14" s="87" t="str">
        <f ca="1">IF(OR(W7="",OFFSET($C$19,0,MATCH($R$5,$D$12:$F$12,0))=""),"",'ヘッジ付きポートフォリオ計算用（変更不要）'!AK67*'ヘッジ付きポートフォリオ計算用（変更不要）'!AK123*'ヘッジ付きポートフォリオ計算用（変更不要）'!AK123)</f>
        <v/>
      </c>
      <c r="X14" s="87" t="str">
        <f ca="1">IF(OR(X7="",OFFSET($C$19,0,MATCH($R$5,$D$12:$F$12,0))=""),"",'ヘッジ付きポートフォリオ計算用（変更不要）'!AL67*'ヘッジ付きポートフォリオ計算用（変更不要）'!AL123*'ヘッジ付きポートフォリオ計算用（変更不要）'!AL123)</f>
        <v/>
      </c>
      <c r="Y14" s="87" t="str">
        <f ca="1">IF(OR(Y7="",OFFSET($C$19,0,MATCH($R$5,$D$12:$F$12,0))=""),"",'ヘッジ付きポートフォリオ計算用（変更不要）'!AM67*'ヘッジ付きポートフォリオ計算用（変更不要）'!AM123*'ヘッジ付きポートフォリオ計算用（変更不要）'!AM123)</f>
        <v/>
      </c>
      <c r="Z14" s="87" t="str">
        <f ca="1">IF(OR(Z7="",OFFSET($C$19,0,MATCH($R$5,$D$12:$F$12,0))=""),"",'ヘッジ付きポートフォリオ計算用（変更不要）'!AN67*'ヘッジ付きポートフォリオ計算用（変更不要）'!AN123*'ヘッジ付きポートフォリオ計算用（変更不要）'!AN123)</f>
        <v/>
      </c>
      <c r="AA14" s="44" t="str">
        <f ca="1">IF(OR(AA7="",OFFSET($C$19,0,MATCH($R$5,$D$12:$F$12,0))=""),"",'ヘッジ付きポートフォリオ計算用（変更不要）'!AO67*'ヘッジ付きポートフォリオ計算用（変更不要）'!AO123*'ヘッジ付きポートフォリオ計算用（変更不要）'!AO123)</f>
        <v/>
      </c>
      <c r="AB14" s="158"/>
    </row>
    <row r="15" spans="2:28" ht="16.5" customHeight="1" x14ac:dyDescent="0.15">
      <c r="B15" s="139"/>
      <c r="C15" s="18" t="s">
        <v>23</v>
      </c>
      <c r="D15" s="33">
        <v>0.23998574672955908</v>
      </c>
      <c r="E15" s="33">
        <v>0.43856677537709637</v>
      </c>
      <c r="F15" s="19">
        <v>0.43856677537709637</v>
      </c>
      <c r="G15" s="64"/>
      <c r="I15" s="64"/>
      <c r="J15" s="64"/>
      <c r="K15" s="64"/>
      <c r="L15" s="138"/>
      <c r="N15" s="157"/>
      <c r="O15" s="64"/>
      <c r="P15" s="60"/>
      <c r="Q15" s="48">
        <v>2</v>
      </c>
      <c r="R15" s="87" t="str">
        <f ca="1">IF(OR(R7="",OFFSET($C$19,0,MATCH($R$5,$D$12:$F$12,0))=""),"",'ヘッジ付きポートフォリオ計算用（変更不要）'!AR67*'ヘッジ付きポートフォリオ計算用（変更不要）'!AR123)</f>
        <v/>
      </c>
      <c r="S15" s="87" t="str">
        <f ca="1">IF(OR(S7="",OFFSET($C$19,0,MATCH($R$5,$D$12:$F$12,0))=""),"",'ヘッジ付きポートフォリオ計算用（変更不要）'!AS67*'ヘッジ付きポートフォリオ計算用（変更不要）'!AS123)</f>
        <v/>
      </c>
      <c r="T15" s="87" t="str">
        <f ca="1">IF(OR(T7="",OFFSET($C$19,0,MATCH($R$5,$D$12:$F$12,0))=""),"",'ヘッジ付きポートフォリオ計算用（変更不要）'!AT67*'ヘッジ付きポートフォリオ計算用（変更不要）'!AT123)</f>
        <v/>
      </c>
      <c r="U15" s="87" t="str">
        <f ca="1">IF(OR(U7="",OFFSET($C$19,0,MATCH($R$5,$D$12:$F$12,0))=""),"",'ヘッジ付きポートフォリオ計算用（変更不要）'!AU67*'ヘッジ付きポートフォリオ計算用（変更不要）'!AU123)</f>
        <v/>
      </c>
      <c r="V15" s="87" t="str">
        <f ca="1">IF(OR(V7="",OFFSET($C$19,0,MATCH($R$5,$D$12:$F$12,0))=""),"",'ヘッジ付きポートフォリオ計算用（変更不要）'!AV67*'ヘッジ付きポートフォリオ計算用（変更不要）'!AV123)</f>
        <v/>
      </c>
      <c r="W15" s="87" t="str">
        <f ca="1">IF(OR(W7="",OFFSET($C$19,0,MATCH($R$5,$D$12:$F$12,0))=""),"",'ヘッジ付きポートフォリオ計算用（変更不要）'!AW67*'ヘッジ付きポートフォリオ計算用（変更不要）'!AW123)</f>
        <v/>
      </c>
      <c r="X15" s="87" t="str">
        <f ca="1">IF(OR(X7="",OFFSET($C$19,0,MATCH($R$5,$D$12:$F$12,0))=""),"",'ヘッジ付きポートフォリオ計算用（変更不要）'!AX67*'ヘッジ付きポートフォリオ計算用（変更不要）'!AX123)</f>
        <v/>
      </c>
      <c r="Y15" s="87" t="str">
        <f ca="1">IF(OR(Y7="",OFFSET($C$19,0,MATCH($R$5,$D$12:$F$12,0))=""),"",'ヘッジ付きポートフォリオ計算用（変更不要）'!AY67*'ヘッジ付きポートフォリオ計算用（変更不要）'!AY123)</f>
        <v/>
      </c>
      <c r="Z15" s="87" t="str">
        <f ca="1">IF(OR(Z7="",OFFSET($C$19,0,MATCH($R$5,$D$12:$F$12,0))=""),"",'ヘッジ付きポートフォリオ計算用（変更不要）'!AZ67*'ヘッジ付きポートフォリオ計算用（変更不要）'!AZ123)</f>
        <v/>
      </c>
      <c r="AA15" s="44" t="str">
        <f ca="1">IF(OR(AA7="",OFFSET($C$19,0,MATCH($R$5,$D$12:$F$12,0))=""),"",'ヘッジ付きポートフォリオ計算用（変更不要）'!BA67*'ヘッジ付きポートフォリオ計算用（変更不要）'!BA123)</f>
        <v/>
      </c>
      <c r="AB15" s="158"/>
    </row>
    <row r="16" spans="2:28" ht="16.5" customHeight="1" x14ac:dyDescent="0.15">
      <c r="B16" s="139"/>
      <c r="C16" s="18" t="s">
        <v>24</v>
      </c>
      <c r="D16" s="33">
        <v>7.1965889289921564E-2</v>
      </c>
      <c r="E16" s="33">
        <v>0.16597070101446867</v>
      </c>
      <c r="F16" s="19">
        <v>0.16597070101446867</v>
      </c>
      <c r="G16" s="64"/>
      <c r="I16" s="64"/>
      <c r="J16" s="64"/>
      <c r="K16" s="64"/>
      <c r="L16" s="138"/>
      <c r="N16" s="157"/>
      <c r="O16" s="64"/>
      <c r="P16" s="175" t="s">
        <v>25</v>
      </c>
      <c r="Q16" s="171"/>
      <c r="R16" s="172" t="str">
        <f ca="1">IF(OR(R7="",OFFSET($C$19,0,MATCH($R$5,$D$12:$F$12,0))=""),"",SUM(R12:R15))</f>
        <v/>
      </c>
      <c r="S16" s="173" t="str">
        <f t="shared" ref="S16:AA16" ca="1" si="1">IF(OR(S7="",OFFSET($C$19,0,MATCH($R$5,$D$12:$F$12,0))=""),"",SUM(S12:S15))</f>
        <v/>
      </c>
      <c r="T16" s="173" t="str">
        <f t="shared" ca="1" si="1"/>
        <v/>
      </c>
      <c r="U16" s="173" t="str">
        <f t="shared" ca="1" si="1"/>
        <v/>
      </c>
      <c r="V16" s="173" t="str">
        <f t="shared" ca="1" si="1"/>
        <v/>
      </c>
      <c r="W16" s="173" t="str">
        <f t="shared" ca="1" si="1"/>
        <v/>
      </c>
      <c r="X16" s="173" t="str">
        <f t="shared" ca="1" si="1"/>
        <v/>
      </c>
      <c r="Y16" s="173" t="str">
        <f t="shared" ca="1" si="1"/>
        <v/>
      </c>
      <c r="Z16" s="173" t="str">
        <f t="shared" ca="1" si="1"/>
        <v/>
      </c>
      <c r="AA16" s="174" t="str">
        <f t="shared" ca="1" si="1"/>
        <v/>
      </c>
      <c r="AB16" s="158"/>
    </row>
    <row r="17" spans="2:28" ht="16.5" customHeight="1" x14ac:dyDescent="0.15">
      <c r="B17" s="139"/>
      <c r="C17" s="18" t="s">
        <v>26</v>
      </c>
      <c r="D17" s="33">
        <v>0.3</v>
      </c>
      <c r="E17" s="33">
        <v>0.25587350540293174</v>
      </c>
      <c r="F17" s="19">
        <v>0.25587350540293174</v>
      </c>
      <c r="G17" s="64"/>
      <c r="I17" s="64"/>
      <c r="J17" s="64"/>
      <c r="K17" s="64"/>
      <c r="L17" s="138"/>
      <c r="N17" s="157"/>
      <c r="O17" s="63" t="s">
        <v>108</v>
      </c>
      <c r="P17" s="167" t="s">
        <v>12</v>
      </c>
      <c r="Q17" s="121"/>
      <c r="R17" s="169" t="str">
        <f ca="1">IF(OR(R7="",OFFSET($C$19,0,MATCH($R$5,$D$12:$F$12,0))=""),"",R10+OFFSET($D$44,MATCH($R$5,$C$45:$C$47,0),0))</f>
        <v/>
      </c>
      <c r="S17" s="87" t="str">
        <f t="shared" ref="S17:AA17" ca="1" si="2">IF(OR(S7="",OFFSET($C$19,0,MATCH($R$5,$D$12:$F$12,0))=""),"",S10+OFFSET($D$44,MATCH($R$5,$C$45:$C$47,0),0))</f>
        <v/>
      </c>
      <c r="T17" s="87" t="str">
        <f t="shared" ca="1" si="2"/>
        <v/>
      </c>
      <c r="U17" s="87" t="str">
        <f t="shared" ca="1" si="2"/>
        <v/>
      </c>
      <c r="V17" s="87" t="str">
        <f t="shared" ca="1" si="2"/>
        <v/>
      </c>
      <c r="W17" s="87" t="str">
        <f t="shared" ca="1" si="2"/>
        <v/>
      </c>
      <c r="X17" s="87" t="str">
        <f t="shared" ca="1" si="2"/>
        <v/>
      </c>
      <c r="Y17" s="87" t="str">
        <f t="shared" ca="1" si="2"/>
        <v/>
      </c>
      <c r="Z17" s="87" t="str">
        <f t="shared" ca="1" si="2"/>
        <v/>
      </c>
      <c r="AA17" s="44" t="str">
        <f t="shared" ca="1" si="2"/>
        <v/>
      </c>
      <c r="AB17" s="158"/>
    </row>
    <row r="18" spans="2:28" ht="16.5" customHeight="1" thickBot="1" x14ac:dyDescent="0.2">
      <c r="B18" s="139"/>
      <c r="C18" s="18" t="s">
        <v>27</v>
      </c>
      <c r="D18" s="33">
        <v>0</v>
      </c>
      <c r="E18" s="33">
        <v>0</v>
      </c>
      <c r="F18" s="19">
        <v>0</v>
      </c>
      <c r="G18" s="254" t="s">
        <v>28</v>
      </c>
      <c r="I18" s="64"/>
      <c r="J18" s="64"/>
      <c r="K18" s="64"/>
      <c r="L18" s="138"/>
      <c r="N18" s="157"/>
      <c r="O18" s="64"/>
      <c r="P18" s="168" t="s">
        <v>15</v>
      </c>
      <c r="Q18" s="76"/>
      <c r="R18" s="153" t="str">
        <f ca="1">IF(OR(R7="",OFFSET($C$19,0,MATCH($R$5,$D$12:$F$12,0))=""),"",R11+R16)</f>
        <v/>
      </c>
      <c r="S18" s="88" t="str">
        <f t="shared" ref="S18:AA18" ca="1" si="3">IF(OR(S7="",OFFSET($C$19,0,MATCH($R$5,$D$12:$F$12,0))=""),"",S11+S16)</f>
        <v/>
      </c>
      <c r="T18" s="88" t="str">
        <f t="shared" ca="1" si="3"/>
        <v/>
      </c>
      <c r="U18" s="88" t="str">
        <f t="shared" ca="1" si="3"/>
        <v/>
      </c>
      <c r="V18" s="88" t="str">
        <f t="shared" ca="1" si="3"/>
        <v/>
      </c>
      <c r="W18" s="88" t="str">
        <f t="shared" ca="1" si="3"/>
        <v/>
      </c>
      <c r="X18" s="88" t="str">
        <f t="shared" ca="1" si="3"/>
        <v/>
      </c>
      <c r="Y18" s="88" t="str">
        <f t="shared" ca="1" si="3"/>
        <v/>
      </c>
      <c r="Z18" s="88" t="str">
        <f t="shared" ca="1" si="3"/>
        <v/>
      </c>
      <c r="AA18" s="45" t="str">
        <f t="shared" ca="1" si="3"/>
        <v/>
      </c>
      <c r="AB18" s="158"/>
    </row>
    <row r="19" spans="2:28" ht="16.5" customHeight="1" thickBot="1" x14ac:dyDescent="0.2">
      <c r="B19" s="139"/>
      <c r="C19" s="18" t="s">
        <v>25</v>
      </c>
      <c r="D19" s="244">
        <f>IF(COUNTBLANK(D13:D18)=6,"",SUM(D13:D18))</f>
        <v>0.99999999954515739</v>
      </c>
      <c r="E19" s="244">
        <f>IF(COUNTBLANK(E13:E18)=6,"",SUM(E13:E18))</f>
        <v>0.99999998196091622</v>
      </c>
      <c r="F19" s="245">
        <f>IF(COUNTBLANK(F13:F18)=6,"",SUM(F13:F18))</f>
        <v>0.99999998196091622</v>
      </c>
      <c r="G19" s="64"/>
      <c r="H19" s="64"/>
      <c r="I19" s="64"/>
      <c r="J19" s="64"/>
      <c r="K19" s="64"/>
      <c r="L19" s="138"/>
      <c r="N19" s="159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1"/>
    </row>
    <row r="20" spans="2:28" ht="16.5" customHeight="1" x14ac:dyDescent="0.15">
      <c r="B20" s="139"/>
      <c r="C20" s="18" t="s">
        <v>29</v>
      </c>
      <c r="D20" s="145">
        <f ca="1">IF(D19="","",AVERAGE(OFFSET('ヘッジ付きポートフォリオ計算用（変更不要）'!$C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0.10248996252026002</v>
      </c>
      <c r="E20" s="145">
        <f ca="1">IF(E19="","",AVERAGE(OFFSET('ヘッジ付きポートフォリオ計算用（変更不要）'!$D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0.15000000058654908</v>
      </c>
      <c r="F20" s="146">
        <f ca="1">IF(F19="","",AVERAGE(OFFSET('ヘッジ付きポートフォリオ計算用（変更不要）'!$E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0.15000000058654908</v>
      </c>
      <c r="G20" s="64"/>
      <c r="H20" s="64"/>
      <c r="I20" s="64"/>
      <c r="J20" s="64"/>
      <c r="K20" s="64"/>
      <c r="L20" s="138"/>
    </row>
    <row r="21" spans="2:28" ht="16.5" customHeight="1" thickBot="1" x14ac:dyDescent="0.2">
      <c r="B21" s="139"/>
      <c r="C21" s="39" t="s">
        <v>30</v>
      </c>
      <c r="D21" s="147">
        <f ca="1">IF(D19="","",_xlfn.STDEV.S(OFFSET('ヘッジ付きポートフォリオ計算用（変更不要）'!$C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3.4681488380472483E-2</v>
      </c>
      <c r="E21" s="147">
        <f ca="1">IF(E19="","",_xlfn.STDEV.S(OFFSET('ヘッジ付きポートフォリオ計算用（変更不要）'!$D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4.7630552178765197E-2</v>
      </c>
      <c r="F21" s="85">
        <f ca="1">IF(F19="","",_xlfn.STDEV.S(OFFSET('ヘッジ付きポートフォリオ計算用（変更不要）'!$E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4.7630552178765197E-2</v>
      </c>
      <c r="G21" s="64"/>
      <c r="H21" s="64"/>
      <c r="I21" s="64"/>
      <c r="J21" s="64"/>
      <c r="K21" s="64"/>
      <c r="L21" s="138"/>
    </row>
    <row r="22" spans="2:28" ht="16.5" customHeight="1" x14ac:dyDescent="0.15">
      <c r="B22" s="139"/>
      <c r="G22" s="64"/>
      <c r="H22" s="64"/>
      <c r="I22" s="64"/>
      <c r="J22" s="64"/>
      <c r="K22" s="64"/>
      <c r="L22" s="138"/>
    </row>
    <row r="23" spans="2:28" ht="16.5" customHeight="1" x14ac:dyDescent="0.15">
      <c r="B23" s="139"/>
      <c r="G23" s="64"/>
      <c r="H23" s="64"/>
      <c r="I23" s="64"/>
      <c r="J23" s="64"/>
      <c r="K23" s="64"/>
      <c r="L23" s="138"/>
    </row>
    <row r="24" spans="2:28" ht="16.5" customHeight="1" x14ac:dyDescent="0.15">
      <c r="B24" s="139"/>
      <c r="C24" s="64"/>
      <c r="D24" s="64"/>
      <c r="E24" s="64"/>
      <c r="F24" s="64"/>
      <c r="G24" s="64"/>
      <c r="H24" s="64"/>
      <c r="I24" s="64"/>
      <c r="J24" s="64"/>
      <c r="K24" s="64"/>
      <c r="L24" s="138"/>
    </row>
    <row r="25" spans="2:28" ht="16.5" customHeight="1" x14ac:dyDescent="0.15">
      <c r="B25" s="137" t="s">
        <v>31</v>
      </c>
      <c r="C25" s="64"/>
      <c r="D25" s="64"/>
      <c r="E25" s="64"/>
      <c r="F25" s="64"/>
      <c r="G25" s="64"/>
      <c r="H25" s="64"/>
      <c r="I25" s="64"/>
      <c r="J25" s="64"/>
      <c r="K25" s="64"/>
      <c r="L25" s="138"/>
    </row>
    <row r="26" spans="2:28" ht="16.5" customHeight="1" thickBot="1" x14ac:dyDescent="0.2">
      <c r="B26" s="139"/>
      <c r="C26" s="63" t="s">
        <v>32</v>
      </c>
      <c r="D26" s="63"/>
      <c r="E26" s="63"/>
      <c r="F26" s="63"/>
      <c r="G26" s="64"/>
      <c r="H26" s="63"/>
      <c r="I26" s="64"/>
      <c r="J26" s="64"/>
      <c r="K26" s="64"/>
      <c r="L26" s="138"/>
    </row>
    <row r="27" spans="2:28" ht="30" customHeight="1" x14ac:dyDescent="0.15">
      <c r="B27" s="139"/>
      <c r="C27" s="53"/>
      <c r="D27" s="86"/>
      <c r="E27" s="14" t="s">
        <v>33</v>
      </c>
      <c r="F27" s="36" t="s">
        <v>34</v>
      </c>
      <c r="G27" s="36" t="s">
        <v>111</v>
      </c>
      <c r="H27" s="37" t="s">
        <v>112</v>
      </c>
      <c r="J27" s="64"/>
      <c r="K27" s="64"/>
      <c r="L27" s="138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</row>
    <row r="28" spans="2:28" ht="16.5" customHeight="1" x14ac:dyDescent="0.15">
      <c r="B28" s="139"/>
      <c r="C28" s="74" t="s">
        <v>16</v>
      </c>
      <c r="D28" s="48">
        <v>1</v>
      </c>
      <c r="E28" s="163">
        <v>1</v>
      </c>
      <c r="F28" s="38" t="s">
        <v>99</v>
      </c>
      <c r="G28" s="42">
        <v>962</v>
      </c>
      <c r="H28" s="47">
        <f>IF(OR($D$6="",Change_A=0),"",IF(E28=0,0,EuropeanOptionPrice(F28,F51,1,G28,$D$13:$D$18)))</f>
        <v>88.484300583966501</v>
      </c>
      <c r="J28" s="64"/>
      <c r="K28" s="64"/>
      <c r="L28" s="138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</row>
    <row r="29" spans="2:28" ht="16.5" customHeight="1" x14ac:dyDescent="0.15">
      <c r="B29" s="139"/>
      <c r="C29" s="57"/>
      <c r="D29" s="48">
        <v>2</v>
      </c>
      <c r="E29" s="163">
        <v>0</v>
      </c>
      <c r="F29" s="38"/>
      <c r="G29" s="42"/>
      <c r="H29" s="47">
        <f>IF(OR($D$6="",Change_A=0),"",IF(E29=0,0,EuropeanOptionPrice(F29,F51,1,G29,$D$13:$D$18)))</f>
        <v>0</v>
      </c>
      <c r="J29" s="64"/>
      <c r="K29" s="64"/>
      <c r="L29" s="138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</row>
    <row r="30" spans="2:28" ht="16.5" customHeight="1" x14ac:dyDescent="0.15">
      <c r="B30" s="139"/>
      <c r="C30" s="74" t="s">
        <v>17</v>
      </c>
      <c r="D30" s="48">
        <v>1</v>
      </c>
      <c r="E30" s="163">
        <v>-1</v>
      </c>
      <c r="F30" s="38" t="s">
        <v>104</v>
      </c>
      <c r="G30" s="42">
        <v>900</v>
      </c>
      <c r="H30" s="47">
        <f>IF(OR($D$6="",Change_B=0),"",IF(E30=0,0,EuropeanOptionPrice(F30,F52,1,G30,$E$13:$E$18)))</f>
        <v>2.8926390716107591</v>
      </c>
      <c r="J30" s="64"/>
      <c r="K30" s="64"/>
      <c r="L30" s="138"/>
      <c r="P30" s="64"/>
    </row>
    <row r="31" spans="2:28" ht="16.5" customHeight="1" x14ac:dyDescent="0.15">
      <c r="B31" s="139"/>
      <c r="C31" s="57"/>
      <c r="D31" s="48">
        <v>2</v>
      </c>
      <c r="E31" s="163">
        <v>0</v>
      </c>
      <c r="F31" s="38"/>
      <c r="G31" s="42"/>
      <c r="H31" s="47">
        <f>IF(OR($D$6="",Change_B=0),"",IF(E31=0,0,EuropeanOptionPrice(F31,F52,1,G31,$E$13:$E$18)))</f>
        <v>0</v>
      </c>
      <c r="J31" s="64"/>
      <c r="K31" s="64"/>
      <c r="L31" s="138"/>
    </row>
    <row r="32" spans="2:28" ht="16.5" customHeight="1" x14ac:dyDescent="0.15">
      <c r="B32" s="139"/>
      <c r="C32" s="74" t="s">
        <v>18</v>
      </c>
      <c r="D32" s="48">
        <v>1</v>
      </c>
      <c r="E32" s="163">
        <v>1</v>
      </c>
      <c r="F32" s="38" t="s">
        <v>99</v>
      </c>
      <c r="G32" s="42">
        <v>800</v>
      </c>
      <c r="H32" s="47">
        <f>IF(OR($D$6="",Change_C=0),"",IF(E32=0,0,EuropeanOptionPrice(F32,F53,1,G32,$F$13:$F$18)))</f>
        <v>75.114902025234642</v>
      </c>
      <c r="J32" s="64"/>
      <c r="K32" s="64"/>
      <c r="L32" s="138"/>
    </row>
    <row r="33" spans="2:12" ht="16.5" customHeight="1" thickBot="1" x14ac:dyDescent="0.2">
      <c r="B33" s="139"/>
      <c r="C33" s="34"/>
      <c r="D33" s="148">
        <v>2</v>
      </c>
      <c r="E33" s="164">
        <v>0</v>
      </c>
      <c r="F33" s="40"/>
      <c r="G33" s="43"/>
      <c r="H33" s="58">
        <f>IF(OR($D$6="",Change_C=0),"",IF(E33=0,0,EuropeanOptionPrice(F33,F53,1,G33,$F$13:$F$18)))</f>
        <v>0</v>
      </c>
      <c r="J33" s="64"/>
      <c r="K33" s="64"/>
      <c r="L33" s="138"/>
    </row>
    <row r="34" spans="2:12" ht="16.5" customHeight="1" x14ac:dyDescent="0.15">
      <c r="B34" s="139"/>
      <c r="C34" s="64"/>
      <c r="D34" s="64"/>
      <c r="E34" s="64"/>
      <c r="F34" s="64"/>
      <c r="G34" s="64"/>
      <c r="H34" s="64"/>
      <c r="I34" s="64"/>
      <c r="J34" s="64"/>
      <c r="K34" s="64"/>
      <c r="L34" s="138"/>
    </row>
    <row r="35" spans="2:12" ht="16.5" customHeight="1" thickBot="1" x14ac:dyDescent="0.2">
      <c r="B35" s="139"/>
      <c r="C35" s="63" t="s">
        <v>36</v>
      </c>
      <c r="D35" s="64"/>
      <c r="E35" s="64"/>
      <c r="F35" s="64"/>
      <c r="G35" s="64"/>
      <c r="H35" s="64"/>
      <c r="I35" s="64"/>
      <c r="J35" s="64"/>
      <c r="K35" s="64"/>
      <c r="L35" s="138"/>
    </row>
    <row r="36" spans="2:12" ht="29.25" customHeight="1" x14ac:dyDescent="0.15">
      <c r="B36" s="139"/>
      <c r="C36" s="13"/>
      <c r="D36" s="36"/>
      <c r="E36" s="14" t="s">
        <v>33</v>
      </c>
      <c r="F36" s="36" t="s">
        <v>34</v>
      </c>
      <c r="G36" s="36" t="s">
        <v>111</v>
      </c>
      <c r="H36" s="36" t="s">
        <v>113</v>
      </c>
      <c r="I36" s="36" t="s">
        <v>38</v>
      </c>
      <c r="J36" s="37" t="s">
        <v>112</v>
      </c>
      <c r="K36" s="64"/>
      <c r="L36" s="138"/>
    </row>
    <row r="37" spans="2:12" ht="16.5" customHeight="1" x14ac:dyDescent="0.15">
      <c r="B37" s="139"/>
      <c r="C37" s="74" t="s">
        <v>16</v>
      </c>
      <c r="D37" s="48">
        <v>1</v>
      </c>
      <c r="E37" s="163"/>
      <c r="F37" s="38"/>
      <c r="G37" s="209"/>
      <c r="H37" s="42"/>
      <c r="I37" s="38"/>
      <c r="J37" s="44">
        <f>IF(OR($D$6="",Change_A=0),"",IF(E37=0,0,BarriarOptionPrice(I37,F37,$F$51,1,G37,H37,$D$13:$D$18)))</f>
        <v>0</v>
      </c>
      <c r="K37" s="64"/>
      <c r="L37" s="138"/>
    </row>
    <row r="38" spans="2:12" ht="16.5" customHeight="1" x14ac:dyDescent="0.15">
      <c r="B38" s="139"/>
      <c r="C38" s="60"/>
      <c r="D38" s="48">
        <v>2</v>
      </c>
      <c r="E38" s="163"/>
      <c r="F38" s="38"/>
      <c r="G38" s="209"/>
      <c r="H38" s="42"/>
      <c r="I38" s="38"/>
      <c r="J38" s="44">
        <f>IF(OR($D$6="",Change_A=0),"",IF(E38=0,0,BarriarOptionPrice(I38,F38,$F$51,1,G38,H38,$D$13:$D$18)))</f>
        <v>0</v>
      </c>
      <c r="K38" s="64"/>
      <c r="L38" s="138"/>
    </row>
    <row r="39" spans="2:12" ht="16.5" customHeight="1" x14ac:dyDescent="0.15">
      <c r="B39" s="139"/>
      <c r="C39" s="74" t="s">
        <v>17</v>
      </c>
      <c r="D39" s="48">
        <v>1</v>
      </c>
      <c r="E39" s="163">
        <v>1</v>
      </c>
      <c r="F39" s="38" t="s">
        <v>99</v>
      </c>
      <c r="G39" s="209">
        <v>810</v>
      </c>
      <c r="H39" s="42">
        <v>800</v>
      </c>
      <c r="I39" s="38" t="s">
        <v>103</v>
      </c>
      <c r="J39" s="44">
        <f>IF(OR($D$6="",Change_B=0),"",IF(E39=0,0,BarriarOptionPrice(I39,F39,$F$52,1,G39,H39,$E$13:$E$18)))</f>
        <v>97.264680471194652</v>
      </c>
      <c r="K39" s="64"/>
      <c r="L39" s="138"/>
    </row>
    <row r="40" spans="2:12" ht="16.5" customHeight="1" x14ac:dyDescent="0.15">
      <c r="B40" s="139"/>
      <c r="C40" s="60"/>
      <c r="D40" s="48">
        <v>2</v>
      </c>
      <c r="E40" s="163"/>
      <c r="F40" s="38"/>
      <c r="G40" s="209"/>
      <c r="H40" s="42"/>
      <c r="I40" s="38"/>
      <c r="J40" s="44">
        <f>IF(OR($D$6="",Change_B=0),"",IF(E40=0,0,BarriarOptionPrice(I40,F40,$F$52,1,G40,H40,$E$13:$E$18)))</f>
        <v>0</v>
      </c>
      <c r="K40" s="64"/>
      <c r="L40" s="138"/>
    </row>
    <row r="41" spans="2:12" ht="16.5" customHeight="1" x14ac:dyDescent="0.15">
      <c r="B41" s="139"/>
      <c r="C41" s="74" t="s">
        <v>18</v>
      </c>
      <c r="D41" s="48">
        <v>1</v>
      </c>
      <c r="E41" s="163"/>
      <c r="F41" s="38"/>
      <c r="G41" s="209"/>
      <c r="H41" s="42"/>
      <c r="I41" s="38"/>
      <c r="J41" s="44">
        <f>IF(OR($D$6="",Change_C=0),"",IF(E41=0,0,BarriarOptionPrice(I41,F41,$F$53,1,G41,H41,$F$13:$F$18)))</f>
        <v>0</v>
      </c>
      <c r="K41" s="64"/>
      <c r="L41" s="138"/>
    </row>
    <row r="42" spans="2:12" ht="16.5" customHeight="1" thickBot="1" x14ac:dyDescent="0.2">
      <c r="B42" s="139"/>
      <c r="C42" s="34"/>
      <c r="D42" s="148">
        <v>2</v>
      </c>
      <c r="E42" s="164"/>
      <c r="F42" s="40"/>
      <c r="G42" s="210"/>
      <c r="H42" s="43"/>
      <c r="I42" s="40"/>
      <c r="J42" s="45">
        <f>IF(OR($D$6="",Change_C=0),"",IF(E42=0,0,BarriarOptionPrice(I42,F42,$F$53,1,G42,H42,$F$13:$F$18)))</f>
        <v>0</v>
      </c>
      <c r="K42" s="64"/>
      <c r="L42" s="138"/>
    </row>
    <row r="43" spans="2:12" ht="16.5" customHeight="1" x14ac:dyDescent="0.15">
      <c r="B43" s="139"/>
      <c r="C43" s="64"/>
      <c r="D43" s="64"/>
      <c r="E43" s="64"/>
      <c r="F43" s="64"/>
      <c r="G43" s="64"/>
      <c r="H43" s="64"/>
      <c r="I43" s="64"/>
      <c r="J43" s="64"/>
      <c r="K43" s="64"/>
      <c r="L43" s="138"/>
    </row>
    <row r="44" spans="2:12" ht="16.5" customHeight="1" thickBot="1" x14ac:dyDescent="0.2">
      <c r="B44" s="139"/>
      <c r="C44" s="63" t="s">
        <v>39</v>
      </c>
      <c r="D44" s="64"/>
      <c r="E44" s="64"/>
      <c r="F44" s="64"/>
      <c r="G44" s="64"/>
      <c r="H44" s="64"/>
      <c r="I44" s="64"/>
      <c r="J44" s="64"/>
      <c r="K44" s="64"/>
      <c r="L44" s="138"/>
    </row>
    <row r="45" spans="2:12" ht="16.5" customHeight="1" x14ac:dyDescent="0.15">
      <c r="B45" s="139"/>
      <c r="C45" s="13" t="s">
        <v>16</v>
      </c>
      <c r="D45" s="73">
        <f>SUMPRODUCT(E28:E29,H28:H29)+SUMPRODUCT(E37:E38,J37:J38)</f>
        <v>88.484300583966501</v>
      </c>
      <c r="E45" s="64"/>
      <c r="F45" s="64"/>
      <c r="G45" s="64"/>
      <c r="H45" s="64"/>
      <c r="I45" s="64"/>
      <c r="J45" s="64"/>
      <c r="K45" s="64"/>
      <c r="L45" s="138"/>
    </row>
    <row r="46" spans="2:12" ht="16.5" customHeight="1" x14ac:dyDescent="0.15">
      <c r="B46" s="139"/>
      <c r="C46" s="18" t="s">
        <v>17</v>
      </c>
      <c r="D46" s="44">
        <f>SUMPRODUCT(E30:E31,H30:H31)+SUMPRODUCT(E39:E40,J39:J40)</f>
        <v>94.372041399583892</v>
      </c>
      <c r="E46" s="64"/>
      <c r="F46" s="64"/>
      <c r="G46" s="64"/>
      <c r="H46" s="64"/>
      <c r="I46" s="64"/>
      <c r="J46" s="64"/>
      <c r="K46" s="64"/>
      <c r="L46" s="138"/>
    </row>
    <row r="47" spans="2:12" ht="16.5" customHeight="1" thickBot="1" x14ac:dyDescent="0.2">
      <c r="B47" s="139"/>
      <c r="C47" s="39" t="s">
        <v>18</v>
      </c>
      <c r="D47" s="45">
        <f>SUMPRODUCT(E32:E33,H32:H33)+SUMPRODUCT(E41:E42,J41:J42)</f>
        <v>75.114902025234642</v>
      </c>
      <c r="E47" s="64"/>
      <c r="F47" s="64"/>
      <c r="G47" s="64"/>
      <c r="H47" s="64"/>
      <c r="I47" s="64"/>
      <c r="J47" s="64"/>
      <c r="K47" s="64"/>
      <c r="L47" s="138"/>
    </row>
    <row r="48" spans="2:12" ht="16.5" customHeight="1" x14ac:dyDescent="0.15">
      <c r="B48" s="139"/>
      <c r="C48" s="64"/>
      <c r="D48" s="64"/>
      <c r="E48" s="64"/>
      <c r="F48" s="64"/>
      <c r="G48" s="64"/>
      <c r="H48" s="64"/>
      <c r="I48" s="64"/>
      <c r="J48" s="64"/>
      <c r="K48" s="64"/>
      <c r="L48" s="138"/>
    </row>
    <row r="49" spans="2:12" ht="16.5" customHeight="1" thickBot="1" x14ac:dyDescent="0.2">
      <c r="B49" s="137" t="s">
        <v>40</v>
      </c>
      <c r="C49" s="64"/>
      <c r="D49" s="64"/>
      <c r="E49" s="64"/>
      <c r="F49" s="64"/>
      <c r="G49" s="64"/>
      <c r="H49" s="64"/>
      <c r="I49" s="64"/>
      <c r="J49" s="64"/>
      <c r="K49" s="64"/>
      <c r="L49" s="138"/>
    </row>
    <row r="50" spans="2:12" ht="16.5" customHeight="1" x14ac:dyDescent="0.15">
      <c r="B50" s="139"/>
      <c r="C50" s="64"/>
      <c r="D50" s="64"/>
      <c r="E50" s="13"/>
      <c r="F50" s="36" t="s">
        <v>41</v>
      </c>
      <c r="G50" s="36" t="s">
        <v>42</v>
      </c>
      <c r="H50" s="36" t="s">
        <v>43</v>
      </c>
      <c r="I50" s="37" t="s">
        <v>105</v>
      </c>
      <c r="J50" s="64"/>
      <c r="K50" s="64"/>
      <c r="L50" s="138"/>
    </row>
    <row r="51" spans="2:12" ht="16.5" customHeight="1" x14ac:dyDescent="0.15">
      <c r="B51" s="139"/>
      <c r="C51" s="64"/>
      <c r="D51" s="64"/>
      <c r="E51" s="18" t="s">
        <v>16</v>
      </c>
      <c r="F51" s="87">
        <v>881.51579916944888</v>
      </c>
      <c r="G51" s="87">
        <f>F51+D45</f>
        <v>970.00009975341538</v>
      </c>
      <c r="H51" s="239" t="str">
        <f>IF(AND(Change_A=Result_A,Change_Option_A=Result_Option_A),"最適化後","最適化前")</f>
        <v>最適化後</v>
      </c>
      <c r="I51" s="237" t="str">
        <f>IF(H51="最適化後",IF(ROUND(G51,3)&lt;=$G$6,"OK","NG"),"")</f>
        <v>OK</v>
      </c>
      <c r="J51" s="64"/>
      <c r="K51" s="64"/>
      <c r="L51" s="138"/>
    </row>
    <row r="52" spans="2:12" ht="16.5" customHeight="1" x14ac:dyDescent="0.15">
      <c r="B52" s="139"/>
      <c r="C52" s="64"/>
      <c r="D52" s="64"/>
      <c r="E52" s="18" t="s">
        <v>17</v>
      </c>
      <c r="F52" s="87">
        <v>725.62805634450797</v>
      </c>
      <c r="G52" s="87">
        <f>F52+D46</f>
        <v>820.00009774409182</v>
      </c>
      <c r="H52" s="239" t="str">
        <f>IF(AND(Change_B=Result_B,Change_Option_B=Result_Option_B),"最適化後","最適化前")</f>
        <v>最適化後</v>
      </c>
      <c r="I52" s="237" t="str">
        <f>IF(H52="最適化後",IF(ROUND(G52,3)&lt;=$G$6,"OK","NG"),"")</f>
        <v>OK</v>
      </c>
      <c r="J52" s="64"/>
      <c r="K52" s="64"/>
      <c r="L52" s="138"/>
    </row>
    <row r="53" spans="2:12" ht="16.5" customHeight="1" thickBot="1" x14ac:dyDescent="0.2">
      <c r="B53" s="139"/>
      <c r="C53" s="64"/>
      <c r="D53" s="64"/>
      <c r="E53" s="39" t="s">
        <v>18</v>
      </c>
      <c r="F53" s="88">
        <v>745.83698353699867</v>
      </c>
      <c r="G53" s="88">
        <f>F53+D47</f>
        <v>820.95188556223331</v>
      </c>
      <c r="H53" s="240" t="str">
        <f>IF(AND(Change_C=Result_C,Change_Option_C=Result_Option_C),"最適化後","最適化前")</f>
        <v>最適化前</v>
      </c>
      <c r="I53" s="238" t="str">
        <f>IF(H53="最適化後",IF(ROUND(G53,3)&lt;=$G$6,"OK","NG"),"")</f>
        <v/>
      </c>
      <c r="J53" s="64"/>
      <c r="K53" s="64"/>
      <c r="L53" s="138"/>
    </row>
    <row r="54" spans="2:12" ht="16.5" customHeight="1" x14ac:dyDescent="0.15">
      <c r="B54" s="139"/>
      <c r="L54" s="138"/>
    </row>
    <row r="55" spans="2:12" ht="16.5" customHeight="1" thickBot="1" x14ac:dyDescent="0.2">
      <c r="B55" s="140"/>
      <c r="C55" s="141"/>
      <c r="D55" s="141"/>
      <c r="E55" s="141"/>
      <c r="F55" s="141"/>
      <c r="G55" s="141"/>
      <c r="H55" s="141"/>
      <c r="I55" s="141"/>
      <c r="J55" s="141"/>
      <c r="K55" s="141"/>
      <c r="L55" s="142"/>
    </row>
    <row r="56" spans="2:12" ht="14.25" thickBot="1" x14ac:dyDescent="0.2"/>
    <row r="57" spans="2:12" ht="16.5" thickBot="1" x14ac:dyDescent="0.2">
      <c r="B57" s="228" t="s">
        <v>44</v>
      </c>
      <c r="C57" s="229"/>
      <c r="D57" s="229"/>
      <c r="E57" s="229"/>
      <c r="F57" s="229"/>
      <c r="G57" s="229"/>
      <c r="H57" s="229"/>
      <c r="I57" s="229"/>
      <c r="J57" s="229"/>
      <c r="K57" s="230"/>
    </row>
    <row r="58" spans="2:12" ht="16.5" thickBot="1" x14ac:dyDescent="0.2">
      <c r="B58" s="231"/>
      <c r="C58" s="13"/>
      <c r="D58" s="36" t="s">
        <v>45</v>
      </c>
      <c r="E58" s="37" t="s">
        <v>46</v>
      </c>
      <c r="F58" s="232"/>
      <c r="G58" s="232"/>
      <c r="H58" s="232"/>
      <c r="I58" s="257" t="s">
        <v>47</v>
      </c>
      <c r="J58" s="55"/>
      <c r="K58" s="233"/>
    </row>
    <row r="59" spans="2:12" ht="15.75" x14ac:dyDescent="0.15">
      <c r="B59" s="231"/>
      <c r="C59" s="18" t="s">
        <v>16</v>
      </c>
      <c r="D59" s="87">
        <f>(戦略の決定!G51-$G$6)^2</f>
        <v>9.9507438807588181E-9</v>
      </c>
      <c r="E59" s="44">
        <f>IF(COUNTBLANK(I60:J61)=4,IF($G$6="","",$G$6),AVERAGE(I60:J61))</f>
        <v>962</v>
      </c>
      <c r="F59" s="232"/>
      <c r="G59" s="53"/>
      <c r="H59" s="86"/>
      <c r="I59" s="223" t="s">
        <v>19</v>
      </c>
      <c r="J59" s="224" t="s">
        <v>22</v>
      </c>
      <c r="K59" s="233"/>
    </row>
    <row r="60" spans="2:12" ht="15.75" x14ac:dyDescent="0.15">
      <c r="B60" s="231"/>
      <c r="C60" s="18" t="s">
        <v>17</v>
      </c>
      <c r="D60" s="87">
        <f>(戦略の決定!G52-$G$6)^2</f>
        <v>22499.97067678201</v>
      </c>
      <c r="E60" s="44">
        <f>IF(COUNTBLANK(I62:J63)=4,IF($G$6="","",$G$6),AVERAGE(I62:J63))</f>
        <v>855</v>
      </c>
      <c r="F60" s="232"/>
      <c r="G60" s="74" t="s">
        <v>16</v>
      </c>
      <c r="H60" s="48">
        <v>1</v>
      </c>
      <c r="I60" s="221">
        <f>IF(戦略の決定!E28=0,"",戦略の決定!G28)</f>
        <v>962</v>
      </c>
      <c r="J60" s="225" t="str">
        <f>IF(戦略の決定!E37=0,"",戦略の決定!G37)</f>
        <v/>
      </c>
      <c r="K60" s="233"/>
    </row>
    <row r="61" spans="2:12" ht="16.5" thickBot="1" x14ac:dyDescent="0.2">
      <c r="B61" s="231"/>
      <c r="C61" s="39" t="s">
        <v>18</v>
      </c>
      <c r="D61" s="88">
        <f>(戦略の決定!G53-$G$6)^2</f>
        <v>22215.340417453594</v>
      </c>
      <c r="E61" s="45">
        <f>IF(COUNTBLANK(I64:J65)=4,IF($G$6="","",$G$6),AVERAGE(I64:J65))</f>
        <v>800</v>
      </c>
      <c r="F61" s="232"/>
      <c r="G61" s="57"/>
      <c r="H61" s="48">
        <v>2</v>
      </c>
      <c r="I61" s="221" t="str">
        <f>IF(戦略の決定!E29=0,"",戦略の決定!G29)</f>
        <v/>
      </c>
      <c r="J61" s="225" t="str">
        <f>IF(戦略の決定!E38=0,"",戦略の決定!G38)</f>
        <v/>
      </c>
      <c r="K61" s="233"/>
    </row>
    <row r="62" spans="2:12" ht="16.5" thickBot="1" x14ac:dyDescent="0.2">
      <c r="B62" s="231"/>
      <c r="C62" s="232"/>
      <c r="D62" s="232"/>
      <c r="E62" s="232"/>
      <c r="F62" s="232"/>
      <c r="G62" s="74" t="s">
        <v>17</v>
      </c>
      <c r="H62" s="48">
        <v>1</v>
      </c>
      <c r="I62" s="221">
        <f>IF(戦略の決定!E30=0,"",戦略の決定!G30)</f>
        <v>900</v>
      </c>
      <c r="J62" s="225">
        <f>IF(戦略の決定!E39=0,"",戦略の決定!G39)</f>
        <v>810</v>
      </c>
      <c r="K62" s="233"/>
    </row>
    <row r="63" spans="2:12" ht="15.75" x14ac:dyDescent="0.15">
      <c r="B63" s="231"/>
      <c r="C63" s="222" t="s">
        <v>48</v>
      </c>
      <c r="D63" s="119"/>
      <c r="E63" s="55"/>
      <c r="F63" s="232"/>
      <c r="G63" s="57"/>
      <c r="H63" s="48">
        <v>2</v>
      </c>
      <c r="I63" s="221" t="str">
        <f>IF(戦略の決定!E31=0,"",戦略の決定!G31)</f>
        <v/>
      </c>
      <c r="J63" s="225" t="str">
        <f>IF(戦略の決定!E40=0,"",戦略の決定!G40)</f>
        <v/>
      </c>
      <c r="K63" s="233"/>
    </row>
    <row r="64" spans="2:12" ht="15.75" x14ac:dyDescent="0.15">
      <c r="B64" s="231"/>
      <c r="C64" s="18" t="s">
        <v>16</v>
      </c>
      <c r="D64" s="87">
        <v>881.51579916944888</v>
      </c>
      <c r="E64" s="44">
        <v>88.484300583966501</v>
      </c>
      <c r="F64" s="232"/>
      <c r="G64" s="74" t="s">
        <v>18</v>
      </c>
      <c r="H64" s="48">
        <v>1</v>
      </c>
      <c r="I64" s="221">
        <f>IF(戦略の決定!E32=0,"",戦略の決定!G32)</f>
        <v>800</v>
      </c>
      <c r="J64" s="225" t="str">
        <f>IF(戦略の決定!E41=0,"",戦略の決定!G41)</f>
        <v/>
      </c>
      <c r="K64" s="233"/>
    </row>
    <row r="65" spans="2:11" ht="16.5" thickBot="1" x14ac:dyDescent="0.2">
      <c r="B65" s="231"/>
      <c r="C65" s="18" t="s">
        <v>17</v>
      </c>
      <c r="D65" s="87">
        <v>725.62805634450797</v>
      </c>
      <c r="E65" s="44">
        <v>94.372041399583892</v>
      </c>
      <c r="F65" s="232"/>
      <c r="G65" s="34"/>
      <c r="H65" s="148">
        <v>2</v>
      </c>
      <c r="I65" s="226" t="str">
        <f>IF(戦略の決定!E33=0,"",戦略の決定!G33)</f>
        <v/>
      </c>
      <c r="J65" s="227" t="str">
        <f>IF(戦略の決定!E42=0,"",戦略の決定!G42)</f>
        <v/>
      </c>
      <c r="K65" s="233"/>
    </row>
    <row r="66" spans="2:11" ht="16.5" thickBot="1" x14ac:dyDescent="0.2">
      <c r="B66" s="231"/>
      <c r="C66" s="39" t="s">
        <v>18</v>
      </c>
      <c r="D66" s="88">
        <v>742.91817302469462</v>
      </c>
      <c r="E66" s="45">
        <v>77.08192640934584</v>
      </c>
      <c r="F66" s="232"/>
      <c r="K66" s="233"/>
    </row>
    <row r="67" spans="2:11" ht="16.5" thickBot="1" x14ac:dyDescent="0.2">
      <c r="B67" s="231"/>
      <c r="F67" s="232"/>
      <c r="K67" s="233"/>
    </row>
    <row r="68" spans="2:11" ht="15.75" x14ac:dyDescent="0.15">
      <c r="B68" s="231"/>
      <c r="C68" s="222"/>
      <c r="D68" s="36" t="s">
        <v>100</v>
      </c>
      <c r="E68" s="36" t="s">
        <v>101</v>
      </c>
      <c r="F68" s="37" t="s">
        <v>102</v>
      </c>
      <c r="K68" s="233"/>
    </row>
    <row r="69" spans="2:11" ht="15.75" x14ac:dyDescent="0.15">
      <c r="B69" s="231"/>
      <c r="C69" s="18" t="s">
        <v>16</v>
      </c>
      <c r="D69" s="261">
        <v>1E-4</v>
      </c>
      <c r="E69" s="87">
        <v>969.9999997536421</v>
      </c>
      <c r="F69" s="263">
        <f>ABS(Strategy_Result_A-Strategy_Price_A)</f>
        <v>9.9999773283343529E-5</v>
      </c>
      <c r="K69" s="233"/>
    </row>
    <row r="70" spans="2:11" ht="15.75" x14ac:dyDescent="0.15">
      <c r="B70" s="231"/>
      <c r="C70" s="18" t="s">
        <v>17</v>
      </c>
      <c r="D70" s="261">
        <v>1E-4</v>
      </c>
      <c r="E70" s="87">
        <v>819.99999774411936</v>
      </c>
      <c r="F70" s="263">
        <f>ABS(Strategy_Result_B-Strategy_Price_B)</f>
        <v>9.9999972462683218E-5</v>
      </c>
      <c r="K70" s="233"/>
    </row>
    <row r="71" spans="2:11" ht="16.5" thickBot="1" x14ac:dyDescent="0.2">
      <c r="B71" s="231"/>
      <c r="C71" s="39" t="s">
        <v>18</v>
      </c>
      <c r="D71" s="262">
        <v>1E-4</v>
      </c>
      <c r="E71" s="88">
        <v>819.99999943412558</v>
      </c>
      <c r="F71" s="264">
        <f>ABS(Strategy_Result_C-Strategy_Price_C)</f>
        <v>0.95188612810773066</v>
      </c>
      <c r="K71" s="233"/>
    </row>
    <row r="72" spans="2:11" ht="16.5" thickBot="1" x14ac:dyDescent="0.2">
      <c r="B72" s="234"/>
      <c r="C72" s="235"/>
      <c r="D72" s="235"/>
      <c r="E72" s="235"/>
      <c r="F72" s="235"/>
      <c r="G72" s="235"/>
      <c r="H72" s="235"/>
      <c r="I72" s="235"/>
      <c r="J72" s="235"/>
      <c r="K72" s="236"/>
    </row>
  </sheetData>
  <phoneticPr fontId="2"/>
  <conditionalFormatting sqref="E78:E79 E83:E86 E37:E42">
    <cfRule type="cellIs" dxfId="20" priority="21" operator="equal">
      <formula>-1</formula>
    </cfRule>
  </conditionalFormatting>
  <conditionalFormatting sqref="E111:E112 E116:E119">
    <cfRule type="cellIs" dxfId="19" priority="20" operator="equal">
      <formula>-1</formula>
    </cfRule>
  </conditionalFormatting>
  <conditionalFormatting sqref="E43:E45">
    <cfRule type="cellIs" dxfId="18" priority="19" operator="equal">
      <formula>-1</formula>
    </cfRule>
  </conditionalFormatting>
  <conditionalFormatting sqref="E28:E33">
    <cfRule type="cellIs" dxfId="17" priority="12" operator="equal">
      <formula>-1</formula>
    </cfRule>
  </conditionalFormatting>
  <conditionalFormatting sqref="E28:H28">
    <cfRule type="expression" dxfId="16" priority="10">
      <formula>$E$28=0</formula>
    </cfRule>
  </conditionalFormatting>
  <conditionalFormatting sqref="E29:H29">
    <cfRule type="expression" dxfId="15" priority="9">
      <formula>$E$29=0</formula>
    </cfRule>
  </conditionalFormatting>
  <conditionalFormatting sqref="E30:H33 E37:J42">
    <cfRule type="expression" dxfId="14" priority="8">
      <formula>$E30=0</formula>
    </cfRule>
  </conditionalFormatting>
  <conditionalFormatting sqref="H51:H53">
    <cfRule type="cellIs" dxfId="13" priority="3" operator="equal">
      <formula>"最適化前"</formula>
    </cfRule>
    <cfRule type="cellIs" dxfId="12" priority="4" operator="equal">
      <formula>"最適化後"</formula>
    </cfRule>
  </conditionalFormatting>
  <conditionalFormatting sqref="I51:I53">
    <cfRule type="cellIs" dxfId="11" priority="1" operator="equal">
      <formula>"NG"</formula>
    </cfRule>
    <cfRule type="cellIs" dxfId="10" priority="2" operator="equal">
      <formula>"OK"</formula>
    </cfRule>
  </conditionalFormatting>
  <dataValidations count="4">
    <dataValidation type="list" allowBlank="1" showInputMessage="1" showErrorMessage="1" sqref="F28:F33 F37:F42" xr:uid="{00000000-0002-0000-0000-000000000000}">
      <formula1>"コール,プット"</formula1>
    </dataValidation>
    <dataValidation type="list" allowBlank="1" showInputMessage="1" showErrorMessage="1" sqref="R5" xr:uid="{00000000-0002-0000-0000-000001000000}">
      <formula1>"戦略A,戦略B,戦略C"</formula1>
    </dataValidation>
    <dataValidation type="list" allowBlank="1" showInputMessage="1" showErrorMessage="1" sqref="I37:I42" xr:uid="{00000000-0002-0000-0000-000002000000}">
      <formula1>"Up and Out,Up and In,Down and Out,Down and In"</formula1>
    </dataValidation>
    <dataValidation type="list" allowBlank="1" showInputMessage="1" showErrorMessage="1" sqref="E28:E33 E37:E42" xr:uid="{00000000-0002-0000-0000-000003000000}">
      <formula1>"1,0,-1"</formula1>
    </dataValidation>
  </dataValidations>
  <pageMargins left="0.7" right="0.7" top="0.75" bottom="0.75" header="0.3" footer="0.3"/>
  <pageSetup paperSize="9" orientation="portrait" r:id="rId1"/>
  <ignoredErrors>
    <ignoredError sqref="D45:D46 D47" formulaRange="1"/>
  </ignoredErrors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autoLine="0" autoPict="0" r:id="rId5">
            <anchor moveWithCells="1">
              <from>
                <xdr:col>2</xdr:col>
                <xdr:colOff>285750</xdr:colOff>
                <xdr:row>52</xdr:row>
                <xdr:rowOff>123825</xdr:rowOff>
              </from>
              <to>
                <xdr:col>3</xdr:col>
                <xdr:colOff>1028700</xdr:colOff>
                <xdr:row>54</xdr:row>
                <xdr:rowOff>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autoLine="0" autoPict="0" r:id="rId7">
            <anchor moveWithCells="1">
              <from>
                <xdr:col>2</xdr:col>
                <xdr:colOff>295275</xdr:colOff>
                <xdr:row>50</xdr:row>
                <xdr:rowOff>190500</xdr:rowOff>
              </from>
              <to>
                <xdr:col>3</xdr:col>
                <xdr:colOff>1038225</xdr:colOff>
                <xdr:row>52</xdr:row>
                <xdr:rowOff>66675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32" r:id="rId8" name="CommandButton1">
          <controlPr autoLine="0" autoPict="0" r:id="rId9">
            <anchor moveWithCells="1">
              <from>
                <xdr:col>2</xdr:col>
                <xdr:colOff>304800</xdr:colOff>
                <xdr:row>49</xdr:row>
                <xdr:rowOff>57150</xdr:rowOff>
              </from>
              <to>
                <xdr:col>3</xdr:col>
                <xdr:colOff>1047750</xdr:colOff>
                <xdr:row>50</xdr:row>
                <xdr:rowOff>142875</xdr:rowOff>
              </to>
            </anchor>
          </controlPr>
        </control>
      </mc:Choice>
      <mc:Fallback>
        <control shapeId="103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'ファンドデータ(変更不要)'!$B$4:$B$604</xm:f>
          </x14:formula1>
          <xm:sqref>D6 R7:AA7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B1:AA128"/>
  <sheetViews>
    <sheetView showGridLines="0" topLeftCell="A12" zoomScale="85" zoomScaleNormal="85" workbookViewId="0">
      <selection activeCell="C20" sqref="C20"/>
    </sheetView>
  </sheetViews>
  <sheetFormatPr defaultRowHeight="13.5" x14ac:dyDescent="0.15"/>
  <cols>
    <col min="1" max="1" width="2.25" customWidth="1"/>
    <col min="2" max="2" width="2.375" customWidth="1"/>
    <col min="3" max="3" width="11.5" customWidth="1"/>
    <col min="4" max="11" width="14.875" customWidth="1"/>
    <col min="12" max="12" width="20" customWidth="1"/>
    <col min="13" max="13" width="14.875" customWidth="1"/>
    <col min="14" max="14" width="4.125" customWidth="1"/>
    <col min="15" max="15" width="4.25" customWidth="1"/>
    <col min="16" max="16" width="13.375" customWidth="1"/>
    <col min="22" max="22" width="15.75" customWidth="1"/>
    <col min="26" max="26" width="16.125" customWidth="1"/>
    <col min="27" max="27" width="11.5" customWidth="1"/>
  </cols>
  <sheetData>
    <row r="1" spans="2:27" ht="9" customHeight="1" thickBot="1" x14ac:dyDescent="0.3">
      <c r="B1" s="41"/>
    </row>
    <row r="2" spans="2:27" ht="16.5" thickTop="1" x14ac:dyDescent="0.15">
      <c r="B2" s="65" t="s">
        <v>49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7"/>
    </row>
    <row r="3" spans="2:27" ht="6" customHeight="1" x14ac:dyDescent="0.15">
      <c r="B3" s="69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8"/>
    </row>
    <row r="4" spans="2:27" ht="15" thickBot="1" x14ac:dyDescent="0.2">
      <c r="B4" s="69"/>
      <c r="C4" s="63" t="s">
        <v>4</v>
      </c>
      <c r="D4" s="64"/>
      <c r="E4" s="64"/>
      <c r="F4" s="63" t="s">
        <v>32</v>
      </c>
      <c r="G4" s="63"/>
      <c r="H4" s="63"/>
      <c r="I4" s="63"/>
      <c r="J4" s="64"/>
      <c r="K4" s="63"/>
      <c r="L4" s="64"/>
      <c r="M4" s="64"/>
      <c r="N4" s="68"/>
      <c r="Z4" s="63" t="s">
        <v>50</v>
      </c>
    </row>
    <row r="5" spans="2:27" ht="43.5" thickBot="1" x14ac:dyDescent="0.2">
      <c r="B5" s="69"/>
      <c r="C5" s="265" t="s">
        <v>114</v>
      </c>
      <c r="D5" s="211">
        <f>戦略の決定!$G$6</f>
        <v>970</v>
      </c>
      <c r="E5" s="64"/>
      <c r="F5" s="13"/>
      <c r="G5" s="14" t="s">
        <v>33</v>
      </c>
      <c r="H5" s="36" t="s">
        <v>51</v>
      </c>
      <c r="I5" s="36" t="s">
        <v>111</v>
      </c>
      <c r="J5" s="37" t="s">
        <v>112</v>
      </c>
      <c r="M5" s="64"/>
      <c r="N5" s="68"/>
      <c r="Z5" s="13" t="s">
        <v>29</v>
      </c>
      <c r="AA5" s="94">
        <f>AVERAGE(F27:F126)</f>
        <v>0</v>
      </c>
    </row>
    <row r="6" spans="2:27" ht="15" thickBot="1" x14ac:dyDescent="0.2">
      <c r="B6" s="69"/>
      <c r="E6" s="64"/>
      <c r="F6" s="18">
        <v>1</v>
      </c>
      <c r="G6" s="163"/>
      <c r="H6" s="38"/>
      <c r="I6" s="42"/>
      <c r="J6" s="47">
        <f>IF(G6=0,0,EuropeanOptionPrice(H6,D19,1,$I$6,$D$10:$D$15))</f>
        <v>0</v>
      </c>
      <c r="M6" s="64"/>
      <c r="N6" s="68"/>
      <c r="Z6" s="39" t="s">
        <v>30</v>
      </c>
      <c r="AA6" s="32">
        <f>_xlfn.STDEV.S(F27:F126)</f>
        <v>0</v>
      </c>
    </row>
    <row r="7" spans="2:27" ht="15" thickBot="1" x14ac:dyDescent="0.2">
      <c r="B7" s="69"/>
      <c r="E7" s="64"/>
      <c r="F7" s="39">
        <v>2</v>
      </c>
      <c r="G7" s="164"/>
      <c r="H7" s="40"/>
      <c r="I7" s="43"/>
      <c r="J7" s="58">
        <f>IF(G7=0,0,EuropeanOptionPrice(H7,D19,1,$I$6,$D$10:$D$15))</f>
        <v>0</v>
      </c>
      <c r="M7" s="64"/>
      <c r="N7" s="68"/>
      <c r="Z7" s="64"/>
      <c r="AA7" s="64"/>
    </row>
    <row r="8" spans="2:27" ht="15" thickBot="1" x14ac:dyDescent="0.2">
      <c r="B8" s="69"/>
      <c r="E8" s="64"/>
      <c r="F8" s="64"/>
      <c r="G8" s="64"/>
      <c r="H8" s="64"/>
      <c r="I8" s="64"/>
      <c r="J8" s="64"/>
      <c r="K8" s="64"/>
      <c r="L8" s="64"/>
      <c r="M8" s="64"/>
      <c r="N8" s="68"/>
      <c r="Z8" s="63" t="s">
        <v>52</v>
      </c>
    </row>
    <row r="9" spans="2:27" ht="15" thickBot="1" x14ac:dyDescent="0.2">
      <c r="B9" s="69"/>
      <c r="C9" s="63" t="s">
        <v>53</v>
      </c>
      <c r="D9" s="64"/>
      <c r="E9" s="64"/>
      <c r="F9" s="63" t="s">
        <v>36</v>
      </c>
      <c r="G9" s="63"/>
      <c r="H9" s="64"/>
      <c r="I9" s="64"/>
      <c r="J9" s="64"/>
      <c r="K9" s="64"/>
      <c r="L9" s="64"/>
      <c r="M9" s="64"/>
      <c r="N9" s="68"/>
      <c r="Z9" s="13" t="s">
        <v>29</v>
      </c>
      <c r="AA9" s="94">
        <f>AVERAGE(M27:M126)</f>
        <v>0</v>
      </c>
    </row>
    <row r="10" spans="2:27" ht="43.5" thickBot="1" x14ac:dyDescent="0.2">
      <c r="B10" s="69"/>
      <c r="C10" s="13" t="s">
        <v>20</v>
      </c>
      <c r="D10" s="59"/>
      <c r="E10" s="64"/>
      <c r="F10" s="13"/>
      <c r="G10" s="14" t="s">
        <v>33</v>
      </c>
      <c r="H10" s="36" t="s">
        <v>51</v>
      </c>
      <c r="I10" s="36" t="s">
        <v>111</v>
      </c>
      <c r="J10" s="36" t="s">
        <v>113</v>
      </c>
      <c r="K10" s="36" t="s">
        <v>38</v>
      </c>
      <c r="L10" s="37" t="s">
        <v>112</v>
      </c>
      <c r="N10" s="68"/>
      <c r="Z10" s="39" t="s">
        <v>30</v>
      </c>
      <c r="AA10" s="32">
        <f>_xlfn.STDEV.S(M27:M126)</f>
        <v>0</v>
      </c>
    </row>
    <row r="11" spans="2:27" ht="14.25" x14ac:dyDescent="0.15">
      <c r="B11" s="69"/>
      <c r="C11" s="18" t="s">
        <v>21</v>
      </c>
      <c r="D11" s="19"/>
      <c r="E11" s="64"/>
      <c r="F11" s="18">
        <v>1</v>
      </c>
      <c r="G11" s="163"/>
      <c r="H11" s="38"/>
      <c r="I11" s="209"/>
      <c r="J11" s="42"/>
      <c r="K11" s="38"/>
      <c r="L11" s="44">
        <f>IF(G11=0,0,BarriarOptionPrice(K11,H11,$D$19,1,I11,J11,$D$10:$D$14))</f>
        <v>0</v>
      </c>
      <c r="N11" s="68"/>
    </row>
    <row r="12" spans="2:27" ht="15" thickBot="1" x14ac:dyDescent="0.2">
      <c r="B12" s="69"/>
      <c r="C12" s="18" t="s">
        <v>23</v>
      </c>
      <c r="D12" s="19"/>
      <c r="E12" s="64"/>
      <c r="F12" s="39">
        <v>2</v>
      </c>
      <c r="G12" s="164"/>
      <c r="H12" s="40"/>
      <c r="I12" s="210"/>
      <c r="J12" s="43"/>
      <c r="K12" s="40"/>
      <c r="L12" s="45">
        <f>IF(G12=0,0,BarriarOptionPrice(K12,H12,$D$19,1,I12,J12,$D$10:$D$14))</f>
        <v>0</v>
      </c>
      <c r="N12" s="68"/>
    </row>
    <row r="13" spans="2:27" ht="15" thickBot="1" x14ac:dyDescent="0.2">
      <c r="B13" s="69"/>
      <c r="C13" s="18" t="s">
        <v>24</v>
      </c>
      <c r="D13" s="19"/>
      <c r="E13" s="64"/>
      <c r="N13" s="68"/>
    </row>
    <row r="14" spans="2:27" ht="15" thickBot="1" x14ac:dyDescent="0.2">
      <c r="B14" s="69"/>
      <c r="C14" s="18" t="s">
        <v>26</v>
      </c>
      <c r="D14" s="19"/>
      <c r="E14" s="64"/>
      <c r="F14" s="62" t="s">
        <v>54</v>
      </c>
      <c r="G14" s="211">
        <f>SUM(J6:J7,L11:L12)</f>
        <v>0</v>
      </c>
      <c r="N14" s="68"/>
    </row>
    <row r="15" spans="2:27" ht="14.25" x14ac:dyDescent="0.15">
      <c r="B15" s="69"/>
      <c r="C15" s="18" t="s">
        <v>27</v>
      </c>
      <c r="D15" s="19"/>
      <c r="E15" s="64"/>
      <c r="N15" s="68"/>
    </row>
    <row r="16" spans="2:27" ht="15" thickBot="1" x14ac:dyDescent="0.2">
      <c r="B16" s="69"/>
      <c r="C16" s="39" t="s">
        <v>25</v>
      </c>
      <c r="D16" s="61" t="str">
        <f>IF(COUNTBLANK(D10:D15)=6,"",SUM(D10:D15))</f>
        <v/>
      </c>
      <c r="E16" s="64"/>
      <c r="N16" s="68"/>
    </row>
    <row r="17" spans="2:18" x14ac:dyDescent="0.15">
      <c r="B17" s="69"/>
      <c r="N17" s="68"/>
    </row>
    <row r="18" spans="2:18" ht="15" thickBot="1" x14ac:dyDescent="0.2">
      <c r="B18" s="69"/>
      <c r="C18" s="63" t="s">
        <v>55</v>
      </c>
      <c r="N18" s="68"/>
    </row>
    <row r="19" spans="2:18" ht="15" thickBot="1" x14ac:dyDescent="0.2">
      <c r="B19" s="69"/>
      <c r="C19" s="62" t="s">
        <v>115</v>
      </c>
      <c r="D19" s="162"/>
      <c r="N19" s="68"/>
    </row>
    <row r="20" spans="2:18" ht="14.25" thickBot="1" x14ac:dyDescent="0.2">
      <c r="B20" s="7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2"/>
    </row>
    <row r="21" spans="2:18" ht="15" thickTop="1" thickBot="1" x14ac:dyDescent="0.2"/>
    <row r="22" spans="2:18" ht="16.5" thickTop="1" x14ac:dyDescent="0.15">
      <c r="B22" s="77" t="s">
        <v>56</v>
      </c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9"/>
    </row>
    <row r="23" spans="2:18" ht="14.25" thickBot="1" x14ac:dyDescent="0.2">
      <c r="B23" s="8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81"/>
    </row>
    <row r="24" spans="2:18" ht="14.25" x14ac:dyDescent="0.15">
      <c r="B24" s="80"/>
      <c r="C24" s="56"/>
      <c r="D24" s="116" t="s">
        <v>109</v>
      </c>
      <c r="E24" s="117"/>
      <c r="F24" s="118"/>
      <c r="G24" s="119" t="s">
        <v>107</v>
      </c>
      <c r="H24" s="54"/>
      <c r="I24" s="54"/>
      <c r="J24" s="54"/>
      <c r="K24" s="86"/>
      <c r="L24" s="95" t="s">
        <v>110</v>
      </c>
      <c r="M24" s="96" t="s">
        <v>58</v>
      </c>
      <c r="N24" s="81"/>
    </row>
    <row r="25" spans="2:18" ht="14.25" x14ac:dyDescent="0.15">
      <c r="B25" s="80"/>
      <c r="C25" s="60"/>
      <c r="D25" s="111"/>
      <c r="E25" s="112"/>
      <c r="F25" s="113"/>
      <c r="G25" s="122" t="s">
        <v>19</v>
      </c>
      <c r="H25" s="120"/>
      <c r="I25" s="122" t="s">
        <v>22</v>
      </c>
      <c r="J25" s="121"/>
      <c r="K25" s="123" t="s">
        <v>25</v>
      </c>
      <c r="L25" s="114"/>
      <c r="M25" s="115"/>
      <c r="N25" s="81"/>
    </row>
    <row r="26" spans="2:18" ht="15.75" x14ac:dyDescent="0.15">
      <c r="B26" s="80"/>
      <c r="C26" s="220" t="s">
        <v>59</v>
      </c>
      <c r="D26" s="48" t="s">
        <v>12</v>
      </c>
      <c r="E26" s="48" t="s">
        <v>15</v>
      </c>
      <c r="F26" s="48" t="s">
        <v>60</v>
      </c>
      <c r="G26" s="51">
        <v>1</v>
      </c>
      <c r="H26" s="51">
        <v>2</v>
      </c>
      <c r="I26" s="51">
        <v>1</v>
      </c>
      <c r="J26" s="51">
        <v>2</v>
      </c>
      <c r="K26" s="51"/>
      <c r="L26" s="51"/>
      <c r="M26" s="52"/>
      <c r="N26" s="81"/>
    </row>
    <row r="27" spans="2:18" ht="14.25" x14ac:dyDescent="0.15">
      <c r="B27" s="80"/>
      <c r="C27" s="18">
        <v>1</v>
      </c>
      <c r="D27" s="87">
        <f>IF($D$19=0,0,$D$19)</f>
        <v>0</v>
      </c>
      <c r="E27" s="87">
        <f>'シミュレーション計算用（変更不要）'!M4</f>
        <v>0</v>
      </c>
      <c r="F27" s="29">
        <f>IF($D$19="",0,E27/D27-1)</f>
        <v>0</v>
      </c>
      <c r="G27" s="87">
        <f>IF(OR($D$16="",$G$6=0),0,EuropeanOptionPrice($H$6,$E27,0,$I$6,$D$10:$D$15)*$G$6)</f>
        <v>0</v>
      </c>
      <c r="H27" s="87">
        <f>IF(OR($D$16="",$G$7=0),0,EuropeanOptionPrice($H$7,$E27,0,$I$7,$D$10:$D$15)*$G$7)</f>
        <v>0</v>
      </c>
      <c r="I27" s="87">
        <f>IF(OR($D$16="",$G$11=0),0,'シミュレーション計算用（変更不要）'!T4*'シミュレーション計算用（変更不要）'!T107)</f>
        <v>0</v>
      </c>
      <c r="J27" s="87">
        <f>IF(OR($D$16="",$G$12=0),0,'シミュレーション計算用（変更不要）'!AA4*'シミュレーション計算用（変更不要）'!AA107)</f>
        <v>0</v>
      </c>
      <c r="K27" s="87">
        <f t="shared" ref="K27:K58" si="0">SUM(G27:J27)</f>
        <v>0</v>
      </c>
      <c r="L27" s="87">
        <f t="shared" ref="L27:L58" si="1">E27+K27</f>
        <v>0</v>
      </c>
      <c r="M27" s="92">
        <f>IF(OR($L$27=0,D27=""),0,L27/$D$5-1)</f>
        <v>0</v>
      </c>
      <c r="N27" s="81"/>
    </row>
    <row r="28" spans="2:18" ht="14.25" x14ac:dyDescent="0.15">
      <c r="B28" s="80"/>
      <c r="C28" s="18">
        <v>2</v>
      </c>
      <c r="D28" s="87">
        <f t="shared" ref="D28:D91" si="2">IF($D$19=0,0,$D$19)</f>
        <v>0</v>
      </c>
      <c r="E28" s="87">
        <f>'シミュレーション計算用（変更不要）'!M5</f>
        <v>0</v>
      </c>
      <c r="F28" s="29">
        <f t="shared" ref="F28:F91" si="3">IF($D$19="",0,E28/D28-1)</f>
        <v>0</v>
      </c>
      <c r="G28" s="87">
        <f>IF(OR($D$16="",$G$6=0),0,EuropeanOptionPrice($H$6,$E28,0,$I$6,$D$10:$D$15)*$G$6)</f>
        <v>0</v>
      </c>
      <c r="H28" s="87">
        <f>IF(OR($D$16="",$G$7=0),0,EuropeanOptionPrice($H$7,$E28,0,$I$7,$D$10:$D$15)*$G$7)</f>
        <v>0</v>
      </c>
      <c r="I28" s="87">
        <f>IF(OR($D$16="",$G$11=0),0,'シミュレーション計算用（変更不要）'!T5*'シミュレーション計算用（変更不要）'!T108)</f>
        <v>0</v>
      </c>
      <c r="J28" s="87">
        <f>IF(OR($D$16="",$G$12=0),0,'シミュレーション計算用（変更不要）'!AA5*'シミュレーション計算用（変更不要）'!AA108)</f>
        <v>0</v>
      </c>
      <c r="K28" s="87">
        <f t="shared" si="0"/>
        <v>0</v>
      </c>
      <c r="L28" s="87">
        <f t="shared" si="1"/>
        <v>0</v>
      </c>
      <c r="M28" s="92">
        <f t="shared" ref="M28:M91" si="4">IF(OR($L$27=0,D28=""),0,L28/$D$5-1)</f>
        <v>0</v>
      </c>
      <c r="N28" s="81"/>
    </row>
    <row r="29" spans="2:18" ht="14.25" x14ac:dyDescent="0.15">
      <c r="B29" s="80"/>
      <c r="C29" s="18">
        <v>3</v>
      </c>
      <c r="D29" s="87">
        <f t="shared" si="2"/>
        <v>0</v>
      </c>
      <c r="E29" s="87">
        <f>'シミュレーション計算用（変更不要）'!M6</f>
        <v>0</v>
      </c>
      <c r="F29" s="29">
        <f t="shared" si="3"/>
        <v>0</v>
      </c>
      <c r="G29" s="87">
        <f>IF(OR($D$16="",$G$6=0),0,EuropeanOptionPrice($H$6,$E29,0,$I$6,$D$10:$D$15)*$G$6)</f>
        <v>0</v>
      </c>
      <c r="H29" s="87">
        <f>IF(OR($D$16="",$G$7=0),0,EuropeanOptionPrice($H$7,$E29,0,$I$7,$D$10:$D$15)*$G$7)</f>
        <v>0</v>
      </c>
      <c r="I29" s="87">
        <f>IF(OR($D$16="",$G$11=0),0,'シミュレーション計算用（変更不要）'!T6*'シミュレーション計算用（変更不要）'!T109)</f>
        <v>0</v>
      </c>
      <c r="J29" s="87">
        <f>IF(OR($D$16="",$G$12=0),0,'シミュレーション計算用（変更不要）'!AA6*'シミュレーション計算用（変更不要）'!AA109)</f>
        <v>0</v>
      </c>
      <c r="K29" s="87">
        <f t="shared" si="0"/>
        <v>0</v>
      </c>
      <c r="L29" s="87">
        <f t="shared" si="1"/>
        <v>0</v>
      </c>
      <c r="M29" s="92">
        <f t="shared" si="4"/>
        <v>0</v>
      </c>
      <c r="N29" s="81"/>
    </row>
    <row r="30" spans="2:18" ht="14.25" x14ac:dyDescent="0.15">
      <c r="B30" s="80"/>
      <c r="C30" s="18">
        <v>4</v>
      </c>
      <c r="D30" s="87">
        <f t="shared" si="2"/>
        <v>0</v>
      </c>
      <c r="E30" s="87">
        <f>'シミュレーション計算用（変更不要）'!M7</f>
        <v>0</v>
      </c>
      <c r="F30" s="29">
        <f t="shared" si="3"/>
        <v>0</v>
      </c>
      <c r="G30" s="87">
        <f>IF(OR($D$16="",$G$6=0),0,EuropeanOptionPrice($H$6,$E30,0,$I$6,$D$10:$D$15)*$G$6)</f>
        <v>0</v>
      </c>
      <c r="H30" s="87">
        <f>IF(OR($D$16="",$G$7=0),0,EuropeanOptionPrice($H$7,$E30,0,$I$7,$D$10:$D$15)*$G$7)</f>
        <v>0</v>
      </c>
      <c r="I30" s="87">
        <f>IF(OR($D$16="",$G$11=0),0,'シミュレーション計算用（変更不要）'!T7*'シミュレーション計算用（変更不要）'!T110)</f>
        <v>0</v>
      </c>
      <c r="J30" s="87">
        <f>IF(OR($D$16="",$G$12=0),0,'シミュレーション計算用（変更不要）'!AA7*'シミュレーション計算用（変更不要）'!AA110)</f>
        <v>0</v>
      </c>
      <c r="K30" s="87">
        <f t="shared" si="0"/>
        <v>0</v>
      </c>
      <c r="L30" s="87">
        <f t="shared" si="1"/>
        <v>0</v>
      </c>
      <c r="M30" s="92">
        <f t="shared" si="4"/>
        <v>0</v>
      </c>
      <c r="N30" s="81"/>
    </row>
    <row r="31" spans="2:18" ht="15" thickBot="1" x14ac:dyDescent="0.2">
      <c r="B31" s="80"/>
      <c r="C31" s="18">
        <v>5</v>
      </c>
      <c r="D31" s="87">
        <f t="shared" si="2"/>
        <v>0</v>
      </c>
      <c r="E31" s="87">
        <f>'シミュレーション計算用（変更不要）'!M8</f>
        <v>0</v>
      </c>
      <c r="F31" s="29">
        <f t="shared" si="3"/>
        <v>0</v>
      </c>
      <c r="G31" s="87">
        <f>IF(OR($D$16="",$G$6=0),0,EuropeanOptionPrice($H$6,$E31,0,$I$6,$D$10:$D$15)*$G$6)</f>
        <v>0</v>
      </c>
      <c r="H31" s="87">
        <f>IF(OR($D$16="",$G$7=0),0,EuropeanOptionPrice($H$7,$E31,0,$I$7,$D$10:$D$15)*$G$7)</f>
        <v>0</v>
      </c>
      <c r="I31" s="87">
        <f>IF(OR($D$16="",$G$11=0),0,'シミュレーション計算用（変更不要）'!T8*'シミュレーション計算用（変更不要）'!T111)</f>
        <v>0</v>
      </c>
      <c r="J31" s="87">
        <f>IF(OR($D$16="",$G$12=0),0,'シミュレーション計算用（変更不要）'!AA8*'シミュレーション計算用（変更不要）'!AA111)</f>
        <v>0</v>
      </c>
      <c r="K31" s="87">
        <f t="shared" si="0"/>
        <v>0</v>
      </c>
      <c r="L31" s="87">
        <f t="shared" si="1"/>
        <v>0</v>
      </c>
      <c r="M31" s="92">
        <f t="shared" si="4"/>
        <v>0</v>
      </c>
      <c r="N31" s="81"/>
      <c r="P31" s="63" t="s">
        <v>61</v>
      </c>
      <c r="Q31" s="64"/>
      <c r="R31" s="64"/>
    </row>
    <row r="32" spans="2:18" ht="14.25" x14ac:dyDescent="0.15">
      <c r="B32" s="80"/>
      <c r="C32" s="18">
        <v>6</v>
      </c>
      <c r="D32" s="87">
        <f t="shared" si="2"/>
        <v>0</v>
      </c>
      <c r="E32" s="87">
        <f>'シミュレーション計算用（変更不要）'!M9</f>
        <v>0</v>
      </c>
      <c r="F32" s="29">
        <f t="shared" si="3"/>
        <v>0</v>
      </c>
      <c r="G32" s="87">
        <f>IF(OR($D$16="",$G$6=0),0,EuropeanOptionPrice($H$6,$E32,0,$I$6,$D$10:$D$15)*$G$6)</f>
        <v>0</v>
      </c>
      <c r="H32" s="87">
        <f>IF(OR($D$16="",$G$7=0),0,EuropeanOptionPrice($H$7,$E32,0,$I$7,$D$10:$D$15)*$G$7)</f>
        <v>0</v>
      </c>
      <c r="I32" s="87">
        <f>IF(OR($D$16="",$G$11=0),0,'シミュレーション計算用（変更不要）'!T9*'シミュレーション計算用（変更不要）'!T112)</f>
        <v>0</v>
      </c>
      <c r="J32" s="87">
        <f>IF(OR($D$16="",$G$12=0),0,'シミュレーション計算用（変更不要）'!AA9*'シミュレーション計算用（変更不要）'!AA112)</f>
        <v>0</v>
      </c>
      <c r="K32" s="87">
        <f t="shared" si="0"/>
        <v>0</v>
      </c>
      <c r="L32" s="87">
        <f t="shared" si="1"/>
        <v>0</v>
      </c>
      <c r="M32" s="92">
        <f t="shared" si="4"/>
        <v>0</v>
      </c>
      <c r="N32" s="81"/>
      <c r="P32" s="97" t="s">
        <v>62</v>
      </c>
      <c r="Q32" s="98">
        <f>MAX(M27:M126,F27:F126)</f>
        <v>0</v>
      </c>
      <c r="R32" s="99"/>
    </row>
    <row r="33" spans="2:20" ht="15" thickBot="1" x14ac:dyDescent="0.2">
      <c r="B33" s="80"/>
      <c r="C33" s="18">
        <v>7</v>
      </c>
      <c r="D33" s="87">
        <f t="shared" si="2"/>
        <v>0</v>
      </c>
      <c r="E33" s="87">
        <f>'シミュレーション計算用（変更不要）'!M10</f>
        <v>0</v>
      </c>
      <c r="F33" s="29">
        <f t="shared" si="3"/>
        <v>0</v>
      </c>
      <c r="G33" s="87">
        <f>IF(OR($D$16="",$G$6=0),0,EuropeanOptionPrice($H$6,$E33,0,$I$6,$D$10:$D$15)*$G$6)</f>
        <v>0</v>
      </c>
      <c r="H33" s="87">
        <f>IF(OR($D$16="",$G$7=0),0,EuropeanOptionPrice($H$7,$E33,0,$I$7,$D$10:$D$15)*$G$7)</f>
        <v>0</v>
      </c>
      <c r="I33" s="87">
        <f>IF(OR($D$16="",$G$11=0),0,'シミュレーション計算用（変更不要）'!T10*'シミュレーション計算用（変更不要）'!T113)</f>
        <v>0</v>
      </c>
      <c r="J33" s="87">
        <f>IF(OR($D$16="",$G$12=0),0,'シミュレーション計算用（変更不要）'!AA10*'シミュレーション計算用（変更不要）'!AA113)</f>
        <v>0</v>
      </c>
      <c r="K33" s="87">
        <f t="shared" si="0"/>
        <v>0</v>
      </c>
      <c r="L33" s="87">
        <f t="shared" si="1"/>
        <v>0</v>
      </c>
      <c r="M33" s="92">
        <f t="shared" si="4"/>
        <v>0</v>
      </c>
      <c r="N33" s="81"/>
      <c r="P33" s="100" t="s">
        <v>63</v>
      </c>
      <c r="Q33" s="101">
        <f>MIN(M27:M126,F27:F126)</f>
        <v>0</v>
      </c>
      <c r="R33" s="102"/>
    </row>
    <row r="34" spans="2:20" ht="15" thickBot="1" x14ac:dyDescent="0.2">
      <c r="B34" s="80"/>
      <c r="C34" s="18">
        <v>8</v>
      </c>
      <c r="D34" s="87">
        <f t="shared" si="2"/>
        <v>0</v>
      </c>
      <c r="E34" s="87">
        <f>'シミュレーション計算用（変更不要）'!M11</f>
        <v>0</v>
      </c>
      <c r="F34" s="29">
        <f t="shared" si="3"/>
        <v>0</v>
      </c>
      <c r="G34" s="87">
        <f>IF(OR($D$16="",$G$6=0),0,EuropeanOptionPrice($H$6,$E34,0,$I$6,$D$10:$D$15)*$G$6)</f>
        <v>0</v>
      </c>
      <c r="H34" s="87">
        <f>IF(OR($D$16="",$G$7=0),0,EuropeanOptionPrice($H$7,$E34,0,$I$7,$D$10:$D$15)*$G$7)</f>
        <v>0</v>
      </c>
      <c r="I34" s="87">
        <f>IF(OR($D$16="",$G$11=0),0,'シミュレーション計算用（変更不要）'!T11*'シミュレーション計算用（変更不要）'!T114)</f>
        <v>0</v>
      </c>
      <c r="J34" s="87">
        <f>IF(OR($D$16="",$G$12=0),0,'シミュレーション計算用（変更不要）'!AA11*'シミュレーション計算用（変更不要）'!AA114)</f>
        <v>0</v>
      </c>
      <c r="K34" s="87">
        <f t="shared" si="0"/>
        <v>0</v>
      </c>
      <c r="L34" s="87">
        <f t="shared" si="1"/>
        <v>0</v>
      </c>
      <c r="M34" s="92">
        <f t="shared" si="4"/>
        <v>0</v>
      </c>
      <c r="N34" s="81"/>
      <c r="P34" s="102"/>
      <c r="Q34" s="102"/>
      <c r="R34" s="102"/>
    </row>
    <row r="35" spans="2:20" ht="15" thickBot="1" x14ac:dyDescent="0.2">
      <c r="B35" s="80"/>
      <c r="C35" s="18">
        <v>9</v>
      </c>
      <c r="D35" s="87">
        <f t="shared" si="2"/>
        <v>0</v>
      </c>
      <c r="E35" s="87">
        <f>'シミュレーション計算用（変更不要）'!M12</f>
        <v>0</v>
      </c>
      <c r="F35" s="29">
        <f t="shared" si="3"/>
        <v>0</v>
      </c>
      <c r="G35" s="87">
        <f>IF(OR($D$16="",$G$6=0),0,EuropeanOptionPrice($H$6,$E35,0,$I$6,$D$10:$D$15)*$G$6)</f>
        <v>0</v>
      </c>
      <c r="H35" s="87">
        <f>IF(OR($D$16="",$G$7=0),0,EuropeanOptionPrice($H$7,$E35,0,$I$7,$D$10:$D$15)*$G$7)</f>
        <v>0</v>
      </c>
      <c r="I35" s="87">
        <f>IF(OR($D$16="",$G$11=0),0,'シミュレーション計算用（変更不要）'!T12*'シミュレーション計算用（変更不要）'!T115)</f>
        <v>0</v>
      </c>
      <c r="J35" s="87">
        <f>IF(OR($D$16="",$G$12=0),0,'シミュレーション計算用（変更不要）'!AA12*'シミュレーション計算用（変更不要）'!AA115)</f>
        <v>0</v>
      </c>
      <c r="K35" s="87">
        <f t="shared" si="0"/>
        <v>0</v>
      </c>
      <c r="L35" s="87">
        <f t="shared" si="1"/>
        <v>0</v>
      </c>
      <c r="M35" s="92">
        <f t="shared" si="4"/>
        <v>0</v>
      </c>
      <c r="N35" s="81"/>
      <c r="P35" s="103" t="s">
        <v>64</v>
      </c>
      <c r="Q35" s="193">
        <f>INT((Q32-Q33)/30*1000)/1000</f>
        <v>0</v>
      </c>
      <c r="R35" s="107" t="s">
        <v>65</v>
      </c>
      <c r="S35" s="130"/>
      <c r="T35" s="131"/>
    </row>
    <row r="36" spans="2:20" ht="14.25" x14ac:dyDescent="0.15">
      <c r="B36" s="80"/>
      <c r="C36" s="18">
        <v>10</v>
      </c>
      <c r="D36" s="87">
        <f t="shared" si="2"/>
        <v>0</v>
      </c>
      <c r="E36" s="87">
        <f>'シミュレーション計算用（変更不要）'!M13</f>
        <v>0</v>
      </c>
      <c r="F36" s="29">
        <f t="shared" si="3"/>
        <v>0</v>
      </c>
      <c r="G36" s="87">
        <f>IF(OR($D$16="",$G$6=0),0,EuropeanOptionPrice($H$6,$E36,0,$I$6,$D$10:$D$15)*$G$6)</f>
        <v>0</v>
      </c>
      <c r="H36" s="87">
        <f>IF(OR($D$16="",$G$7=0),0,EuropeanOptionPrice($H$7,$E36,0,$I$7,$D$10:$D$15)*$G$7)</f>
        <v>0</v>
      </c>
      <c r="I36" s="87">
        <f>IF(OR($D$16="",$G$11=0),0,'シミュレーション計算用（変更不要）'!T13*'シミュレーション計算用（変更不要）'!T116)</f>
        <v>0</v>
      </c>
      <c r="J36" s="87">
        <f>IF(OR($D$16="",$G$12=0),0,'シミュレーション計算用（変更不要）'!AA13*'シミュレーション計算用（変更不要）'!AA116)</f>
        <v>0</v>
      </c>
      <c r="K36" s="87">
        <f t="shared" si="0"/>
        <v>0</v>
      </c>
      <c r="L36" s="87">
        <f t="shared" si="1"/>
        <v>0</v>
      </c>
      <c r="M36" s="92">
        <f t="shared" si="4"/>
        <v>0</v>
      </c>
      <c r="N36" s="81"/>
      <c r="P36" s="108" t="s">
        <v>66</v>
      </c>
      <c r="Q36" s="194">
        <f>INT(Q33*1000)/1000</f>
        <v>0</v>
      </c>
      <c r="R36" s="132">
        <f>COUNTIFS($F$27:$F$126,"&lt;"&amp;$Q37)</f>
        <v>0</v>
      </c>
      <c r="S36" s="124">
        <f>COUNTIFS(M$27:M$126,"&lt;"&amp;$Q37)</f>
        <v>0</v>
      </c>
      <c r="T36" s="125">
        <f>COUNTIFS(N$4:N$106,"&gt;="&amp;#REF!,N$4:N$106,"&lt;"&amp;#REF!)</f>
        <v>0</v>
      </c>
    </row>
    <row r="37" spans="2:20" ht="14.25" x14ac:dyDescent="0.15">
      <c r="B37" s="80"/>
      <c r="C37" s="18">
        <v>11</v>
      </c>
      <c r="D37" s="87">
        <f t="shared" si="2"/>
        <v>0</v>
      </c>
      <c r="E37" s="87">
        <f>'シミュレーション計算用（変更不要）'!M14</f>
        <v>0</v>
      </c>
      <c r="F37" s="29">
        <f t="shared" si="3"/>
        <v>0</v>
      </c>
      <c r="G37" s="87">
        <f>IF(OR($D$16="",$G$6=0),0,EuropeanOptionPrice($H$6,$E37,0,$I$6,$D$10:$D$15)*$G$6)</f>
        <v>0</v>
      </c>
      <c r="H37" s="87">
        <f>IF(OR($D$16="",$G$7=0),0,EuropeanOptionPrice($H$7,$E37,0,$I$7,$D$10:$D$15)*$G$7)</f>
        <v>0</v>
      </c>
      <c r="I37" s="87">
        <f>IF(OR($D$16="",$G$11=0),0,'シミュレーション計算用（変更不要）'!T14*'シミュレーション計算用（変更不要）'!T117)</f>
        <v>0</v>
      </c>
      <c r="J37" s="87">
        <f>IF(OR($D$16="",$G$12=0),0,'シミュレーション計算用（変更不要）'!AA14*'シミュレーション計算用（変更不要）'!AA117)</f>
        <v>0</v>
      </c>
      <c r="K37" s="87">
        <f t="shared" si="0"/>
        <v>0</v>
      </c>
      <c r="L37" s="87">
        <f t="shared" si="1"/>
        <v>0</v>
      </c>
      <c r="M37" s="92">
        <f t="shared" si="4"/>
        <v>0</v>
      </c>
      <c r="N37" s="81"/>
      <c r="P37" s="109"/>
      <c r="Q37" s="195">
        <f t="shared" ref="Q37:Q66" si="5">Q36+$Q$35</f>
        <v>0</v>
      </c>
      <c r="R37" s="133">
        <f t="shared" ref="R37:R65" si="6">COUNTIFS($F$27:$F$126,"&gt;="&amp;$Q37,$F$27:$F$126,"&lt;"&amp;$Q38)</f>
        <v>0</v>
      </c>
      <c r="S37" s="126">
        <f t="shared" ref="S37:S65" si="7">COUNTIFS(M$27:M$126,"&gt;="&amp;$Q37,M$27:M$126,"&lt;"&amp;$Q38)</f>
        <v>0</v>
      </c>
      <c r="T37" s="127">
        <f>COUNTIFS(N$4:N$106,"&gt;="&amp;#REF!,N$4:N$106,"&lt;"&amp;#REF!)</f>
        <v>0</v>
      </c>
    </row>
    <row r="38" spans="2:20" ht="14.25" x14ac:dyDescent="0.15">
      <c r="B38" s="80"/>
      <c r="C38" s="18">
        <v>12</v>
      </c>
      <c r="D38" s="87">
        <f t="shared" si="2"/>
        <v>0</v>
      </c>
      <c r="E38" s="87">
        <f>'シミュレーション計算用（変更不要）'!M15</f>
        <v>0</v>
      </c>
      <c r="F38" s="29">
        <f t="shared" si="3"/>
        <v>0</v>
      </c>
      <c r="G38" s="87">
        <f>IF(OR($D$16="",$G$6=0),0,EuropeanOptionPrice($H$6,$E38,0,$I$6,$D$10:$D$15)*$G$6)</f>
        <v>0</v>
      </c>
      <c r="H38" s="87">
        <f>IF(OR($D$16="",$G$7=0),0,EuropeanOptionPrice($H$7,$E38,0,$I$7,$D$10:$D$15)*$G$7)</f>
        <v>0</v>
      </c>
      <c r="I38" s="87">
        <f>IF(OR($D$16="",$G$11=0),0,'シミュレーション計算用（変更不要）'!T15*'シミュレーション計算用（変更不要）'!T118)</f>
        <v>0</v>
      </c>
      <c r="J38" s="87">
        <f>IF(OR($D$16="",$G$12=0),0,'シミュレーション計算用（変更不要）'!AA15*'シミュレーション計算用（変更不要）'!AA118)</f>
        <v>0</v>
      </c>
      <c r="K38" s="87">
        <f t="shared" si="0"/>
        <v>0</v>
      </c>
      <c r="L38" s="87">
        <f t="shared" si="1"/>
        <v>0</v>
      </c>
      <c r="M38" s="92">
        <f t="shared" si="4"/>
        <v>0</v>
      </c>
      <c r="N38" s="81"/>
      <c r="P38" s="109"/>
      <c r="Q38" s="195">
        <f t="shared" si="5"/>
        <v>0</v>
      </c>
      <c r="R38" s="133">
        <f t="shared" si="6"/>
        <v>0</v>
      </c>
      <c r="S38" s="126">
        <f t="shared" si="7"/>
        <v>0</v>
      </c>
      <c r="T38" s="127">
        <f>COUNTIFS(N$4:N$106,"&gt;="&amp;#REF!,N$4:N$106,"&lt;"&amp;#REF!)</f>
        <v>0</v>
      </c>
    </row>
    <row r="39" spans="2:20" ht="14.25" x14ac:dyDescent="0.15">
      <c r="B39" s="80"/>
      <c r="C39" s="18">
        <v>13</v>
      </c>
      <c r="D39" s="87">
        <f t="shared" si="2"/>
        <v>0</v>
      </c>
      <c r="E39" s="87">
        <f>'シミュレーション計算用（変更不要）'!M16</f>
        <v>0</v>
      </c>
      <c r="F39" s="29">
        <f t="shared" si="3"/>
        <v>0</v>
      </c>
      <c r="G39" s="87">
        <f>IF(OR($D$16="",$G$6=0),0,EuropeanOptionPrice($H$6,$E39,0,$I$6,$D$10:$D$15)*$G$6)</f>
        <v>0</v>
      </c>
      <c r="H39" s="87">
        <f>IF(OR($D$16="",$G$7=0),0,EuropeanOptionPrice($H$7,$E39,0,$I$7,$D$10:$D$15)*$G$7)</f>
        <v>0</v>
      </c>
      <c r="I39" s="87">
        <f>IF(OR($D$16="",$G$11=0),0,'シミュレーション計算用（変更不要）'!T16*'シミュレーション計算用（変更不要）'!T119)</f>
        <v>0</v>
      </c>
      <c r="J39" s="87">
        <f>IF(OR($D$16="",$G$12=0),0,'シミュレーション計算用（変更不要）'!AA16*'シミュレーション計算用（変更不要）'!AA119)</f>
        <v>0</v>
      </c>
      <c r="K39" s="87">
        <f t="shared" si="0"/>
        <v>0</v>
      </c>
      <c r="L39" s="87">
        <f t="shared" si="1"/>
        <v>0</v>
      </c>
      <c r="M39" s="92">
        <f t="shared" si="4"/>
        <v>0</v>
      </c>
      <c r="N39" s="81"/>
      <c r="P39" s="109"/>
      <c r="Q39" s="195">
        <f t="shared" si="5"/>
        <v>0</v>
      </c>
      <c r="R39" s="133">
        <f t="shared" si="6"/>
        <v>0</v>
      </c>
      <c r="S39" s="126">
        <f t="shared" si="7"/>
        <v>0</v>
      </c>
      <c r="T39" s="127">
        <f>COUNTIFS(N$4:N$106,"&gt;="&amp;#REF!,N$4:N$106,"&lt;"&amp;#REF!)</f>
        <v>0</v>
      </c>
    </row>
    <row r="40" spans="2:20" ht="14.25" x14ac:dyDescent="0.15">
      <c r="B40" s="80"/>
      <c r="C40" s="18">
        <v>14</v>
      </c>
      <c r="D40" s="87">
        <f t="shared" si="2"/>
        <v>0</v>
      </c>
      <c r="E40" s="87">
        <f>'シミュレーション計算用（変更不要）'!M17</f>
        <v>0</v>
      </c>
      <c r="F40" s="29">
        <f t="shared" si="3"/>
        <v>0</v>
      </c>
      <c r="G40" s="87">
        <f>IF(OR($D$16="",$G$6=0),0,EuropeanOptionPrice($H$6,$E40,0,$I$6,$D$10:$D$15)*$G$6)</f>
        <v>0</v>
      </c>
      <c r="H40" s="87">
        <f>IF(OR($D$16="",$G$7=0),0,EuropeanOptionPrice($H$7,$E40,0,$I$7,$D$10:$D$15)*$G$7)</f>
        <v>0</v>
      </c>
      <c r="I40" s="87">
        <f>IF(OR($D$16="",$G$11=0),0,'シミュレーション計算用（変更不要）'!T17*'シミュレーション計算用（変更不要）'!T120)</f>
        <v>0</v>
      </c>
      <c r="J40" s="87">
        <f>IF(OR($D$16="",$G$12=0),0,'シミュレーション計算用（変更不要）'!AA17*'シミュレーション計算用（変更不要）'!AA120)</f>
        <v>0</v>
      </c>
      <c r="K40" s="87">
        <f t="shared" si="0"/>
        <v>0</v>
      </c>
      <c r="L40" s="87">
        <f t="shared" si="1"/>
        <v>0</v>
      </c>
      <c r="M40" s="92">
        <f t="shared" si="4"/>
        <v>0</v>
      </c>
      <c r="N40" s="81"/>
      <c r="P40" s="109"/>
      <c r="Q40" s="195">
        <f t="shared" si="5"/>
        <v>0</v>
      </c>
      <c r="R40" s="133">
        <f t="shared" si="6"/>
        <v>0</v>
      </c>
      <c r="S40" s="126">
        <f t="shared" si="7"/>
        <v>0</v>
      </c>
      <c r="T40" s="127">
        <f>COUNTIFS(N$4:N$106,"&gt;="&amp;#REF!,N$4:N$106,"&lt;"&amp;#REF!)</f>
        <v>0</v>
      </c>
    </row>
    <row r="41" spans="2:20" ht="14.25" x14ac:dyDescent="0.15">
      <c r="B41" s="80"/>
      <c r="C41" s="18">
        <v>15</v>
      </c>
      <c r="D41" s="87">
        <f t="shared" si="2"/>
        <v>0</v>
      </c>
      <c r="E41" s="87">
        <f>'シミュレーション計算用（変更不要）'!M18</f>
        <v>0</v>
      </c>
      <c r="F41" s="29">
        <f t="shared" si="3"/>
        <v>0</v>
      </c>
      <c r="G41" s="87">
        <f>IF(OR($D$16="",$G$6=0),0,EuropeanOptionPrice($H$6,$E41,0,$I$6,$D$10:$D$15)*$G$6)</f>
        <v>0</v>
      </c>
      <c r="H41" s="87">
        <f>IF(OR($D$16="",$G$7=0),0,EuropeanOptionPrice($H$7,$E41,0,$I$7,$D$10:$D$15)*$G$7)</f>
        <v>0</v>
      </c>
      <c r="I41" s="87">
        <f>IF(OR($D$16="",$G$11=0),0,'シミュレーション計算用（変更不要）'!T18*'シミュレーション計算用（変更不要）'!T121)</f>
        <v>0</v>
      </c>
      <c r="J41" s="87">
        <f>IF(OR($D$16="",$G$12=0),0,'シミュレーション計算用（変更不要）'!AA18*'シミュレーション計算用（変更不要）'!AA121)</f>
        <v>0</v>
      </c>
      <c r="K41" s="87">
        <f t="shared" si="0"/>
        <v>0</v>
      </c>
      <c r="L41" s="87">
        <f t="shared" si="1"/>
        <v>0</v>
      </c>
      <c r="M41" s="92">
        <f t="shared" si="4"/>
        <v>0</v>
      </c>
      <c r="N41" s="81"/>
      <c r="P41" s="109"/>
      <c r="Q41" s="195">
        <f t="shared" si="5"/>
        <v>0</v>
      </c>
      <c r="R41" s="133">
        <f t="shared" si="6"/>
        <v>0</v>
      </c>
      <c r="S41" s="126">
        <f t="shared" si="7"/>
        <v>0</v>
      </c>
      <c r="T41" s="127">
        <f>COUNTIFS(N$4:N$106,"&gt;="&amp;#REF!,N$4:N$106,"&lt;"&amp;#REF!)</f>
        <v>0</v>
      </c>
    </row>
    <row r="42" spans="2:20" ht="14.25" x14ac:dyDescent="0.15">
      <c r="B42" s="80"/>
      <c r="C42" s="18">
        <v>16</v>
      </c>
      <c r="D42" s="87">
        <f t="shared" si="2"/>
        <v>0</v>
      </c>
      <c r="E42" s="87">
        <f>'シミュレーション計算用（変更不要）'!M19</f>
        <v>0</v>
      </c>
      <c r="F42" s="29">
        <f t="shared" si="3"/>
        <v>0</v>
      </c>
      <c r="G42" s="87">
        <f>IF(OR($D$16="",$G$6=0),0,EuropeanOptionPrice($H$6,$E42,0,$I$6,$D$10:$D$15)*$G$6)</f>
        <v>0</v>
      </c>
      <c r="H42" s="87">
        <f>IF(OR($D$16="",$G$7=0),0,EuropeanOptionPrice($H$7,$E42,0,$I$7,$D$10:$D$15)*$G$7)</f>
        <v>0</v>
      </c>
      <c r="I42" s="87">
        <f>IF(OR($D$16="",$G$11=0),0,'シミュレーション計算用（変更不要）'!T19*'シミュレーション計算用（変更不要）'!T122)</f>
        <v>0</v>
      </c>
      <c r="J42" s="87">
        <f>IF(OR($D$16="",$G$12=0),0,'シミュレーション計算用（変更不要）'!AA19*'シミュレーション計算用（変更不要）'!AA122)</f>
        <v>0</v>
      </c>
      <c r="K42" s="87">
        <f t="shared" si="0"/>
        <v>0</v>
      </c>
      <c r="L42" s="87">
        <f t="shared" si="1"/>
        <v>0</v>
      </c>
      <c r="M42" s="92">
        <f t="shared" si="4"/>
        <v>0</v>
      </c>
      <c r="N42" s="81"/>
      <c r="P42" s="109"/>
      <c r="Q42" s="195">
        <f t="shared" si="5"/>
        <v>0</v>
      </c>
      <c r="R42" s="133">
        <f t="shared" si="6"/>
        <v>0</v>
      </c>
      <c r="S42" s="126">
        <f t="shared" si="7"/>
        <v>0</v>
      </c>
      <c r="T42" s="127">
        <f>COUNTIFS(N$4:N$106,"&gt;="&amp;#REF!,N$4:N$106,"&lt;"&amp;#REF!)</f>
        <v>0</v>
      </c>
    </row>
    <row r="43" spans="2:20" ht="14.25" x14ac:dyDescent="0.15">
      <c r="B43" s="80"/>
      <c r="C43" s="18">
        <v>17</v>
      </c>
      <c r="D43" s="87">
        <f t="shared" si="2"/>
        <v>0</v>
      </c>
      <c r="E43" s="87">
        <f>'シミュレーション計算用（変更不要）'!M20</f>
        <v>0</v>
      </c>
      <c r="F43" s="29">
        <f t="shared" si="3"/>
        <v>0</v>
      </c>
      <c r="G43" s="87">
        <f>IF(OR($D$16="",$G$6=0),0,EuropeanOptionPrice($H$6,$E43,0,$I$6,$D$10:$D$15)*$G$6)</f>
        <v>0</v>
      </c>
      <c r="H43" s="87">
        <f>IF(OR($D$16="",$G$7=0),0,EuropeanOptionPrice($H$7,$E43,0,$I$7,$D$10:$D$15)*$G$7)</f>
        <v>0</v>
      </c>
      <c r="I43" s="87">
        <f>IF(OR($D$16="",$G$11=0),0,'シミュレーション計算用（変更不要）'!T20*'シミュレーション計算用（変更不要）'!T123)</f>
        <v>0</v>
      </c>
      <c r="J43" s="87">
        <f>IF(OR($D$16="",$G$12=0),0,'シミュレーション計算用（変更不要）'!AA20*'シミュレーション計算用（変更不要）'!AA123)</f>
        <v>0</v>
      </c>
      <c r="K43" s="87">
        <f t="shared" si="0"/>
        <v>0</v>
      </c>
      <c r="L43" s="87">
        <f t="shared" si="1"/>
        <v>0</v>
      </c>
      <c r="M43" s="92">
        <f t="shared" si="4"/>
        <v>0</v>
      </c>
      <c r="N43" s="81"/>
      <c r="P43" s="109"/>
      <c r="Q43" s="195">
        <f t="shared" si="5"/>
        <v>0</v>
      </c>
      <c r="R43" s="133">
        <f t="shared" si="6"/>
        <v>0</v>
      </c>
      <c r="S43" s="126">
        <f t="shared" si="7"/>
        <v>0</v>
      </c>
      <c r="T43" s="127">
        <f>COUNTIFS(N$4:N$106,"&gt;="&amp;#REF!,N$4:N$106,"&lt;"&amp;#REF!)</f>
        <v>0</v>
      </c>
    </row>
    <row r="44" spans="2:20" ht="14.25" x14ac:dyDescent="0.15">
      <c r="B44" s="80"/>
      <c r="C44" s="18">
        <v>18</v>
      </c>
      <c r="D44" s="87">
        <f t="shared" si="2"/>
        <v>0</v>
      </c>
      <c r="E44" s="87">
        <f>'シミュレーション計算用（変更不要）'!M21</f>
        <v>0</v>
      </c>
      <c r="F44" s="29">
        <f t="shared" si="3"/>
        <v>0</v>
      </c>
      <c r="G44" s="87">
        <f>IF(OR($D$16="",$G$6=0),0,EuropeanOptionPrice($H$6,$E44,0,$I$6,$D$10:$D$15)*$G$6)</f>
        <v>0</v>
      </c>
      <c r="H44" s="87">
        <f>IF(OR($D$16="",$G$7=0),0,EuropeanOptionPrice($H$7,$E44,0,$I$7,$D$10:$D$15)*$G$7)</f>
        <v>0</v>
      </c>
      <c r="I44" s="87">
        <f>IF(OR($D$16="",$G$11=0),0,'シミュレーション計算用（変更不要）'!T21*'シミュレーション計算用（変更不要）'!T124)</f>
        <v>0</v>
      </c>
      <c r="J44" s="87">
        <f>IF(OR($D$16="",$G$12=0),0,'シミュレーション計算用（変更不要）'!AA21*'シミュレーション計算用（変更不要）'!AA124)</f>
        <v>0</v>
      </c>
      <c r="K44" s="87">
        <f t="shared" si="0"/>
        <v>0</v>
      </c>
      <c r="L44" s="87">
        <f t="shared" si="1"/>
        <v>0</v>
      </c>
      <c r="M44" s="92">
        <f t="shared" si="4"/>
        <v>0</v>
      </c>
      <c r="N44" s="81"/>
      <c r="P44" s="109"/>
      <c r="Q44" s="195">
        <f t="shared" si="5"/>
        <v>0</v>
      </c>
      <c r="R44" s="133">
        <f t="shared" si="6"/>
        <v>0</v>
      </c>
      <c r="S44" s="126">
        <f t="shared" si="7"/>
        <v>0</v>
      </c>
      <c r="T44" s="127">
        <f>COUNTIFS(N$4:N$106,"&gt;="&amp;#REF!,N$4:N$106,"&lt;"&amp;#REF!)</f>
        <v>0</v>
      </c>
    </row>
    <row r="45" spans="2:20" ht="14.25" x14ac:dyDescent="0.15">
      <c r="B45" s="80"/>
      <c r="C45" s="18">
        <v>19</v>
      </c>
      <c r="D45" s="87">
        <f t="shared" si="2"/>
        <v>0</v>
      </c>
      <c r="E45" s="87">
        <f>'シミュレーション計算用（変更不要）'!M22</f>
        <v>0</v>
      </c>
      <c r="F45" s="29">
        <f t="shared" si="3"/>
        <v>0</v>
      </c>
      <c r="G45" s="87">
        <f>IF(OR($D$16="",$G$6=0),0,EuropeanOptionPrice($H$6,$E45,0,$I$6,$D$10:$D$15)*$G$6)</f>
        <v>0</v>
      </c>
      <c r="H45" s="87">
        <f>IF(OR($D$16="",$G$7=0),0,EuropeanOptionPrice($H$7,$E45,0,$I$7,$D$10:$D$15)*$G$7)</f>
        <v>0</v>
      </c>
      <c r="I45" s="87">
        <f>IF(OR($D$16="",$G$11=0),0,'シミュレーション計算用（変更不要）'!T22*'シミュレーション計算用（変更不要）'!T125)</f>
        <v>0</v>
      </c>
      <c r="J45" s="87">
        <f>IF(OR($D$16="",$G$12=0),0,'シミュレーション計算用（変更不要）'!AA22*'シミュレーション計算用（変更不要）'!AA125)</f>
        <v>0</v>
      </c>
      <c r="K45" s="87">
        <f t="shared" si="0"/>
        <v>0</v>
      </c>
      <c r="L45" s="87">
        <f t="shared" si="1"/>
        <v>0</v>
      </c>
      <c r="M45" s="92">
        <f t="shared" si="4"/>
        <v>0</v>
      </c>
      <c r="N45" s="81"/>
      <c r="P45" s="109"/>
      <c r="Q45" s="195">
        <f t="shared" si="5"/>
        <v>0</v>
      </c>
      <c r="R45" s="133">
        <f t="shared" si="6"/>
        <v>0</v>
      </c>
      <c r="S45" s="126">
        <f t="shared" si="7"/>
        <v>0</v>
      </c>
      <c r="T45" s="127">
        <f>COUNTIFS(N$4:N$106,"&gt;="&amp;#REF!,N$4:N$106,"&lt;"&amp;#REF!)</f>
        <v>0</v>
      </c>
    </row>
    <row r="46" spans="2:20" ht="14.25" x14ac:dyDescent="0.15">
      <c r="B46" s="80"/>
      <c r="C46" s="18">
        <v>20</v>
      </c>
      <c r="D46" s="87">
        <f t="shared" si="2"/>
        <v>0</v>
      </c>
      <c r="E46" s="87">
        <f>'シミュレーション計算用（変更不要）'!M23</f>
        <v>0</v>
      </c>
      <c r="F46" s="29">
        <f t="shared" si="3"/>
        <v>0</v>
      </c>
      <c r="G46" s="87">
        <f>IF(OR($D$16="",$G$6=0),0,EuropeanOptionPrice($H$6,$E46,0,$I$6,$D$10:$D$15)*$G$6)</f>
        <v>0</v>
      </c>
      <c r="H46" s="87">
        <f>IF(OR($D$16="",$G$7=0),0,EuropeanOptionPrice($H$7,$E46,0,$I$7,$D$10:$D$15)*$G$7)</f>
        <v>0</v>
      </c>
      <c r="I46" s="87">
        <f>IF(OR($D$16="",$G$11=0),0,'シミュレーション計算用（変更不要）'!T23*'シミュレーション計算用（変更不要）'!T126)</f>
        <v>0</v>
      </c>
      <c r="J46" s="87">
        <f>IF(OR($D$16="",$G$12=0),0,'シミュレーション計算用（変更不要）'!AA23*'シミュレーション計算用（変更不要）'!AA126)</f>
        <v>0</v>
      </c>
      <c r="K46" s="87">
        <f t="shared" si="0"/>
        <v>0</v>
      </c>
      <c r="L46" s="87">
        <f t="shared" si="1"/>
        <v>0</v>
      </c>
      <c r="M46" s="92">
        <f t="shared" si="4"/>
        <v>0</v>
      </c>
      <c r="N46" s="81"/>
      <c r="P46" s="109"/>
      <c r="Q46" s="195">
        <f t="shared" si="5"/>
        <v>0</v>
      </c>
      <c r="R46" s="133">
        <f t="shared" si="6"/>
        <v>0</v>
      </c>
      <c r="S46" s="126">
        <f t="shared" si="7"/>
        <v>0</v>
      </c>
      <c r="T46" s="127">
        <f>COUNTIFS(N$4:N$106,"&gt;="&amp;#REF!,N$4:N$106,"&lt;"&amp;#REF!)</f>
        <v>0</v>
      </c>
    </row>
    <row r="47" spans="2:20" ht="14.25" x14ac:dyDescent="0.15">
      <c r="B47" s="80"/>
      <c r="C47" s="18">
        <v>21</v>
      </c>
      <c r="D47" s="87">
        <f t="shared" si="2"/>
        <v>0</v>
      </c>
      <c r="E47" s="87">
        <f>'シミュレーション計算用（変更不要）'!M24</f>
        <v>0</v>
      </c>
      <c r="F47" s="29">
        <f t="shared" si="3"/>
        <v>0</v>
      </c>
      <c r="G47" s="87">
        <f>IF(OR($D$16="",$G$6=0),0,EuropeanOptionPrice($H$6,$E47,0,$I$6,$D$10:$D$15)*$G$6)</f>
        <v>0</v>
      </c>
      <c r="H47" s="87">
        <f>IF(OR($D$16="",$G$7=0),0,EuropeanOptionPrice($H$7,$E47,0,$I$7,$D$10:$D$15)*$G$7)</f>
        <v>0</v>
      </c>
      <c r="I47" s="87">
        <f>IF(OR($D$16="",$G$11=0),0,'シミュレーション計算用（変更不要）'!T24*'シミュレーション計算用（変更不要）'!T127)</f>
        <v>0</v>
      </c>
      <c r="J47" s="87">
        <f>IF(OR($D$16="",$G$12=0),0,'シミュレーション計算用（変更不要）'!AA24*'シミュレーション計算用（変更不要）'!AA127)</f>
        <v>0</v>
      </c>
      <c r="K47" s="87">
        <f t="shared" si="0"/>
        <v>0</v>
      </c>
      <c r="L47" s="87">
        <f t="shared" si="1"/>
        <v>0</v>
      </c>
      <c r="M47" s="92">
        <f t="shared" si="4"/>
        <v>0</v>
      </c>
      <c r="N47" s="81"/>
      <c r="P47" s="109"/>
      <c r="Q47" s="195">
        <f t="shared" si="5"/>
        <v>0</v>
      </c>
      <c r="R47" s="133">
        <f t="shared" si="6"/>
        <v>0</v>
      </c>
      <c r="S47" s="126">
        <f t="shared" si="7"/>
        <v>0</v>
      </c>
      <c r="T47" s="127">
        <f>COUNTIFS(N$4:N$106,"&gt;="&amp;#REF!,N$4:N$106,"&lt;"&amp;#REF!)</f>
        <v>0</v>
      </c>
    </row>
    <row r="48" spans="2:20" ht="14.25" x14ac:dyDescent="0.15">
      <c r="B48" s="80"/>
      <c r="C48" s="18">
        <v>22</v>
      </c>
      <c r="D48" s="87">
        <f t="shared" si="2"/>
        <v>0</v>
      </c>
      <c r="E48" s="87">
        <f>'シミュレーション計算用（変更不要）'!M25</f>
        <v>0</v>
      </c>
      <c r="F48" s="29">
        <f t="shared" si="3"/>
        <v>0</v>
      </c>
      <c r="G48" s="87">
        <f>IF(OR($D$16="",$G$6=0),0,EuropeanOptionPrice($H$6,$E48,0,$I$6,$D$10:$D$15)*$G$6)</f>
        <v>0</v>
      </c>
      <c r="H48" s="87">
        <f>IF(OR($D$16="",$G$7=0),0,EuropeanOptionPrice($H$7,$E48,0,$I$7,$D$10:$D$15)*$G$7)</f>
        <v>0</v>
      </c>
      <c r="I48" s="87">
        <f>IF(OR($D$16="",$G$11=0),0,'シミュレーション計算用（変更不要）'!T25*'シミュレーション計算用（変更不要）'!T128)</f>
        <v>0</v>
      </c>
      <c r="J48" s="87">
        <f>IF(OR($D$16="",$G$12=0),0,'シミュレーション計算用（変更不要）'!AA25*'シミュレーション計算用（変更不要）'!AA128)</f>
        <v>0</v>
      </c>
      <c r="K48" s="87">
        <f t="shared" si="0"/>
        <v>0</v>
      </c>
      <c r="L48" s="87">
        <f t="shared" si="1"/>
        <v>0</v>
      </c>
      <c r="M48" s="92">
        <f t="shared" si="4"/>
        <v>0</v>
      </c>
      <c r="N48" s="81"/>
      <c r="P48" s="109"/>
      <c r="Q48" s="195">
        <f t="shared" si="5"/>
        <v>0</v>
      </c>
      <c r="R48" s="133">
        <f t="shared" si="6"/>
        <v>0</v>
      </c>
      <c r="S48" s="126">
        <f t="shared" si="7"/>
        <v>0</v>
      </c>
      <c r="T48" s="127">
        <f>COUNTIFS(N$4:N$106,"&gt;="&amp;#REF!,N$4:N$106,"&lt;"&amp;#REF!)</f>
        <v>0</v>
      </c>
    </row>
    <row r="49" spans="2:20" ht="14.25" x14ac:dyDescent="0.15">
      <c r="B49" s="80"/>
      <c r="C49" s="18">
        <v>23</v>
      </c>
      <c r="D49" s="87">
        <f t="shared" si="2"/>
        <v>0</v>
      </c>
      <c r="E49" s="87">
        <f>'シミュレーション計算用（変更不要）'!M26</f>
        <v>0</v>
      </c>
      <c r="F49" s="29">
        <f t="shared" si="3"/>
        <v>0</v>
      </c>
      <c r="G49" s="87">
        <f>IF(OR($D$16="",$G$6=0),0,EuropeanOptionPrice($H$6,$E49,0,$I$6,$D$10:$D$15)*$G$6)</f>
        <v>0</v>
      </c>
      <c r="H49" s="87">
        <f>IF(OR($D$16="",$G$7=0),0,EuropeanOptionPrice($H$7,$E49,0,$I$7,$D$10:$D$15)*$G$7)</f>
        <v>0</v>
      </c>
      <c r="I49" s="87">
        <f>IF(OR($D$16="",$G$11=0),0,'シミュレーション計算用（変更不要）'!T26*'シミュレーション計算用（変更不要）'!T129)</f>
        <v>0</v>
      </c>
      <c r="J49" s="87">
        <f>IF(OR($D$16="",$G$12=0),0,'シミュレーション計算用（変更不要）'!AA26*'シミュレーション計算用（変更不要）'!AA129)</f>
        <v>0</v>
      </c>
      <c r="K49" s="87">
        <f t="shared" si="0"/>
        <v>0</v>
      </c>
      <c r="L49" s="87">
        <f t="shared" si="1"/>
        <v>0</v>
      </c>
      <c r="M49" s="92">
        <f t="shared" si="4"/>
        <v>0</v>
      </c>
      <c r="N49" s="81"/>
      <c r="P49" s="109"/>
      <c r="Q49" s="195">
        <f t="shared" si="5"/>
        <v>0</v>
      </c>
      <c r="R49" s="133">
        <f t="shared" si="6"/>
        <v>0</v>
      </c>
      <c r="S49" s="126">
        <f t="shared" si="7"/>
        <v>0</v>
      </c>
      <c r="T49" s="127">
        <f>COUNTIFS(N$4:N$106,"&gt;="&amp;#REF!,N$4:N$106,"&lt;"&amp;#REF!)</f>
        <v>0</v>
      </c>
    </row>
    <row r="50" spans="2:20" ht="14.25" x14ac:dyDescent="0.15">
      <c r="B50" s="80"/>
      <c r="C50" s="18">
        <v>24</v>
      </c>
      <c r="D50" s="87">
        <f t="shared" si="2"/>
        <v>0</v>
      </c>
      <c r="E50" s="87">
        <f>'シミュレーション計算用（変更不要）'!M27</f>
        <v>0</v>
      </c>
      <c r="F50" s="29">
        <f t="shared" si="3"/>
        <v>0</v>
      </c>
      <c r="G50" s="87">
        <f>IF(OR($D$16="",$G$6=0),0,EuropeanOptionPrice($H$6,$E50,0,$I$6,$D$10:$D$15)*$G$6)</f>
        <v>0</v>
      </c>
      <c r="H50" s="87">
        <f>IF(OR($D$16="",$G$7=0),0,EuropeanOptionPrice($H$7,$E50,0,$I$7,$D$10:$D$15)*$G$7)</f>
        <v>0</v>
      </c>
      <c r="I50" s="87">
        <f>IF(OR($D$16="",$G$11=0),0,'シミュレーション計算用（変更不要）'!T27*'シミュレーション計算用（変更不要）'!T130)</f>
        <v>0</v>
      </c>
      <c r="J50" s="87">
        <f>IF(OR($D$16="",$G$12=0),0,'シミュレーション計算用（変更不要）'!AA27*'シミュレーション計算用（変更不要）'!AA130)</f>
        <v>0</v>
      </c>
      <c r="K50" s="87">
        <f t="shared" si="0"/>
        <v>0</v>
      </c>
      <c r="L50" s="87">
        <f t="shared" si="1"/>
        <v>0</v>
      </c>
      <c r="M50" s="92">
        <f t="shared" si="4"/>
        <v>0</v>
      </c>
      <c r="N50" s="81"/>
      <c r="P50" s="109"/>
      <c r="Q50" s="195">
        <f t="shared" si="5"/>
        <v>0</v>
      </c>
      <c r="R50" s="133">
        <f t="shared" si="6"/>
        <v>0</v>
      </c>
      <c r="S50" s="126">
        <f t="shared" si="7"/>
        <v>0</v>
      </c>
      <c r="T50" s="127">
        <f>COUNTIFS(N$4:N$106,"&gt;="&amp;#REF!,N$4:N$106,"&lt;"&amp;#REF!)</f>
        <v>0</v>
      </c>
    </row>
    <row r="51" spans="2:20" ht="14.25" x14ac:dyDescent="0.15">
      <c r="B51" s="80"/>
      <c r="C51" s="18">
        <v>25</v>
      </c>
      <c r="D51" s="87">
        <f t="shared" si="2"/>
        <v>0</v>
      </c>
      <c r="E51" s="87">
        <f>'シミュレーション計算用（変更不要）'!M28</f>
        <v>0</v>
      </c>
      <c r="F51" s="29">
        <f t="shared" si="3"/>
        <v>0</v>
      </c>
      <c r="G51" s="87">
        <f>IF(OR($D$16="",$G$6=0),0,EuropeanOptionPrice($H$6,$E51,0,$I$6,$D$10:$D$15)*$G$6)</f>
        <v>0</v>
      </c>
      <c r="H51" s="87">
        <f>IF(OR($D$16="",$G$7=0),0,EuropeanOptionPrice($H$7,$E51,0,$I$7,$D$10:$D$15)*$G$7)</f>
        <v>0</v>
      </c>
      <c r="I51" s="87">
        <f>IF(OR($D$16="",$G$11=0),0,'シミュレーション計算用（変更不要）'!T28*'シミュレーション計算用（変更不要）'!T131)</f>
        <v>0</v>
      </c>
      <c r="J51" s="87">
        <f>IF(OR($D$16="",$G$12=0),0,'シミュレーション計算用（変更不要）'!AA28*'シミュレーション計算用（変更不要）'!AA131)</f>
        <v>0</v>
      </c>
      <c r="K51" s="87">
        <f t="shared" si="0"/>
        <v>0</v>
      </c>
      <c r="L51" s="87">
        <f t="shared" si="1"/>
        <v>0</v>
      </c>
      <c r="M51" s="92">
        <f t="shared" si="4"/>
        <v>0</v>
      </c>
      <c r="N51" s="81"/>
      <c r="P51" s="109"/>
      <c r="Q51" s="195">
        <f t="shared" si="5"/>
        <v>0</v>
      </c>
      <c r="R51" s="133">
        <f t="shared" si="6"/>
        <v>0</v>
      </c>
      <c r="S51" s="126">
        <f t="shared" si="7"/>
        <v>0</v>
      </c>
      <c r="T51" s="127">
        <f>COUNTIFS(N$4:N$106,"&gt;="&amp;#REF!,N$4:N$106,"&lt;"&amp;#REF!)</f>
        <v>0</v>
      </c>
    </row>
    <row r="52" spans="2:20" ht="14.25" x14ac:dyDescent="0.15">
      <c r="B52" s="80"/>
      <c r="C52" s="18">
        <v>26</v>
      </c>
      <c r="D52" s="87">
        <f t="shared" si="2"/>
        <v>0</v>
      </c>
      <c r="E52" s="87">
        <f>'シミュレーション計算用（変更不要）'!M29</f>
        <v>0</v>
      </c>
      <c r="F52" s="29">
        <f t="shared" si="3"/>
        <v>0</v>
      </c>
      <c r="G52" s="87">
        <f>IF(OR($D$16="",$G$6=0),0,EuropeanOptionPrice($H$6,$E52,0,$I$6,$D$10:$D$15)*$G$6)</f>
        <v>0</v>
      </c>
      <c r="H52" s="87">
        <f>IF(OR($D$16="",$G$7=0),0,EuropeanOptionPrice($H$7,$E52,0,$I$7,$D$10:$D$15)*$G$7)</f>
        <v>0</v>
      </c>
      <c r="I52" s="87">
        <f>IF(OR($D$16="",$G$11=0),0,'シミュレーション計算用（変更不要）'!T29*'シミュレーション計算用（変更不要）'!T132)</f>
        <v>0</v>
      </c>
      <c r="J52" s="87">
        <f>IF(OR($D$16="",$G$12=0),0,'シミュレーション計算用（変更不要）'!AA29*'シミュレーション計算用（変更不要）'!AA132)</f>
        <v>0</v>
      </c>
      <c r="K52" s="87">
        <f t="shared" si="0"/>
        <v>0</v>
      </c>
      <c r="L52" s="87">
        <f t="shared" si="1"/>
        <v>0</v>
      </c>
      <c r="M52" s="92">
        <f t="shared" si="4"/>
        <v>0</v>
      </c>
      <c r="N52" s="81"/>
      <c r="P52" s="109"/>
      <c r="Q52" s="195">
        <f t="shared" si="5"/>
        <v>0</v>
      </c>
      <c r="R52" s="133">
        <f t="shared" si="6"/>
        <v>0</v>
      </c>
      <c r="S52" s="126">
        <f t="shared" si="7"/>
        <v>0</v>
      </c>
      <c r="T52" s="127">
        <f>COUNTIFS(N$4:N$106,"&gt;="&amp;#REF!,N$4:N$106,"&lt;"&amp;#REF!)</f>
        <v>0</v>
      </c>
    </row>
    <row r="53" spans="2:20" ht="14.25" x14ac:dyDescent="0.15">
      <c r="B53" s="80"/>
      <c r="C53" s="18">
        <v>27</v>
      </c>
      <c r="D53" s="87">
        <f t="shared" si="2"/>
        <v>0</v>
      </c>
      <c r="E53" s="87">
        <f>'シミュレーション計算用（変更不要）'!M30</f>
        <v>0</v>
      </c>
      <c r="F53" s="29">
        <f t="shared" si="3"/>
        <v>0</v>
      </c>
      <c r="G53" s="87">
        <f>IF(OR($D$16="",$G$6=0),0,EuropeanOptionPrice($H$6,$E53,0,$I$6,$D$10:$D$15)*$G$6)</f>
        <v>0</v>
      </c>
      <c r="H53" s="87">
        <f>IF(OR($D$16="",$G$7=0),0,EuropeanOptionPrice($H$7,$E53,0,$I$7,$D$10:$D$15)*$G$7)</f>
        <v>0</v>
      </c>
      <c r="I53" s="87">
        <f>IF(OR($D$16="",$G$11=0),0,'シミュレーション計算用（変更不要）'!T30*'シミュレーション計算用（変更不要）'!T133)</f>
        <v>0</v>
      </c>
      <c r="J53" s="87">
        <f>IF(OR($D$16="",$G$12=0),0,'シミュレーション計算用（変更不要）'!AA30*'シミュレーション計算用（変更不要）'!AA133)</f>
        <v>0</v>
      </c>
      <c r="K53" s="87">
        <f t="shared" si="0"/>
        <v>0</v>
      </c>
      <c r="L53" s="87">
        <f t="shared" si="1"/>
        <v>0</v>
      </c>
      <c r="M53" s="92">
        <f t="shared" si="4"/>
        <v>0</v>
      </c>
      <c r="N53" s="81"/>
      <c r="P53" s="109"/>
      <c r="Q53" s="195">
        <f t="shared" si="5"/>
        <v>0</v>
      </c>
      <c r="R53" s="133">
        <f t="shared" si="6"/>
        <v>0</v>
      </c>
      <c r="S53" s="126">
        <f t="shared" si="7"/>
        <v>0</v>
      </c>
      <c r="T53" s="127">
        <f>COUNTIFS(N$4:N$106,"&gt;="&amp;#REF!,N$4:N$106,"&lt;"&amp;#REF!)</f>
        <v>0</v>
      </c>
    </row>
    <row r="54" spans="2:20" ht="14.25" x14ac:dyDescent="0.15">
      <c r="B54" s="80"/>
      <c r="C54" s="18">
        <v>28</v>
      </c>
      <c r="D54" s="87">
        <f t="shared" si="2"/>
        <v>0</v>
      </c>
      <c r="E54" s="87">
        <f>'シミュレーション計算用（変更不要）'!M31</f>
        <v>0</v>
      </c>
      <c r="F54" s="29">
        <f t="shared" si="3"/>
        <v>0</v>
      </c>
      <c r="G54" s="87">
        <f>IF(OR($D$16="",$G$6=0),0,EuropeanOptionPrice($H$6,$E54,0,$I$6,$D$10:$D$15)*$G$6)</f>
        <v>0</v>
      </c>
      <c r="H54" s="87">
        <f>IF(OR($D$16="",$G$7=0),0,EuropeanOptionPrice($H$7,$E54,0,$I$7,$D$10:$D$15)*$G$7)</f>
        <v>0</v>
      </c>
      <c r="I54" s="87">
        <f>IF(OR($D$16="",$G$11=0),0,'シミュレーション計算用（変更不要）'!T31*'シミュレーション計算用（変更不要）'!T134)</f>
        <v>0</v>
      </c>
      <c r="J54" s="87">
        <f>IF(OR($D$16="",$G$12=0),0,'シミュレーション計算用（変更不要）'!AA31*'シミュレーション計算用（変更不要）'!AA134)</f>
        <v>0</v>
      </c>
      <c r="K54" s="87">
        <f t="shared" si="0"/>
        <v>0</v>
      </c>
      <c r="L54" s="87">
        <f t="shared" si="1"/>
        <v>0</v>
      </c>
      <c r="M54" s="92">
        <f t="shared" si="4"/>
        <v>0</v>
      </c>
      <c r="N54" s="81"/>
      <c r="P54" s="109"/>
      <c r="Q54" s="195">
        <f t="shared" si="5"/>
        <v>0</v>
      </c>
      <c r="R54" s="133">
        <f t="shared" si="6"/>
        <v>0</v>
      </c>
      <c r="S54" s="126">
        <f t="shared" si="7"/>
        <v>0</v>
      </c>
      <c r="T54" s="127">
        <f>COUNTIFS(N$4:N$106,"&gt;="&amp;#REF!,N$4:N$106,"&lt;"&amp;#REF!)</f>
        <v>0</v>
      </c>
    </row>
    <row r="55" spans="2:20" ht="14.25" x14ac:dyDescent="0.15">
      <c r="B55" s="80"/>
      <c r="C55" s="18">
        <v>29</v>
      </c>
      <c r="D55" s="87">
        <f t="shared" si="2"/>
        <v>0</v>
      </c>
      <c r="E55" s="87">
        <f>'シミュレーション計算用（変更不要）'!M32</f>
        <v>0</v>
      </c>
      <c r="F55" s="29">
        <f t="shared" si="3"/>
        <v>0</v>
      </c>
      <c r="G55" s="87">
        <f>IF(OR($D$16="",$G$6=0),0,EuropeanOptionPrice($H$6,$E55,0,$I$6,$D$10:$D$15)*$G$6)</f>
        <v>0</v>
      </c>
      <c r="H55" s="87">
        <f>IF(OR($D$16="",$G$7=0),0,EuropeanOptionPrice($H$7,$E55,0,$I$7,$D$10:$D$15)*$G$7)</f>
        <v>0</v>
      </c>
      <c r="I55" s="87">
        <f>IF(OR($D$16="",$G$11=0),0,'シミュレーション計算用（変更不要）'!T32*'シミュレーション計算用（変更不要）'!T135)</f>
        <v>0</v>
      </c>
      <c r="J55" s="87">
        <f>IF(OR($D$16="",$G$12=0),0,'シミュレーション計算用（変更不要）'!AA32*'シミュレーション計算用（変更不要）'!AA135)</f>
        <v>0</v>
      </c>
      <c r="K55" s="87">
        <f t="shared" si="0"/>
        <v>0</v>
      </c>
      <c r="L55" s="87">
        <f t="shared" si="1"/>
        <v>0</v>
      </c>
      <c r="M55" s="92">
        <f t="shared" si="4"/>
        <v>0</v>
      </c>
      <c r="N55" s="81"/>
      <c r="P55" s="109"/>
      <c r="Q55" s="195">
        <f t="shared" si="5"/>
        <v>0</v>
      </c>
      <c r="R55" s="133">
        <f t="shared" si="6"/>
        <v>0</v>
      </c>
      <c r="S55" s="126">
        <f t="shared" si="7"/>
        <v>0</v>
      </c>
      <c r="T55" s="127">
        <f>COUNTIFS(N$4:N$106,"&gt;="&amp;#REF!,N$4:N$106,"&lt;"&amp;#REF!)</f>
        <v>0</v>
      </c>
    </row>
    <row r="56" spans="2:20" ht="14.25" x14ac:dyDescent="0.15">
      <c r="B56" s="80"/>
      <c r="C56" s="18">
        <v>30</v>
      </c>
      <c r="D56" s="87">
        <f t="shared" si="2"/>
        <v>0</v>
      </c>
      <c r="E56" s="87">
        <f>'シミュレーション計算用（変更不要）'!M33</f>
        <v>0</v>
      </c>
      <c r="F56" s="29">
        <f t="shared" si="3"/>
        <v>0</v>
      </c>
      <c r="G56" s="87">
        <f>IF(OR($D$16="",$G$6=0),0,EuropeanOptionPrice($H$6,$E56,0,$I$6,$D$10:$D$15)*$G$6)</f>
        <v>0</v>
      </c>
      <c r="H56" s="87">
        <f>IF(OR($D$16="",$G$7=0),0,EuropeanOptionPrice($H$7,$E56,0,$I$7,$D$10:$D$15)*$G$7)</f>
        <v>0</v>
      </c>
      <c r="I56" s="87">
        <f>IF(OR($D$16="",$G$11=0),0,'シミュレーション計算用（変更不要）'!T33*'シミュレーション計算用（変更不要）'!T136)</f>
        <v>0</v>
      </c>
      <c r="J56" s="87">
        <f>IF(OR($D$16="",$G$12=0),0,'シミュレーション計算用（変更不要）'!AA33*'シミュレーション計算用（変更不要）'!AA136)</f>
        <v>0</v>
      </c>
      <c r="K56" s="87">
        <f t="shared" si="0"/>
        <v>0</v>
      </c>
      <c r="L56" s="87">
        <f t="shared" si="1"/>
        <v>0</v>
      </c>
      <c r="M56" s="92">
        <f t="shared" si="4"/>
        <v>0</v>
      </c>
      <c r="N56" s="81"/>
      <c r="P56" s="109"/>
      <c r="Q56" s="195">
        <f t="shared" si="5"/>
        <v>0</v>
      </c>
      <c r="R56" s="133">
        <f t="shared" si="6"/>
        <v>0</v>
      </c>
      <c r="S56" s="126">
        <f t="shared" si="7"/>
        <v>0</v>
      </c>
      <c r="T56" s="127">
        <f>COUNTIFS(N$4:N$106,"&gt;="&amp;#REF!,N$4:N$106,"&lt;"&amp;#REF!)</f>
        <v>0</v>
      </c>
    </row>
    <row r="57" spans="2:20" ht="14.25" x14ac:dyDescent="0.15">
      <c r="B57" s="80"/>
      <c r="C57" s="18">
        <v>31</v>
      </c>
      <c r="D57" s="87">
        <f t="shared" si="2"/>
        <v>0</v>
      </c>
      <c r="E57" s="87">
        <f>'シミュレーション計算用（変更不要）'!M34</f>
        <v>0</v>
      </c>
      <c r="F57" s="29">
        <f t="shared" si="3"/>
        <v>0</v>
      </c>
      <c r="G57" s="87">
        <f>IF(OR($D$16="",$G$6=0),0,EuropeanOptionPrice($H$6,$E57,0,$I$6,$D$10:$D$15)*$G$6)</f>
        <v>0</v>
      </c>
      <c r="H57" s="87">
        <f>IF(OR($D$16="",$G$7=0),0,EuropeanOptionPrice($H$7,$E57,0,$I$7,$D$10:$D$15)*$G$7)</f>
        <v>0</v>
      </c>
      <c r="I57" s="87">
        <f>IF(OR($D$16="",$G$11=0),0,'シミュレーション計算用（変更不要）'!T34*'シミュレーション計算用（変更不要）'!T137)</f>
        <v>0</v>
      </c>
      <c r="J57" s="87">
        <f>IF(OR($D$16="",$G$12=0),0,'シミュレーション計算用（変更不要）'!AA34*'シミュレーション計算用（変更不要）'!AA137)</f>
        <v>0</v>
      </c>
      <c r="K57" s="87">
        <f t="shared" si="0"/>
        <v>0</v>
      </c>
      <c r="L57" s="87">
        <f t="shared" si="1"/>
        <v>0</v>
      </c>
      <c r="M57" s="92">
        <f t="shared" si="4"/>
        <v>0</v>
      </c>
      <c r="N57" s="81"/>
      <c r="P57" s="109"/>
      <c r="Q57" s="195">
        <f t="shared" si="5"/>
        <v>0</v>
      </c>
      <c r="R57" s="133">
        <f t="shared" si="6"/>
        <v>0</v>
      </c>
      <c r="S57" s="126">
        <f t="shared" si="7"/>
        <v>0</v>
      </c>
      <c r="T57" s="127">
        <f>COUNTIFS(N$4:N$106,"&gt;="&amp;#REF!,N$4:N$106,"&lt;"&amp;#REF!)</f>
        <v>0</v>
      </c>
    </row>
    <row r="58" spans="2:20" ht="14.25" x14ac:dyDescent="0.15">
      <c r="B58" s="80"/>
      <c r="C58" s="18">
        <v>32</v>
      </c>
      <c r="D58" s="87">
        <f t="shared" si="2"/>
        <v>0</v>
      </c>
      <c r="E58" s="87">
        <f>'シミュレーション計算用（変更不要）'!M35</f>
        <v>0</v>
      </c>
      <c r="F58" s="29">
        <f t="shared" si="3"/>
        <v>0</v>
      </c>
      <c r="G58" s="87">
        <f>IF(OR($D$16="",$G$6=0),0,EuropeanOptionPrice($H$6,$E58,0,$I$6,$D$10:$D$15)*$G$6)</f>
        <v>0</v>
      </c>
      <c r="H58" s="87">
        <f>IF(OR($D$16="",$G$7=0),0,EuropeanOptionPrice($H$7,$E58,0,$I$7,$D$10:$D$15)*$G$7)</f>
        <v>0</v>
      </c>
      <c r="I58" s="87">
        <f>IF(OR($D$16="",$G$11=0),0,'シミュレーション計算用（変更不要）'!T35*'シミュレーション計算用（変更不要）'!T138)</f>
        <v>0</v>
      </c>
      <c r="J58" s="87">
        <f>IF(OR($D$16="",$G$12=0),0,'シミュレーション計算用（変更不要）'!AA35*'シミュレーション計算用（変更不要）'!AA138)</f>
        <v>0</v>
      </c>
      <c r="K58" s="87">
        <f t="shared" si="0"/>
        <v>0</v>
      </c>
      <c r="L58" s="87">
        <f t="shared" si="1"/>
        <v>0</v>
      </c>
      <c r="M58" s="92">
        <f t="shared" si="4"/>
        <v>0</v>
      </c>
      <c r="N58" s="81"/>
      <c r="P58" s="109"/>
      <c r="Q58" s="195">
        <f t="shared" si="5"/>
        <v>0</v>
      </c>
      <c r="R58" s="133">
        <f t="shared" si="6"/>
        <v>0</v>
      </c>
      <c r="S58" s="126">
        <f t="shared" si="7"/>
        <v>0</v>
      </c>
      <c r="T58" s="127">
        <f>COUNTIFS(N$4:N$106,"&gt;="&amp;#REF!,N$4:N$106,"&lt;"&amp;#REF!)</f>
        <v>0</v>
      </c>
    </row>
    <row r="59" spans="2:20" ht="14.25" x14ac:dyDescent="0.15">
      <c r="B59" s="80"/>
      <c r="C59" s="18">
        <v>33</v>
      </c>
      <c r="D59" s="87">
        <f t="shared" si="2"/>
        <v>0</v>
      </c>
      <c r="E59" s="87">
        <f>'シミュレーション計算用（変更不要）'!M36</f>
        <v>0</v>
      </c>
      <c r="F59" s="29">
        <f t="shared" si="3"/>
        <v>0</v>
      </c>
      <c r="G59" s="87">
        <f>IF(OR($D$16="",$G$6=0),0,EuropeanOptionPrice($H$6,$E59,0,$I$6,$D$10:$D$15)*$G$6)</f>
        <v>0</v>
      </c>
      <c r="H59" s="87">
        <f>IF(OR($D$16="",$G$7=0),0,EuropeanOptionPrice($H$7,$E59,0,$I$7,$D$10:$D$15)*$G$7)</f>
        <v>0</v>
      </c>
      <c r="I59" s="87">
        <f>IF(OR($D$16="",$G$11=0),0,'シミュレーション計算用（変更不要）'!T36*'シミュレーション計算用（変更不要）'!T139)</f>
        <v>0</v>
      </c>
      <c r="J59" s="87">
        <f>IF(OR($D$16="",$G$12=0),0,'シミュレーション計算用（変更不要）'!AA36*'シミュレーション計算用（変更不要）'!AA139)</f>
        <v>0</v>
      </c>
      <c r="K59" s="87">
        <f t="shared" ref="K59:K90" si="8">SUM(G59:J59)</f>
        <v>0</v>
      </c>
      <c r="L59" s="87">
        <f t="shared" ref="L59:L90" si="9">E59+K59</f>
        <v>0</v>
      </c>
      <c r="M59" s="92">
        <f t="shared" si="4"/>
        <v>0</v>
      </c>
      <c r="N59" s="81"/>
      <c r="P59" s="109"/>
      <c r="Q59" s="195">
        <f t="shared" si="5"/>
        <v>0</v>
      </c>
      <c r="R59" s="133">
        <f t="shared" si="6"/>
        <v>0</v>
      </c>
      <c r="S59" s="126">
        <f t="shared" si="7"/>
        <v>0</v>
      </c>
      <c r="T59" s="127">
        <f>COUNTIFS(N$4:N$106,"&gt;="&amp;#REF!,N$4:N$106,"&lt;"&amp;#REF!)</f>
        <v>0</v>
      </c>
    </row>
    <row r="60" spans="2:20" ht="14.25" x14ac:dyDescent="0.15">
      <c r="B60" s="80"/>
      <c r="C60" s="18">
        <v>34</v>
      </c>
      <c r="D60" s="87">
        <f t="shared" si="2"/>
        <v>0</v>
      </c>
      <c r="E60" s="87">
        <f>'シミュレーション計算用（変更不要）'!M37</f>
        <v>0</v>
      </c>
      <c r="F60" s="29">
        <f t="shared" si="3"/>
        <v>0</v>
      </c>
      <c r="G60" s="87">
        <f>IF(OR($D$16="",$G$6=0),0,EuropeanOptionPrice($H$6,$E60,0,$I$6,$D$10:$D$15)*$G$6)</f>
        <v>0</v>
      </c>
      <c r="H60" s="87">
        <f>IF(OR($D$16="",$G$7=0),0,EuropeanOptionPrice($H$7,$E60,0,$I$7,$D$10:$D$15)*$G$7)</f>
        <v>0</v>
      </c>
      <c r="I60" s="87">
        <f>IF(OR($D$16="",$G$11=0),0,'シミュレーション計算用（変更不要）'!T37*'シミュレーション計算用（変更不要）'!T140)</f>
        <v>0</v>
      </c>
      <c r="J60" s="87">
        <f>IF(OR($D$16="",$G$12=0),0,'シミュレーション計算用（変更不要）'!AA37*'シミュレーション計算用（変更不要）'!AA140)</f>
        <v>0</v>
      </c>
      <c r="K60" s="87">
        <f t="shared" si="8"/>
        <v>0</v>
      </c>
      <c r="L60" s="87">
        <f t="shared" si="9"/>
        <v>0</v>
      </c>
      <c r="M60" s="92">
        <f t="shared" si="4"/>
        <v>0</v>
      </c>
      <c r="N60" s="81"/>
      <c r="P60" s="109"/>
      <c r="Q60" s="195">
        <f t="shared" si="5"/>
        <v>0</v>
      </c>
      <c r="R60" s="133">
        <f t="shared" si="6"/>
        <v>0</v>
      </c>
      <c r="S60" s="126">
        <f t="shared" si="7"/>
        <v>0</v>
      </c>
      <c r="T60" s="127">
        <f>COUNTIFS(N$4:N$106,"&gt;="&amp;#REF!,N$4:N$106,"&lt;"&amp;#REF!)</f>
        <v>0</v>
      </c>
    </row>
    <row r="61" spans="2:20" ht="14.25" x14ac:dyDescent="0.15">
      <c r="B61" s="80"/>
      <c r="C61" s="18">
        <v>35</v>
      </c>
      <c r="D61" s="87">
        <f t="shared" si="2"/>
        <v>0</v>
      </c>
      <c r="E61" s="87">
        <f>'シミュレーション計算用（変更不要）'!M38</f>
        <v>0</v>
      </c>
      <c r="F61" s="29">
        <f t="shared" si="3"/>
        <v>0</v>
      </c>
      <c r="G61" s="87">
        <f>IF(OR($D$16="",$G$6=0),0,EuropeanOptionPrice($H$6,$E61,0,$I$6,$D$10:$D$15)*$G$6)</f>
        <v>0</v>
      </c>
      <c r="H61" s="87">
        <f>IF(OR($D$16="",$G$7=0),0,EuropeanOptionPrice($H$7,$E61,0,$I$7,$D$10:$D$15)*$G$7)</f>
        <v>0</v>
      </c>
      <c r="I61" s="87">
        <f>IF(OR($D$16="",$G$11=0),0,'シミュレーション計算用（変更不要）'!T38*'シミュレーション計算用（変更不要）'!T141)</f>
        <v>0</v>
      </c>
      <c r="J61" s="87">
        <f>IF(OR($D$16="",$G$12=0),0,'シミュレーション計算用（変更不要）'!AA38*'シミュレーション計算用（変更不要）'!AA141)</f>
        <v>0</v>
      </c>
      <c r="K61" s="87">
        <f t="shared" si="8"/>
        <v>0</v>
      </c>
      <c r="L61" s="87">
        <f t="shared" si="9"/>
        <v>0</v>
      </c>
      <c r="M61" s="92">
        <f t="shared" si="4"/>
        <v>0</v>
      </c>
      <c r="N61" s="81"/>
      <c r="P61" s="109"/>
      <c r="Q61" s="195">
        <f t="shared" si="5"/>
        <v>0</v>
      </c>
      <c r="R61" s="133">
        <f t="shared" si="6"/>
        <v>0</v>
      </c>
      <c r="S61" s="126">
        <f t="shared" si="7"/>
        <v>0</v>
      </c>
      <c r="T61" s="127">
        <f>COUNTIFS(N$4:N$106,"&gt;="&amp;#REF!,N$4:N$106,"&lt;"&amp;#REF!)</f>
        <v>0</v>
      </c>
    </row>
    <row r="62" spans="2:20" ht="14.25" x14ac:dyDescent="0.15">
      <c r="B62" s="80"/>
      <c r="C62" s="18">
        <v>36</v>
      </c>
      <c r="D62" s="87">
        <f t="shared" si="2"/>
        <v>0</v>
      </c>
      <c r="E62" s="87">
        <f>'シミュレーション計算用（変更不要）'!M39</f>
        <v>0</v>
      </c>
      <c r="F62" s="29">
        <f t="shared" si="3"/>
        <v>0</v>
      </c>
      <c r="G62" s="87">
        <f>IF(OR($D$16="",$G$6=0),0,EuropeanOptionPrice($H$6,$E62,0,$I$6,$D$10:$D$15)*$G$6)</f>
        <v>0</v>
      </c>
      <c r="H62" s="87">
        <f>IF(OR($D$16="",$G$7=0),0,EuropeanOptionPrice($H$7,$E62,0,$I$7,$D$10:$D$15)*$G$7)</f>
        <v>0</v>
      </c>
      <c r="I62" s="87">
        <f>IF(OR($D$16="",$G$11=0),0,'シミュレーション計算用（変更不要）'!T39*'シミュレーション計算用（変更不要）'!T142)</f>
        <v>0</v>
      </c>
      <c r="J62" s="87">
        <f>IF(OR($D$16="",$G$12=0),0,'シミュレーション計算用（変更不要）'!AA39*'シミュレーション計算用（変更不要）'!AA142)</f>
        <v>0</v>
      </c>
      <c r="K62" s="87">
        <f t="shared" si="8"/>
        <v>0</v>
      </c>
      <c r="L62" s="87">
        <f t="shared" si="9"/>
        <v>0</v>
      </c>
      <c r="M62" s="92">
        <f t="shared" si="4"/>
        <v>0</v>
      </c>
      <c r="N62" s="81"/>
      <c r="P62" s="109"/>
      <c r="Q62" s="195">
        <f t="shared" si="5"/>
        <v>0</v>
      </c>
      <c r="R62" s="133">
        <f t="shared" si="6"/>
        <v>0</v>
      </c>
      <c r="S62" s="126">
        <f t="shared" si="7"/>
        <v>0</v>
      </c>
      <c r="T62" s="127">
        <f>COUNTIFS(N$4:N$106,"&gt;="&amp;#REF!,N$4:N$106,"&lt;"&amp;#REF!)</f>
        <v>0</v>
      </c>
    </row>
    <row r="63" spans="2:20" ht="14.25" x14ac:dyDescent="0.15">
      <c r="B63" s="80"/>
      <c r="C63" s="18">
        <v>37</v>
      </c>
      <c r="D63" s="87">
        <f t="shared" si="2"/>
        <v>0</v>
      </c>
      <c r="E63" s="87">
        <f>'シミュレーション計算用（変更不要）'!M40</f>
        <v>0</v>
      </c>
      <c r="F63" s="29">
        <f t="shared" si="3"/>
        <v>0</v>
      </c>
      <c r="G63" s="87">
        <f>IF(OR($D$16="",$G$6=0),0,EuropeanOptionPrice($H$6,$E63,0,$I$6,$D$10:$D$15)*$G$6)</f>
        <v>0</v>
      </c>
      <c r="H63" s="87">
        <f>IF(OR($D$16="",$G$7=0),0,EuropeanOptionPrice($H$7,$E63,0,$I$7,$D$10:$D$15)*$G$7)</f>
        <v>0</v>
      </c>
      <c r="I63" s="87">
        <f>IF(OR($D$16="",$G$11=0),0,'シミュレーション計算用（変更不要）'!T40*'シミュレーション計算用（変更不要）'!T143)</f>
        <v>0</v>
      </c>
      <c r="J63" s="87">
        <f>IF(OR($D$16="",$G$12=0),0,'シミュレーション計算用（変更不要）'!AA40*'シミュレーション計算用（変更不要）'!AA143)</f>
        <v>0</v>
      </c>
      <c r="K63" s="87">
        <f t="shared" si="8"/>
        <v>0</v>
      </c>
      <c r="L63" s="87">
        <f t="shared" si="9"/>
        <v>0</v>
      </c>
      <c r="M63" s="92">
        <f t="shared" si="4"/>
        <v>0</v>
      </c>
      <c r="N63" s="81"/>
      <c r="P63" s="109"/>
      <c r="Q63" s="195">
        <f t="shared" si="5"/>
        <v>0</v>
      </c>
      <c r="R63" s="133">
        <f t="shared" si="6"/>
        <v>0</v>
      </c>
      <c r="S63" s="126">
        <f t="shared" si="7"/>
        <v>0</v>
      </c>
      <c r="T63" s="127">
        <f>COUNTIFS(N$4:N$106,"&gt;="&amp;#REF!,N$4:N$106,"&lt;"&amp;#REF!)</f>
        <v>0</v>
      </c>
    </row>
    <row r="64" spans="2:20" ht="14.25" x14ac:dyDescent="0.15">
      <c r="B64" s="80"/>
      <c r="C64" s="18">
        <v>38</v>
      </c>
      <c r="D64" s="87">
        <f t="shared" si="2"/>
        <v>0</v>
      </c>
      <c r="E64" s="87">
        <f>'シミュレーション計算用（変更不要）'!M41</f>
        <v>0</v>
      </c>
      <c r="F64" s="29">
        <f t="shared" si="3"/>
        <v>0</v>
      </c>
      <c r="G64" s="87">
        <f>IF(OR($D$16="",$G$6=0),0,EuropeanOptionPrice($H$6,$E64,0,$I$6,$D$10:$D$15)*$G$6)</f>
        <v>0</v>
      </c>
      <c r="H64" s="87">
        <f>IF(OR($D$16="",$G$7=0),0,EuropeanOptionPrice($H$7,$E64,0,$I$7,$D$10:$D$15)*$G$7)</f>
        <v>0</v>
      </c>
      <c r="I64" s="87">
        <f>IF(OR($D$16="",$G$11=0),0,'シミュレーション計算用（変更不要）'!T41*'シミュレーション計算用（変更不要）'!T144)</f>
        <v>0</v>
      </c>
      <c r="J64" s="87">
        <f>IF(OR($D$16="",$G$12=0),0,'シミュレーション計算用（変更不要）'!AA41*'シミュレーション計算用（変更不要）'!AA144)</f>
        <v>0</v>
      </c>
      <c r="K64" s="87">
        <f t="shared" si="8"/>
        <v>0</v>
      </c>
      <c r="L64" s="87">
        <f t="shared" si="9"/>
        <v>0</v>
      </c>
      <c r="M64" s="92">
        <f t="shared" si="4"/>
        <v>0</v>
      </c>
      <c r="N64" s="81"/>
      <c r="P64" s="109"/>
      <c r="Q64" s="195">
        <f t="shared" si="5"/>
        <v>0</v>
      </c>
      <c r="R64" s="133">
        <f t="shared" si="6"/>
        <v>0</v>
      </c>
      <c r="S64" s="126">
        <f t="shared" si="7"/>
        <v>0</v>
      </c>
      <c r="T64" s="127">
        <f>COUNTIFS(N$4:N$106,"&gt;="&amp;#REF!,N$4:N$106,"&lt;"&amp;#REF!)</f>
        <v>0</v>
      </c>
    </row>
    <row r="65" spans="2:20" ht="14.25" x14ac:dyDescent="0.15">
      <c r="B65" s="80"/>
      <c r="C65" s="18">
        <v>39</v>
      </c>
      <c r="D65" s="87">
        <f t="shared" si="2"/>
        <v>0</v>
      </c>
      <c r="E65" s="87">
        <f>'シミュレーション計算用（変更不要）'!M42</f>
        <v>0</v>
      </c>
      <c r="F65" s="29">
        <f t="shared" si="3"/>
        <v>0</v>
      </c>
      <c r="G65" s="87">
        <f>IF(OR($D$16="",$G$6=0),0,EuropeanOptionPrice($H$6,$E65,0,$I$6,$D$10:$D$15)*$G$6)</f>
        <v>0</v>
      </c>
      <c r="H65" s="87">
        <f>IF(OR($D$16="",$G$7=0),0,EuropeanOptionPrice($H$7,$E65,0,$I$7,$D$10:$D$15)*$G$7)</f>
        <v>0</v>
      </c>
      <c r="I65" s="87">
        <f>IF(OR($D$16="",$G$11=0),0,'シミュレーション計算用（変更不要）'!T42*'シミュレーション計算用（変更不要）'!T145)</f>
        <v>0</v>
      </c>
      <c r="J65" s="87">
        <f>IF(OR($D$16="",$G$12=0),0,'シミュレーション計算用（変更不要）'!AA42*'シミュレーション計算用（変更不要）'!AA145)</f>
        <v>0</v>
      </c>
      <c r="K65" s="87">
        <f t="shared" si="8"/>
        <v>0</v>
      </c>
      <c r="L65" s="87">
        <f t="shared" si="9"/>
        <v>0</v>
      </c>
      <c r="M65" s="92">
        <f t="shared" si="4"/>
        <v>0</v>
      </c>
      <c r="N65" s="81"/>
      <c r="P65" s="109"/>
      <c r="Q65" s="195">
        <f t="shared" si="5"/>
        <v>0</v>
      </c>
      <c r="R65" s="133">
        <f t="shared" si="6"/>
        <v>0</v>
      </c>
      <c r="S65" s="126">
        <f t="shared" si="7"/>
        <v>0</v>
      </c>
      <c r="T65" s="127">
        <f>COUNTIFS(N$4:N$106,"&gt;="&amp;#REF!,N$4:N$106,"&lt;"&amp;#REF!)</f>
        <v>0</v>
      </c>
    </row>
    <row r="66" spans="2:20" ht="15" thickBot="1" x14ac:dyDescent="0.2">
      <c r="B66" s="80"/>
      <c r="C66" s="18">
        <v>40</v>
      </c>
      <c r="D66" s="87">
        <f t="shared" si="2"/>
        <v>0</v>
      </c>
      <c r="E66" s="87">
        <f>'シミュレーション計算用（変更不要）'!M43</f>
        <v>0</v>
      </c>
      <c r="F66" s="29">
        <f t="shared" si="3"/>
        <v>0</v>
      </c>
      <c r="G66" s="87">
        <f>IF(OR($D$16="",$G$6=0),0,EuropeanOptionPrice($H$6,$E66,0,$I$6,$D$10:$D$15)*$G$6)</f>
        <v>0</v>
      </c>
      <c r="H66" s="87">
        <f>IF(OR($D$16="",$G$7=0),0,EuropeanOptionPrice($H$7,$E66,0,$I$7,$D$10:$D$15)*$G$7)</f>
        <v>0</v>
      </c>
      <c r="I66" s="87">
        <f>IF(OR($D$16="",$G$11=0),0,'シミュレーション計算用（変更不要）'!T43*'シミュレーション計算用（変更不要）'!T146)</f>
        <v>0</v>
      </c>
      <c r="J66" s="87">
        <f>IF(OR($D$16="",$G$12=0),0,'シミュレーション計算用（変更不要）'!AA43*'シミュレーション計算用（変更不要）'!AA146)</f>
        <v>0</v>
      </c>
      <c r="K66" s="87">
        <f t="shared" si="8"/>
        <v>0</v>
      </c>
      <c r="L66" s="87">
        <f t="shared" si="9"/>
        <v>0</v>
      </c>
      <c r="M66" s="92">
        <f t="shared" si="4"/>
        <v>0</v>
      </c>
      <c r="N66" s="81"/>
      <c r="P66" s="104"/>
      <c r="Q66" s="196">
        <f t="shared" si="5"/>
        <v>0</v>
      </c>
      <c r="R66" s="134">
        <f>COUNTIFS($F$27:$F$126,"&gt;="&amp;$Q66)</f>
        <v>100</v>
      </c>
      <c r="S66" s="128">
        <f>COUNTIFS(M$27:M$126,"&gt;="&amp;$Q66)</f>
        <v>100</v>
      </c>
      <c r="T66" s="129">
        <f>COUNTIFS(N$4:N$106,"&gt;="&amp;#REF!)</f>
        <v>0</v>
      </c>
    </row>
    <row r="67" spans="2:20" ht="15" thickBot="1" x14ac:dyDescent="0.2">
      <c r="B67" s="80"/>
      <c r="C67" s="18">
        <v>41</v>
      </c>
      <c r="D67" s="87">
        <f t="shared" si="2"/>
        <v>0</v>
      </c>
      <c r="E67" s="87">
        <f>'シミュレーション計算用（変更不要）'!M44</f>
        <v>0</v>
      </c>
      <c r="F67" s="29">
        <f t="shared" si="3"/>
        <v>0</v>
      </c>
      <c r="G67" s="87">
        <f>IF(OR($D$16="",$G$6=0),0,EuropeanOptionPrice($H$6,$E67,0,$I$6,$D$10:$D$15)*$G$6)</f>
        <v>0</v>
      </c>
      <c r="H67" s="87">
        <f>IF(OR($D$16="",$G$7=0),0,EuropeanOptionPrice($H$7,$E67,0,$I$7,$D$10:$D$15)*$G$7)</f>
        <v>0</v>
      </c>
      <c r="I67" s="87">
        <f>IF(OR($D$16="",$G$11=0),0,'シミュレーション計算用（変更不要）'!T44*'シミュレーション計算用（変更不要）'!T147)</f>
        <v>0</v>
      </c>
      <c r="J67" s="87">
        <f>IF(OR($D$16="",$G$12=0),0,'シミュレーション計算用（変更不要）'!AA44*'シミュレーション計算用（変更不要）'!AA147)</f>
        <v>0</v>
      </c>
      <c r="K67" s="87">
        <f t="shared" si="8"/>
        <v>0</v>
      </c>
      <c r="L67" s="87">
        <f t="shared" si="9"/>
        <v>0</v>
      </c>
      <c r="M67" s="92">
        <f t="shared" si="4"/>
        <v>0</v>
      </c>
      <c r="N67" s="81"/>
      <c r="P67" s="104" t="s">
        <v>67</v>
      </c>
      <c r="Q67" s="105"/>
      <c r="R67" s="110">
        <f>SUM(R36:R66)</f>
        <v>100</v>
      </c>
      <c r="S67" s="106">
        <f>SUM(S36:S66)</f>
        <v>100</v>
      </c>
      <c r="T67" s="110">
        <f>SUM(T36:T66)</f>
        <v>0</v>
      </c>
    </row>
    <row r="68" spans="2:20" ht="14.25" x14ac:dyDescent="0.15">
      <c r="B68" s="80"/>
      <c r="C68" s="18">
        <v>42</v>
      </c>
      <c r="D68" s="87">
        <f t="shared" si="2"/>
        <v>0</v>
      </c>
      <c r="E68" s="87">
        <f>'シミュレーション計算用（変更不要）'!M45</f>
        <v>0</v>
      </c>
      <c r="F68" s="29">
        <f t="shared" si="3"/>
        <v>0</v>
      </c>
      <c r="G68" s="87">
        <f>IF(OR($D$16="",$G$6=0),0,EuropeanOptionPrice($H$6,$E68,0,$I$6,$D$10:$D$15)*$G$6)</f>
        <v>0</v>
      </c>
      <c r="H68" s="87">
        <f>IF(OR($D$16="",$G$7=0),0,EuropeanOptionPrice($H$7,$E68,0,$I$7,$D$10:$D$15)*$G$7)</f>
        <v>0</v>
      </c>
      <c r="I68" s="87">
        <f>IF(OR($D$16="",$G$11=0),0,'シミュレーション計算用（変更不要）'!T45*'シミュレーション計算用（変更不要）'!T148)</f>
        <v>0</v>
      </c>
      <c r="J68" s="87">
        <f>IF(OR($D$16="",$G$12=0),0,'シミュレーション計算用（変更不要）'!AA45*'シミュレーション計算用（変更不要）'!AA148)</f>
        <v>0</v>
      </c>
      <c r="K68" s="87">
        <f t="shared" si="8"/>
        <v>0</v>
      </c>
      <c r="L68" s="87">
        <f t="shared" si="9"/>
        <v>0</v>
      </c>
      <c r="M68" s="92">
        <f t="shared" si="4"/>
        <v>0</v>
      </c>
      <c r="N68" s="81"/>
    </row>
    <row r="69" spans="2:20" ht="14.25" x14ac:dyDescent="0.15">
      <c r="B69" s="80"/>
      <c r="C69" s="18">
        <v>43</v>
      </c>
      <c r="D69" s="87">
        <f t="shared" si="2"/>
        <v>0</v>
      </c>
      <c r="E69" s="87">
        <f>'シミュレーション計算用（変更不要）'!M46</f>
        <v>0</v>
      </c>
      <c r="F69" s="29">
        <f t="shared" si="3"/>
        <v>0</v>
      </c>
      <c r="G69" s="87">
        <f>IF(OR($D$16="",$G$6=0),0,EuropeanOptionPrice($H$6,$E69,0,$I$6,$D$10:$D$15)*$G$6)</f>
        <v>0</v>
      </c>
      <c r="H69" s="87">
        <f>IF(OR($D$16="",$G$7=0),0,EuropeanOptionPrice($H$7,$E69,0,$I$7,$D$10:$D$15)*$G$7)</f>
        <v>0</v>
      </c>
      <c r="I69" s="87">
        <f>IF(OR($D$16="",$G$11=0),0,'シミュレーション計算用（変更不要）'!T46*'シミュレーション計算用（変更不要）'!T149)</f>
        <v>0</v>
      </c>
      <c r="J69" s="87">
        <f>IF(OR($D$16="",$G$12=0),0,'シミュレーション計算用（変更不要）'!AA46*'シミュレーション計算用（変更不要）'!AA149)</f>
        <v>0</v>
      </c>
      <c r="K69" s="87">
        <f t="shared" si="8"/>
        <v>0</v>
      </c>
      <c r="L69" s="87">
        <f t="shared" si="9"/>
        <v>0</v>
      </c>
      <c r="M69" s="92">
        <f t="shared" si="4"/>
        <v>0</v>
      </c>
      <c r="N69" s="81"/>
    </row>
    <row r="70" spans="2:20" ht="14.25" x14ac:dyDescent="0.15">
      <c r="B70" s="80"/>
      <c r="C70" s="18">
        <v>44</v>
      </c>
      <c r="D70" s="87">
        <f t="shared" si="2"/>
        <v>0</v>
      </c>
      <c r="E70" s="87">
        <f>'シミュレーション計算用（変更不要）'!M47</f>
        <v>0</v>
      </c>
      <c r="F70" s="29">
        <f t="shared" si="3"/>
        <v>0</v>
      </c>
      <c r="G70" s="87">
        <f>IF(OR($D$16="",$G$6=0),0,EuropeanOptionPrice($H$6,$E70,0,$I$6,$D$10:$D$15)*$G$6)</f>
        <v>0</v>
      </c>
      <c r="H70" s="87">
        <f>IF(OR($D$16="",$G$7=0),0,EuropeanOptionPrice($H$7,$E70,0,$I$7,$D$10:$D$15)*$G$7)</f>
        <v>0</v>
      </c>
      <c r="I70" s="87">
        <f>IF(OR($D$16="",$G$11=0),0,'シミュレーション計算用（変更不要）'!T47*'シミュレーション計算用（変更不要）'!T150)</f>
        <v>0</v>
      </c>
      <c r="J70" s="87">
        <f>IF(OR($D$16="",$G$12=0),0,'シミュレーション計算用（変更不要）'!AA47*'シミュレーション計算用（変更不要）'!AA150)</f>
        <v>0</v>
      </c>
      <c r="K70" s="87">
        <f t="shared" si="8"/>
        <v>0</v>
      </c>
      <c r="L70" s="87">
        <f t="shared" si="9"/>
        <v>0</v>
      </c>
      <c r="M70" s="92">
        <f t="shared" si="4"/>
        <v>0</v>
      </c>
      <c r="N70" s="81"/>
    </row>
    <row r="71" spans="2:20" ht="14.25" x14ac:dyDescent="0.15">
      <c r="B71" s="80"/>
      <c r="C71" s="18">
        <v>45</v>
      </c>
      <c r="D71" s="87">
        <f t="shared" si="2"/>
        <v>0</v>
      </c>
      <c r="E71" s="87">
        <f>'シミュレーション計算用（変更不要）'!M48</f>
        <v>0</v>
      </c>
      <c r="F71" s="29">
        <f t="shared" si="3"/>
        <v>0</v>
      </c>
      <c r="G71" s="87">
        <f>IF(OR($D$16="",$G$6=0),0,EuropeanOptionPrice($H$6,$E71,0,$I$6,$D$10:$D$15)*$G$6)</f>
        <v>0</v>
      </c>
      <c r="H71" s="87">
        <f>IF(OR($D$16="",$G$7=0),0,EuropeanOptionPrice($H$7,$E71,0,$I$7,$D$10:$D$15)*$G$7)</f>
        <v>0</v>
      </c>
      <c r="I71" s="87">
        <f>IF(OR($D$16="",$G$11=0),0,'シミュレーション計算用（変更不要）'!T48*'シミュレーション計算用（変更不要）'!T151)</f>
        <v>0</v>
      </c>
      <c r="J71" s="87">
        <f>IF(OR($D$16="",$G$12=0),0,'シミュレーション計算用（変更不要）'!AA48*'シミュレーション計算用（変更不要）'!AA151)</f>
        <v>0</v>
      </c>
      <c r="K71" s="87">
        <f t="shared" si="8"/>
        <v>0</v>
      </c>
      <c r="L71" s="87">
        <f t="shared" si="9"/>
        <v>0</v>
      </c>
      <c r="M71" s="92">
        <f t="shared" si="4"/>
        <v>0</v>
      </c>
      <c r="N71" s="81"/>
    </row>
    <row r="72" spans="2:20" ht="14.25" x14ac:dyDescent="0.15">
      <c r="B72" s="80"/>
      <c r="C72" s="18">
        <v>46</v>
      </c>
      <c r="D72" s="87">
        <f t="shared" si="2"/>
        <v>0</v>
      </c>
      <c r="E72" s="87">
        <f>'シミュレーション計算用（変更不要）'!M49</f>
        <v>0</v>
      </c>
      <c r="F72" s="29">
        <f t="shared" si="3"/>
        <v>0</v>
      </c>
      <c r="G72" s="87">
        <f>IF(OR($D$16="",$G$6=0),0,EuropeanOptionPrice($H$6,$E72,0,$I$6,$D$10:$D$15)*$G$6)</f>
        <v>0</v>
      </c>
      <c r="H72" s="87">
        <f>IF(OR($D$16="",$G$7=0),0,EuropeanOptionPrice($H$7,$E72,0,$I$7,$D$10:$D$15)*$G$7)</f>
        <v>0</v>
      </c>
      <c r="I72" s="87">
        <f>IF(OR($D$16="",$G$11=0),0,'シミュレーション計算用（変更不要）'!T49*'シミュレーション計算用（変更不要）'!T152)</f>
        <v>0</v>
      </c>
      <c r="J72" s="87">
        <f>IF(OR($D$16="",$G$12=0),0,'シミュレーション計算用（変更不要）'!AA49*'シミュレーション計算用（変更不要）'!AA152)</f>
        <v>0</v>
      </c>
      <c r="K72" s="87">
        <f t="shared" si="8"/>
        <v>0</v>
      </c>
      <c r="L72" s="87">
        <f t="shared" si="9"/>
        <v>0</v>
      </c>
      <c r="M72" s="92">
        <f t="shared" si="4"/>
        <v>0</v>
      </c>
      <c r="N72" s="81"/>
    </row>
    <row r="73" spans="2:20" ht="14.25" x14ac:dyDescent="0.15">
      <c r="B73" s="80"/>
      <c r="C73" s="18">
        <v>47</v>
      </c>
      <c r="D73" s="87">
        <f t="shared" si="2"/>
        <v>0</v>
      </c>
      <c r="E73" s="87">
        <f>'シミュレーション計算用（変更不要）'!M50</f>
        <v>0</v>
      </c>
      <c r="F73" s="29">
        <f t="shared" si="3"/>
        <v>0</v>
      </c>
      <c r="G73" s="87">
        <f>IF(OR($D$16="",$G$6=0),0,EuropeanOptionPrice($H$6,$E73,0,$I$6,$D$10:$D$15)*$G$6)</f>
        <v>0</v>
      </c>
      <c r="H73" s="87">
        <f>IF(OR($D$16="",$G$7=0),0,EuropeanOptionPrice($H$7,$E73,0,$I$7,$D$10:$D$15)*$G$7)</f>
        <v>0</v>
      </c>
      <c r="I73" s="87">
        <f>IF(OR($D$16="",$G$11=0),0,'シミュレーション計算用（変更不要）'!T50*'シミュレーション計算用（変更不要）'!T153)</f>
        <v>0</v>
      </c>
      <c r="J73" s="87">
        <f>IF(OR($D$16="",$G$12=0),0,'シミュレーション計算用（変更不要）'!AA50*'シミュレーション計算用（変更不要）'!AA153)</f>
        <v>0</v>
      </c>
      <c r="K73" s="87">
        <f t="shared" si="8"/>
        <v>0</v>
      </c>
      <c r="L73" s="87">
        <f t="shared" si="9"/>
        <v>0</v>
      </c>
      <c r="M73" s="92">
        <f t="shared" si="4"/>
        <v>0</v>
      </c>
      <c r="N73" s="81"/>
    </row>
    <row r="74" spans="2:20" ht="14.25" x14ac:dyDescent="0.15">
      <c r="B74" s="80"/>
      <c r="C74" s="18">
        <v>48</v>
      </c>
      <c r="D74" s="87">
        <f t="shared" si="2"/>
        <v>0</v>
      </c>
      <c r="E74" s="87">
        <f>'シミュレーション計算用（変更不要）'!M51</f>
        <v>0</v>
      </c>
      <c r="F74" s="29">
        <f t="shared" si="3"/>
        <v>0</v>
      </c>
      <c r="G74" s="87">
        <f>IF(OR($D$16="",$G$6=0),0,EuropeanOptionPrice($H$6,$E74,0,$I$6,$D$10:$D$15)*$G$6)</f>
        <v>0</v>
      </c>
      <c r="H74" s="87">
        <f>IF(OR($D$16="",$G$7=0),0,EuropeanOptionPrice($H$7,$E74,0,$I$7,$D$10:$D$15)*$G$7)</f>
        <v>0</v>
      </c>
      <c r="I74" s="87">
        <f>IF(OR($D$16="",$G$11=0),0,'シミュレーション計算用（変更不要）'!T51*'シミュレーション計算用（変更不要）'!T154)</f>
        <v>0</v>
      </c>
      <c r="J74" s="87">
        <f>IF(OR($D$16="",$G$12=0),0,'シミュレーション計算用（変更不要）'!AA51*'シミュレーション計算用（変更不要）'!AA154)</f>
        <v>0</v>
      </c>
      <c r="K74" s="87">
        <f t="shared" si="8"/>
        <v>0</v>
      </c>
      <c r="L74" s="87">
        <f t="shared" si="9"/>
        <v>0</v>
      </c>
      <c r="M74" s="92">
        <f t="shared" si="4"/>
        <v>0</v>
      </c>
      <c r="N74" s="81"/>
    </row>
    <row r="75" spans="2:20" ht="14.25" x14ac:dyDescent="0.15">
      <c r="B75" s="80"/>
      <c r="C75" s="18">
        <v>49</v>
      </c>
      <c r="D75" s="87">
        <f t="shared" si="2"/>
        <v>0</v>
      </c>
      <c r="E75" s="87">
        <f>'シミュレーション計算用（変更不要）'!M52</f>
        <v>0</v>
      </c>
      <c r="F75" s="29">
        <f t="shared" si="3"/>
        <v>0</v>
      </c>
      <c r="G75" s="87">
        <f>IF(OR($D$16="",$G$6=0),0,EuropeanOptionPrice($H$6,$E75,0,$I$6,$D$10:$D$15)*$G$6)</f>
        <v>0</v>
      </c>
      <c r="H75" s="87">
        <f>IF(OR($D$16="",$G$7=0),0,EuropeanOptionPrice($H$7,$E75,0,$I$7,$D$10:$D$15)*$G$7)</f>
        <v>0</v>
      </c>
      <c r="I75" s="87">
        <f>IF(OR($D$16="",$G$11=0),0,'シミュレーション計算用（変更不要）'!T52*'シミュレーション計算用（変更不要）'!T155)</f>
        <v>0</v>
      </c>
      <c r="J75" s="87">
        <f>IF(OR($D$16="",$G$12=0),0,'シミュレーション計算用（変更不要）'!AA52*'シミュレーション計算用（変更不要）'!AA155)</f>
        <v>0</v>
      </c>
      <c r="K75" s="87">
        <f t="shared" si="8"/>
        <v>0</v>
      </c>
      <c r="L75" s="87">
        <f t="shared" si="9"/>
        <v>0</v>
      </c>
      <c r="M75" s="92">
        <f t="shared" si="4"/>
        <v>0</v>
      </c>
      <c r="N75" s="81"/>
    </row>
    <row r="76" spans="2:20" ht="14.25" x14ac:dyDescent="0.15">
      <c r="B76" s="80"/>
      <c r="C76" s="18">
        <v>50</v>
      </c>
      <c r="D76" s="87">
        <f t="shared" si="2"/>
        <v>0</v>
      </c>
      <c r="E76" s="87">
        <f>'シミュレーション計算用（変更不要）'!M53</f>
        <v>0</v>
      </c>
      <c r="F76" s="29">
        <f t="shared" si="3"/>
        <v>0</v>
      </c>
      <c r="G76" s="87">
        <f>IF(OR($D$16="",$G$6=0),0,EuropeanOptionPrice($H$6,$E76,0,$I$6,$D$10:$D$15)*$G$6)</f>
        <v>0</v>
      </c>
      <c r="H76" s="87">
        <f>IF(OR($D$16="",$G$7=0),0,EuropeanOptionPrice($H$7,$E76,0,$I$7,$D$10:$D$15)*$G$7)</f>
        <v>0</v>
      </c>
      <c r="I76" s="87">
        <f>IF(OR($D$16="",$G$11=0),0,'シミュレーション計算用（変更不要）'!T53*'シミュレーション計算用（変更不要）'!T156)</f>
        <v>0</v>
      </c>
      <c r="J76" s="87">
        <f>IF(OR($D$16="",$G$12=0),0,'シミュレーション計算用（変更不要）'!AA53*'シミュレーション計算用（変更不要）'!AA156)</f>
        <v>0</v>
      </c>
      <c r="K76" s="87">
        <f t="shared" si="8"/>
        <v>0</v>
      </c>
      <c r="L76" s="87">
        <f t="shared" si="9"/>
        <v>0</v>
      </c>
      <c r="M76" s="92">
        <f t="shared" si="4"/>
        <v>0</v>
      </c>
      <c r="N76" s="81"/>
    </row>
    <row r="77" spans="2:20" ht="14.25" x14ac:dyDescent="0.15">
      <c r="B77" s="80"/>
      <c r="C77" s="18">
        <v>51</v>
      </c>
      <c r="D77" s="87">
        <f t="shared" si="2"/>
        <v>0</v>
      </c>
      <c r="E77" s="87">
        <f>'シミュレーション計算用（変更不要）'!M54</f>
        <v>0</v>
      </c>
      <c r="F77" s="29">
        <f t="shared" si="3"/>
        <v>0</v>
      </c>
      <c r="G77" s="87">
        <f>IF(OR($D$16="",$G$6=0),0,EuropeanOptionPrice($H$6,$E77,0,$I$6,$D$10:$D$15)*$G$6)</f>
        <v>0</v>
      </c>
      <c r="H77" s="87">
        <f>IF(OR($D$16="",$G$7=0),0,EuropeanOptionPrice($H$7,$E77,0,$I$7,$D$10:$D$15)*$G$7)</f>
        <v>0</v>
      </c>
      <c r="I77" s="87">
        <f>IF(OR($D$16="",$G$11=0),0,'シミュレーション計算用（変更不要）'!T54*'シミュレーション計算用（変更不要）'!T157)</f>
        <v>0</v>
      </c>
      <c r="J77" s="87">
        <f>IF(OR($D$16="",$G$12=0),0,'シミュレーション計算用（変更不要）'!AA54*'シミュレーション計算用（変更不要）'!AA157)</f>
        <v>0</v>
      </c>
      <c r="K77" s="87">
        <f t="shared" si="8"/>
        <v>0</v>
      </c>
      <c r="L77" s="87">
        <f t="shared" si="9"/>
        <v>0</v>
      </c>
      <c r="M77" s="92">
        <f t="shared" si="4"/>
        <v>0</v>
      </c>
      <c r="N77" s="81"/>
    </row>
    <row r="78" spans="2:20" ht="14.25" x14ac:dyDescent="0.15">
      <c r="B78" s="80"/>
      <c r="C78" s="18">
        <v>52</v>
      </c>
      <c r="D78" s="87">
        <f t="shared" si="2"/>
        <v>0</v>
      </c>
      <c r="E78" s="87">
        <f>'シミュレーション計算用（変更不要）'!M55</f>
        <v>0</v>
      </c>
      <c r="F78" s="29">
        <f t="shared" si="3"/>
        <v>0</v>
      </c>
      <c r="G78" s="87">
        <f>IF(OR($D$16="",$G$6=0),0,EuropeanOptionPrice($H$6,$E78,0,$I$6,$D$10:$D$15)*$G$6)</f>
        <v>0</v>
      </c>
      <c r="H78" s="87">
        <f>IF(OR($D$16="",$G$7=0),0,EuropeanOptionPrice($H$7,$E78,0,$I$7,$D$10:$D$15)*$G$7)</f>
        <v>0</v>
      </c>
      <c r="I78" s="87">
        <f>IF(OR($D$16="",$G$11=0),0,'シミュレーション計算用（変更不要）'!T55*'シミュレーション計算用（変更不要）'!T158)</f>
        <v>0</v>
      </c>
      <c r="J78" s="87">
        <f>IF(OR($D$16="",$G$12=0),0,'シミュレーション計算用（変更不要）'!AA55*'シミュレーション計算用（変更不要）'!AA158)</f>
        <v>0</v>
      </c>
      <c r="K78" s="87">
        <f t="shared" si="8"/>
        <v>0</v>
      </c>
      <c r="L78" s="87">
        <f t="shared" si="9"/>
        <v>0</v>
      </c>
      <c r="M78" s="92">
        <f t="shared" si="4"/>
        <v>0</v>
      </c>
      <c r="N78" s="81"/>
    </row>
    <row r="79" spans="2:20" ht="14.25" x14ac:dyDescent="0.15">
      <c r="B79" s="80"/>
      <c r="C79" s="18">
        <v>53</v>
      </c>
      <c r="D79" s="87">
        <f t="shared" si="2"/>
        <v>0</v>
      </c>
      <c r="E79" s="87">
        <f>'シミュレーション計算用（変更不要）'!M56</f>
        <v>0</v>
      </c>
      <c r="F79" s="29">
        <f t="shared" si="3"/>
        <v>0</v>
      </c>
      <c r="G79" s="87">
        <f>IF(OR($D$16="",$G$6=0),0,EuropeanOptionPrice($H$6,$E79,0,$I$6,$D$10:$D$15)*$G$6)</f>
        <v>0</v>
      </c>
      <c r="H79" s="87">
        <f>IF(OR($D$16="",$G$7=0),0,EuropeanOptionPrice($H$7,$E79,0,$I$7,$D$10:$D$15)*$G$7)</f>
        <v>0</v>
      </c>
      <c r="I79" s="87">
        <f>IF(OR($D$16="",$G$11=0),0,'シミュレーション計算用（変更不要）'!T56*'シミュレーション計算用（変更不要）'!T159)</f>
        <v>0</v>
      </c>
      <c r="J79" s="87">
        <f>IF(OR($D$16="",$G$12=0),0,'シミュレーション計算用（変更不要）'!AA56*'シミュレーション計算用（変更不要）'!AA159)</f>
        <v>0</v>
      </c>
      <c r="K79" s="87">
        <f t="shared" si="8"/>
        <v>0</v>
      </c>
      <c r="L79" s="87">
        <f t="shared" si="9"/>
        <v>0</v>
      </c>
      <c r="M79" s="92">
        <f t="shared" si="4"/>
        <v>0</v>
      </c>
      <c r="N79" s="81"/>
    </row>
    <row r="80" spans="2:20" ht="14.25" x14ac:dyDescent="0.15">
      <c r="B80" s="80"/>
      <c r="C80" s="18">
        <v>54</v>
      </c>
      <c r="D80" s="87">
        <f t="shared" si="2"/>
        <v>0</v>
      </c>
      <c r="E80" s="87">
        <f>'シミュレーション計算用（変更不要）'!M57</f>
        <v>0</v>
      </c>
      <c r="F80" s="29">
        <f t="shared" si="3"/>
        <v>0</v>
      </c>
      <c r="G80" s="87">
        <f>IF(OR($D$16="",$G$6=0),0,EuropeanOptionPrice($H$6,$E80,0,$I$6,$D$10:$D$15)*$G$6)</f>
        <v>0</v>
      </c>
      <c r="H80" s="87">
        <f>IF(OR($D$16="",$G$7=0),0,EuropeanOptionPrice($H$7,$E80,0,$I$7,$D$10:$D$15)*$G$7)</f>
        <v>0</v>
      </c>
      <c r="I80" s="87">
        <f>IF(OR($D$16="",$G$11=0),0,'シミュレーション計算用（変更不要）'!T57*'シミュレーション計算用（変更不要）'!T160)</f>
        <v>0</v>
      </c>
      <c r="J80" s="87">
        <f>IF(OR($D$16="",$G$12=0),0,'シミュレーション計算用（変更不要）'!AA57*'シミュレーション計算用（変更不要）'!AA160)</f>
        <v>0</v>
      </c>
      <c r="K80" s="87">
        <f t="shared" si="8"/>
        <v>0</v>
      </c>
      <c r="L80" s="87">
        <f t="shared" si="9"/>
        <v>0</v>
      </c>
      <c r="M80" s="92">
        <f t="shared" si="4"/>
        <v>0</v>
      </c>
      <c r="N80" s="81"/>
    </row>
    <row r="81" spans="2:14" ht="14.25" x14ac:dyDescent="0.15">
      <c r="B81" s="80"/>
      <c r="C81" s="18">
        <v>55</v>
      </c>
      <c r="D81" s="87">
        <f t="shared" si="2"/>
        <v>0</v>
      </c>
      <c r="E81" s="87">
        <f>'シミュレーション計算用（変更不要）'!M58</f>
        <v>0</v>
      </c>
      <c r="F81" s="29">
        <f t="shared" si="3"/>
        <v>0</v>
      </c>
      <c r="G81" s="87">
        <f>IF(OR($D$16="",$G$6=0),0,EuropeanOptionPrice($H$6,$E81,0,$I$6,$D$10:$D$15)*$G$6)</f>
        <v>0</v>
      </c>
      <c r="H81" s="87">
        <f>IF(OR($D$16="",$G$7=0),0,EuropeanOptionPrice($H$7,$E81,0,$I$7,$D$10:$D$15)*$G$7)</f>
        <v>0</v>
      </c>
      <c r="I81" s="87">
        <f>IF(OR($D$16="",$G$11=0),0,'シミュレーション計算用（変更不要）'!T58*'シミュレーション計算用（変更不要）'!T161)</f>
        <v>0</v>
      </c>
      <c r="J81" s="87">
        <f>IF(OR($D$16="",$G$12=0),0,'シミュレーション計算用（変更不要）'!AA58*'シミュレーション計算用（変更不要）'!AA161)</f>
        <v>0</v>
      </c>
      <c r="K81" s="87">
        <f t="shared" si="8"/>
        <v>0</v>
      </c>
      <c r="L81" s="87">
        <f t="shared" si="9"/>
        <v>0</v>
      </c>
      <c r="M81" s="92">
        <f t="shared" si="4"/>
        <v>0</v>
      </c>
      <c r="N81" s="81"/>
    </row>
    <row r="82" spans="2:14" ht="14.25" x14ac:dyDescent="0.15">
      <c r="B82" s="80"/>
      <c r="C82" s="18">
        <v>56</v>
      </c>
      <c r="D82" s="87">
        <f t="shared" si="2"/>
        <v>0</v>
      </c>
      <c r="E82" s="87">
        <f>'シミュレーション計算用（変更不要）'!M59</f>
        <v>0</v>
      </c>
      <c r="F82" s="29">
        <f t="shared" si="3"/>
        <v>0</v>
      </c>
      <c r="G82" s="87">
        <f>IF(OR($D$16="",$G$6=0),0,EuropeanOptionPrice($H$6,$E82,0,$I$6,$D$10:$D$15)*$G$6)</f>
        <v>0</v>
      </c>
      <c r="H82" s="87">
        <f>IF(OR($D$16="",$G$7=0),0,EuropeanOptionPrice($H$7,$E82,0,$I$7,$D$10:$D$15)*$G$7)</f>
        <v>0</v>
      </c>
      <c r="I82" s="87">
        <f>IF(OR($D$16="",$G$11=0),0,'シミュレーション計算用（変更不要）'!T59*'シミュレーション計算用（変更不要）'!T162)</f>
        <v>0</v>
      </c>
      <c r="J82" s="87">
        <f>IF(OR($D$16="",$G$12=0),0,'シミュレーション計算用（変更不要）'!AA59*'シミュレーション計算用（変更不要）'!AA162)</f>
        <v>0</v>
      </c>
      <c r="K82" s="87">
        <f t="shared" si="8"/>
        <v>0</v>
      </c>
      <c r="L82" s="87">
        <f t="shared" si="9"/>
        <v>0</v>
      </c>
      <c r="M82" s="92">
        <f t="shared" si="4"/>
        <v>0</v>
      </c>
      <c r="N82" s="81"/>
    </row>
    <row r="83" spans="2:14" ht="14.25" x14ac:dyDescent="0.15">
      <c r="B83" s="80"/>
      <c r="C83" s="18">
        <v>57</v>
      </c>
      <c r="D83" s="87">
        <f t="shared" si="2"/>
        <v>0</v>
      </c>
      <c r="E83" s="87">
        <f>'シミュレーション計算用（変更不要）'!M60</f>
        <v>0</v>
      </c>
      <c r="F83" s="29">
        <f t="shared" si="3"/>
        <v>0</v>
      </c>
      <c r="G83" s="87">
        <f>IF(OR($D$16="",$G$6=0),0,EuropeanOptionPrice($H$6,$E83,0,$I$6,$D$10:$D$15)*$G$6)</f>
        <v>0</v>
      </c>
      <c r="H83" s="87">
        <f>IF(OR($D$16="",$G$7=0),0,EuropeanOptionPrice($H$7,$E83,0,$I$7,$D$10:$D$15)*$G$7)</f>
        <v>0</v>
      </c>
      <c r="I83" s="87">
        <f>IF(OR($D$16="",$G$11=0),0,'シミュレーション計算用（変更不要）'!T60*'シミュレーション計算用（変更不要）'!T163)</f>
        <v>0</v>
      </c>
      <c r="J83" s="87">
        <f>IF(OR($D$16="",$G$12=0),0,'シミュレーション計算用（変更不要）'!AA60*'シミュレーション計算用（変更不要）'!AA163)</f>
        <v>0</v>
      </c>
      <c r="K83" s="87">
        <f t="shared" si="8"/>
        <v>0</v>
      </c>
      <c r="L83" s="87">
        <f t="shared" si="9"/>
        <v>0</v>
      </c>
      <c r="M83" s="92">
        <f t="shared" si="4"/>
        <v>0</v>
      </c>
      <c r="N83" s="81"/>
    </row>
    <row r="84" spans="2:14" ht="14.25" x14ac:dyDescent="0.15">
      <c r="B84" s="80"/>
      <c r="C84" s="18">
        <v>58</v>
      </c>
      <c r="D84" s="87">
        <f t="shared" si="2"/>
        <v>0</v>
      </c>
      <c r="E84" s="87">
        <f>'シミュレーション計算用（変更不要）'!M61</f>
        <v>0</v>
      </c>
      <c r="F84" s="29">
        <f t="shared" si="3"/>
        <v>0</v>
      </c>
      <c r="G84" s="87">
        <f>IF(OR($D$16="",$G$6=0),0,EuropeanOptionPrice($H$6,$E84,0,$I$6,$D$10:$D$15)*$G$6)</f>
        <v>0</v>
      </c>
      <c r="H84" s="87">
        <f>IF(OR($D$16="",$G$7=0),0,EuropeanOptionPrice($H$7,$E84,0,$I$7,$D$10:$D$15)*$G$7)</f>
        <v>0</v>
      </c>
      <c r="I84" s="87">
        <f>IF(OR($D$16="",$G$11=0),0,'シミュレーション計算用（変更不要）'!T61*'シミュレーション計算用（変更不要）'!T164)</f>
        <v>0</v>
      </c>
      <c r="J84" s="87">
        <f>IF(OR($D$16="",$G$12=0),0,'シミュレーション計算用（変更不要）'!AA61*'シミュレーション計算用（変更不要）'!AA164)</f>
        <v>0</v>
      </c>
      <c r="K84" s="87">
        <f t="shared" si="8"/>
        <v>0</v>
      </c>
      <c r="L84" s="87">
        <f t="shared" si="9"/>
        <v>0</v>
      </c>
      <c r="M84" s="92">
        <f t="shared" si="4"/>
        <v>0</v>
      </c>
      <c r="N84" s="81"/>
    </row>
    <row r="85" spans="2:14" ht="14.25" x14ac:dyDescent="0.15">
      <c r="B85" s="80"/>
      <c r="C85" s="18">
        <v>59</v>
      </c>
      <c r="D85" s="87">
        <f t="shared" si="2"/>
        <v>0</v>
      </c>
      <c r="E85" s="87">
        <f>'シミュレーション計算用（変更不要）'!M62</f>
        <v>0</v>
      </c>
      <c r="F85" s="29">
        <f t="shared" si="3"/>
        <v>0</v>
      </c>
      <c r="G85" s="87">
        <f>IF(OR($D$16="",$G$6=0),0,EuropeanOptionPrice($H$6,$E85,0,$I$6,$D$10:$D$15)*$G$6)</f>
        <v>0</v>
      </c>
      <c r="H85" s="87">
        <f>IF(OR($D$16="",$G$7=0),0,EuropeanOptionPrice($H$7,$E85,0,$I$7,$D$10:$D$15)*$G$7)</f>
        <v>0</v>
      </c>
      <c r="I85" s="87">
        <f>IF(OR($D$16="",$G$11=0),0,'シミュレーション計算用（変更不要）'!T62*'シミュレーション計算用（変更不要）'!T165)</f>
        <v>0</v>
      </c>
      <c r="J85" s="87">
        <f>IF(OR($D$16="",$G$12=0),0,'シミュレーション計算用（変更不要）'!AA62*'シミュレーション計算用（変更不要）'!AA165)</f>
        <v>0</v>
      </c>
      <c r="K85" s="87">
        <f t="shared" si="8"/>
        <v>0</v>
      </c>
      <c r="L85" s="87">
        <f t="shared" si="9"/>
        <v>0</v>
      </c>
      <c r="M85" s="92">
        <f t="shared" si="4"/>
        <v>0</v>
      </c>
      <c r="N85" s="81"/>
    </row>
    <row r="86" spans="2:14" ht="14.25" x14ac:dyDescent="0.15">
      <c r="B86" s="80"/>
      <c r="C86" s="18">
        <v>60</v>
      </c>
      <c r="D86" s="87">
        <f t="shared" si="2"/>
        <v>0</v>
      </c>
      <c r="E86" s="87">
        <f>'シミュレーション計算用（変更不要）'!M63</f>
        <v>0</v>
      </c>
      <c r="F86" s="29">
        <f t="shared" si="3"/>
        <v>0</v>
      </c>
      <c r="G86" s="87">
        <f>IF(OR($D$16="",$G$6=0),0,EuropeanOptionPrice($H$6,$E86,0,$I$6,$D$10:$D$15)*$G$6)</f>
        <v>0</v>
      </c>
      <c r="H86" s="87">
        <f>IF(OR($D$16="",$G$7=0),0,EuropeanOptionPrice($H$7,$E86,0,$I$7,$D$10:$D$15)*$G$7)</f>
        <v>0</v>
      </c>
      <c r="I86" s="87">
        <f>IF(OR($D$16="",$G$11=0),0,'シミュレーション計算用（変更不要）'!T63*'シミュレーション計算用（変更不要）'!T166)</f>
        <v>0</v>
      </c>
      <c r="J86" s="87">
        <f>IF(OR($D$16="",$G$12=0),0,'シミュレーション計算用（変更不要）'!AA63*'シミュレーション計算用（変更不要）'!AA166)</f>
        <v>0</v>
      </c>
      <c r="K86" s="87">
        <f t="shared" si="8"/>
        <v>0</v>
      </c>
      <c r="L86" s="87">
        <f t="shared" si="9"/>
        <v>0</v>
      </c>
      <c r="M86" s="92">
        <f t="shared" si="4"/>
        <v>0</v>
      </c>
      <c r="N86" s="81"/>
    </row>
    <row r="87" spans="2:14" ht="14.25" x14ac:dyDescent="0.15">
      <c r="B87" s="80"/>
      <c r="C87" s="18">
        <v>61</v>
      </c>
      <c r="D87" s="87">
        <f t="shared" si="2"/>
        <v>0</v>
      </c>
      <c r="E87" s="87">
        <f>'シミュレーション計算用（変更不要）'!M64</f>
        <v>0</v>
      </c>
      <c r="F87" s="29">
        <f t="shared" si="3"/>
        <v>0</v>
      </c>
      <c r="G87" s="87">
        <f>IF(OR($D$16="",$G$6=0),0,EuropeanOptionPrice($H$6,$E87,0,$I$6,$D$10:$D$15)*$G$6)</f>
        <v>0</v>
      </c>
      <c r="H87" s="87">
        <f>IF(OR($D$16="",$G$7=0),0,EuropeanOptionPrice($H$7,$E87,0,$I$7,$D$10:$D$15)*$G$7)</f>
        <v>0</v>
      </c>
      <c r="I87" s="87">
        <f>IF(OR($D$16="",$G$11=0),0,'シミュレーション計算用（変更不要）'!T64*'シミュレーション計算用（変更不要）'!T167)</f>
        <v>0</v>
      </c>
      <c r="J87" s="87">
        <f>IF(OR($D$16="",$G$12=0),0,'シミュレーション計算用（変更不要）'!AA64*'シミュレーション計算用（変更不要）'!AA167)</f>
        <v>0</v>
      </c>
      <c r="K87" s="87">
        <f t="shared" si="8"/>
        <v>0</v>
      </c>
      <c r="L87" s="87">
        <f t="shared" si="9"/>
        <v>0</v>
      </c>
      <c r="M87" s="92">
        <f t="shared" si="4"/>
        <v>0</v>
      </c>
      <c r="N87" s="81"/>
    </row>
    <row r="88" spans="2:14" ht="14.25" x14ac:dyDescent="0.15">
      <c r="B88" s="80"/>
      <c r="C88" s="18">
        <v>62</v>
      </c>
      <c r="D88" s="87">
        <f t="shared" si="2"/>
        <v>0</v>
      </c>
      <c r="E88" s="87">
        <f>'シミュレーション計算用（変更不要）'!M65</f>
        <v>0</v>
      </c>
      <c r="F88" s="29">
        <f t="shared" si="3"/>
        <v>0</v>
      </c>
      <c r="G88" s="87">
        <f>IF(OR($D$16="",$G$6=0),0,EuropeanOptionPrice($H$6,$E88,0,$I$6,$D$10:$D$15)*$G$6)</f>
        <v>0</v>
      </c>
      <c r="H88" s="87">
        <f>IF(OR($D$16="",$G$7=0),0,EuropeanOptionPrice($H$7,$E88,0,$I$7,$D$10:$D$15)*$G$7)</f>
        <v>0</v>
      </c>
      <c r="I88" s="87">
        <f>IF(OR($D$16="",$G$11=0),0,'シミュレーション計算用（変更不要）'!T65*'シミュレーション計算用（変更不要）'!T168)</f>
        <v>0</v>
      </c>
      <c r="J88" s="87">
        <f>IF(OR($D$16="",$G$12=0),0,'シミュレーション計算用（変更不要）'!AA65*'シミュレーション計算用（変更不要）'!AA168)</f>
        <v>0</v>
      </c>
      <c r="K88" s="87">
        <f t="shared" si="8"/>
        <v>0</v>
      </c>
      <c r="L88" s="87">
        <f t="shared" si="9"/>
        <v>0</v>
      </c>
      <c r="M88" s="92">
        <f t="shared" si="4"/>
        <v>0</v>
      </c>
      <c r="N88" s="81"/>
    </row>
    <row r="89" spans="2:14" ht="14.25" x14ac:dyDescent="0.15">
      <c r="B89" s="80"/>
      <c r="C89" s="18">
        <v>63</v>
      </c>
      <c r="D89" s="87">
        <f t="shared" si="2"/>
        <v>0</v>
      </c>
      <c r="E89" s="87">
        <f>'シミュレーション計算用（変更不要）'!M66</f>
        <v>0</v>
      </c>
      <c r="F89" s="29">
        <f t="shared" si="3"/>
        <v>0</v>
      </c>
      <c r="G89" s="87">
        <f>IF(OR($D$16="",$G$6=0),0,EuropeanOptionPrice($H$6,$E89,0,$I$6,$D$10:$D$15)*$G$6)</f>
        <v>0</v>
      </c>
      <c r="H89" s="87">
        <f>IF(OR($D$16="",$G$7=0),0,EuropeanOptionPrice($H$7,$E89,0,$I$7,$D$10:$D$15)*$G$7)</f>
        <v>0</v>
      </c>
      <c r="I89" s="87">
        <f>IF(OR($D$16="",$G$11=0),0,'シミュレーション計算用（変更不要）'!T66*'シミュレーション計算用（変更不要）'!T169)</f>
        <v>0</v>
      </c>
      <c r="J89" s="87">
        <f>IF(OR($D$16="",$G$12=0),0,'シミュレーション計算用（変更不要）'!AA66*'シミュレーション計算用（変更不要）'!AA169)</f>
        <v>0</v>
      </c>
      <c r="K89" s="87">
        <f t="shared" si="8"/>
        <v>0</v>
      </c>
      <c r="L89" s="87">
        <f t="shared" si="9"/>
        <v>0</v>
      </c>
      <c r="M89" s="92">
        <f t="shared" si="4"/>
        <v>0</v>
      </c>
      <c r="N89" s="81"/>
    </row>
    <row r="90" spans="2:14" ht="14.25" x14ac:dyDescent="0.15">
      <c r="B90" s="80"/>
      <c r="C90" s="18">
        <v>64</v>
      </c>
      <c r="D90" s="87">
        <f t="shared" si="2"/>
        <v>0</v>
      </c>
      <c r="E90" s="87">
        <f>'シミュレーション計算用（変更不要）'!M67</f>
        <v>0</v>
      </c>
      <c r="F90" s="29">
        <f t="shared" si="3"/>
        <v>0</v>
      </c>
      <c r="G90" s="87">
        <f>IF(OR($D$16="",$G$6=0),0,EuropeanOptionPrice($H$6,$E90,0,$I$6,$D$10:$D$15)*$G$6)</f>
        <v>0</v>
      </c>
      <c r="H90" s="87">
        <f>IF(OR($D$16="",$G$7=0),0,EuropeanOptionPrice($H$7,$E90,0,$I$7,$D$10:$D$15)*$G$7)</f>
        <v>0</v>
      </c>
      <c r="I90" s="87">
        <f>IF(OR($D$16="",$G$11=0),0,'シミュレーション計算用（変更不要）'!T67*'シミュレーション計算用（変更不要）'!T170)</f>
        <v>0</v>
      </c>
      <c r="J90" s="87">
        <f>IF(OR($D$16="",$G$12=0),0,'シミュレーション計算用（変更不要）'!AA67*'シミュレーション計算用（変更不要）'!AA170)</f>
        <v>0</v>
      </c>
      <c r="K90" s="87">
        <f t="shared" si="8"/>
        <v>0</v>
      </c>
      <c r="L90" s="87">
        <f t="shared" si="9"/>
        <v>0</v>
      </c>
      <c r="M90" s="92">
        <f t="shared" si="4"/>
        <v>0</v>
      </c>
      <c r="N90" s="81"/>
    </row>
    <row r="91" spans="2:14" ht="14.25" x14ac:dyDescent="0.15">
      <c r="B91" s="80"/>
      <c r="C91" s="18">
        <v>65</v>
      </c>
      <c r="D91" s="87">
        <f t="shared" si="2"/>
        <v>0</v>
      </c>
      <c r="E91" s="87">
        <f>'シミュレーション計算用（変更不要）'!M68</f>
        <v>0</v>
      </c>
      <c r="F91" s="29">
        <f t="shared" si="3"/>
        <v>0</v>
      </c>
      <c r="G91" s="87">
        <f>IF(OR($D$16="",$G$6=0),0,EuropeanOptionPrice($H$6,$E91,0,$I$6,$D$10:$D$15)*$G$6)</f>
        <v>0</v>
      </c>
      <c r="H91" s="87">
        <f>IF(OR($D$16="",$G$7=0),0,EuropeanOptionPrice($H$7,$E91,0,$I$7,$D$10:$D$15)*$G$7)</f>
        <v>0</v>
      </c>
      <c r="I91" s="87">
        <f>IF(OR($D$16="",$G$11=0),0,'シミュレーション計算用（変更不要）'!T68*'シミュレーション計算用（変更不要）'!T171)</f>
        <v>0</v>
      </c>
      <c r="J91" s="87">
        <f>IF(OR($D$16="",$G$12=0),0,'シミュレーション計算用（変更不要）'!AA68*'シミュレーション計算用（変更不要）'!AA171)</f>
        <v>0</v>
      </c>
      <c r="K91" s="87">
        <f t="shared" ref="K91:K122" si="10">SUM(G91:J91)</f>
        <v>0</v>
      </c>
      <c r="L91" s="87">
        <f t="shared" ref="L91:L122" si="11">E91+K91</f>
        <v>0</v>
      </c>
      <c r="M91" s="92">
        <f t="shared" si="4"/>
        <v>0</v>
      </c>
      <c r="N91" s="81"/>
    </row>
    <row r="92" spans="2:14" ht="14.25" x14ac:dyDescent="0.15">
      <c r="B92" s="80"/>
      <c r="C92" s="18">
        <v>66</v>
      </c>
      <c r="D92" s="87">
        <f t="shared" ref="D92:D126" si="12">IF($D$19=0,0,$D$19)</f>
        <v>0</v>
      </c>
      <c r="E92" s="87">
        <f>'シミュレーション計算用（変更不要）'!M69</f>
        <v>0</v>
      </c>
      <c r="F92" s="29">
        <f t="shared" ref="F92:F126" si="13">IF($D$19="",0,E92/D92-1)</f>
        <v>0</v>
      </c>
      <c r="G92" s="87">
        <f>IF(OR($D$16="",$G$6=0),0,EuropeanOptionPrice($H$6,$E92,0,$I$6,$D$10:$D$15)*$G$6)</f>
        <v>0</v>
      </c>
      <c r="H92" s="87">
        <f>IF(OR($D$16="",$G$7=0),0,EuropeanOptionPrice($H$7,$E92,0,$I$7,$D$10:$D$15)*$G$7)</f>
        <v>0</v>
      </c>
      <c r="I92" s="87">
        <f>IF(OR($D$16="",$G$11=0),0,'シミュレーション計算用（変更不要）'!T69*'シミュレーション計算用（変更不要）'!T172)</f>
        <v>0</v>
      </c>
      <c r="J92" s="87">
        <f>IF(OR($D$16="",$G$12=0),0,'シミュレーション計算用（変更不要）'!AA69*'シミュレーション計算用（変更不要）'!AA172)</f>
        <v>0</v>
      </c>
      <c r="K92" s="87">
        <f t="shared" si="10"/>
        <v>0</v>
      </c>
      <c r="L92" s="87">
        <f t="shared" si="11"/>
        <v>0</v>
      </c>
      <c r="M92" s="92">
        <f t="shared" ref="M92:M126" si="14">IF(OR($L$27=0,D92=""),0,L92/$D$5-1)</f>
        <v>0</v>
      </c>
      <c r="N92" s="81"/>
    </row>
    <row r="93" spans="2:14" ht="14.25" x14ac:dyDescent="0.15">
      <c r="B93" s="80"/>
      <c r="C93" s="18">
        <v>67</v>
      </c>
      <c r="D93" s="87">
        <f t="shared" si="12"/>
        <v>0</v>
      </c>
      <c r="E93" s="87">
        <f>'シミュレーション計算用（変更不要）'!M70</f>
        <v>0</v>
      </c>
      <c r="F93" s="29">
        <f t="shared" si="13"/>
        <v>0</v>
      </c>
      <c r="G93" s="87">
        <f>IF(OR($D$16="",$G$6=0),0,EuropeanOptionPrice($H$6,$E93,0,$I$6,$D$10:$D$15)*$G$6)</f>
        <v>0</v>
      </c>
      <c r="H93" s="87">
        <f>IF(OR($D$16="",$G$7=0),0,EuropeanOptionPrice($H$7,$E93,0,$I$7,$D$10:$D$15)*$G$7)</f>
        <v>0</v>
      </c>
      <c r="I93" s="87">
        <f>IF(OR($D$16="",$G$11=0),0,'シミュレーション計算用（変更不要）'!T70*'シミュレーション計算用（変更不要）'!T173)</f>
        <v>0</v>
      </c>
      <c r="J93" s="87">
        <f>IF(OR($D$16="",$G$12=0),0,'シミュレーション計算用（変更不要）'!AA70*'シミュレーション計算用（変更不要）'!AA173)</f>
        <v>0</v>
      </c>
      <c r="K93" s="87">
        <f t="shared" si="10"/>
        <v>0</v>
      </c>
      <c r="L93" s="87">
        <f t="shared" si="11"/>
        <v>0</v>
      </c>
      <c r="M93" s="92">
        <f t="shared" si="14"/>
        <v>0</v>
      </c>
      <c r="N93" s="81"/>
    </row>
    <row r="94" spans="2:14" ht="14.25" x14ac:dyDescent="0.15">
      <c r="B94" s="80"/>
      <c r="C94" s="18">
        <v>68</v>
      </c>
      <c r="D94" s="87">
        <f t="shared" si="12"/>
        <v>0</v>
      </c>
      <c r="E94" s="87">
        <f>'シミュレーション計算用（変更不要）'!M71</f>
        <v>0</v>
      </c>
      <c r="F94" s="29">
        <f t="shared" si="13"/>
        <v>0</v>
      </c>
      <c r="G94" s="87">
        <f>IF(OR($D$16="",$G$6=0),0,EuropeanOptionPrice($H$6,$E94,0,$I$6,$D$10:$D$15)*$G$6)</f>
        <v>0</v>
      </c>
      <c r="H94" s="87">
        <f>IF(OR($D$16="",$G$7=0),0,EuropeanOptionPrice($H$7,$E94,0,$I$7,$D$10:$D$15)*$G$7)</f>
        <v>0</v>
      </c>
      <c r="I94" s="87">
        <f>IF(OR($D$16="",$G$11=0),0,'シミュレーション計算用（変更不要）'!T71*'シミュレーション計算用（変更不要）'!T174)</f>
        <v>0</v>
      </c>
      <c r="J94" s="87">
        <f>IF(OR($D$16="",$G$12=0),0,'シミュレーション計算用（変更不要）'!AA71*'シミュレーション計算用（変更不要）'!AA174)</f>
        <v>0</v>
      </c>
      <c r="K94" s="87">
        <f t="shared" si="10"/>
        <v>0</v>
      </c>
      <c r="L94" s="87">
        <f t="shared" si="11"/>
        <v>0</v>
      </c>
      <c r="M94" s="92">
        <f t="shared" si="14"/>
        <v>0</v>
      </c>
      <c r="N94" s="81"/>
    </row>
    <row r="95" spans="2:14" ht="14.25" x14ac:dyDescent="0.15">
      <c r="B95" s="80"/>
      <c r="C95" s="18">
        <v>69</v>
      </c>
      <c r="D95" s="87">
        <f t="shared" si="12"/>
        <v>0</v>
      </c>
      <c r="E95" s="87">
        <f>'シミュレーション計算用（変更不要）'!M72</f>
        <v>0</v>
      </c>
      <c r="F95" s="29">
        <f t="shared" si="13"/>
        <v>0</v>
      </c>
      <c r="G95" s="87">
        <f>IF(OR($D$16="",$G$6=0),0,EuropeanOptionPrice($H$6,$E95,0,$I$6,$D$10:$D$15)*$G$6)</f>
        <v>0</v>
      </c>
      <c r="H95" s="87">
        <f>IF(OR($D$16="",$G$7=0),0,EuropeanOptionPrice($H$7,$E95,0,$I$7,$D$10:$D$15)*$G$7)</f>
        <v>0</v>
      </c>
      <c r="I95" s="87">
        <f>IF(OR($D$16="",$G$11=0),0,'シミュレーション計算用（変更不要）'!T72*'シミュレーション計算用（変更不要）'!T175)</f>
        <v>0</v>
      </c>
      <c r="J95" s="87">
        <f>IF(OR($D$16="",$G$12=0),0,'シミュレーション計算用（変更不要）'!AA72*'シミュレーション計算用（変更不要）'!AA175)</f>
        <v>0</v>
      </c>
      <c r="K95" s="87">
        <f t="shared" si="10"/>
        <v>0</v>
      </c>
      <c r="L95" s="87">
        <f t="shared" si="11"/>
        <v>0</v>
      </c>
      <c r="M95" s="92">
        <f t="shared" si="14"/>
        <v>0</v>
      </c>
      <c r="N95" s="81"/>
    </row>
    <row r="96" spans="2:14" ht="14.25" x14ac:dyDescent="0.15">
      <c r="B96" s="80"/>
      <c r="C96" s="18">
        <v>70</v>
      </c>
      <c r="D96" s="87">
        <f t="shared" si="12"/>
        <v>0</v>
      </c>
      <c r="E96" s="87">
        <f>'シミュレーション計算用（変更不要）'!M73</f>
        <v>0</v>
      </c>
      <c r="F96" s="29">
        <f t="shared" si="13"/>
        <v>0</v>
      </c>
      <c r="G96" s="87">
        <f>IF(OR($D$16="",$G$6=0),0,EuropeanOptionPrice($H$6,$E96,0,$I$6,$D$10:$D$15)*$G$6)</f>
        <v>0</v>
      </c>
      <c r="H96" s="87">
        <f>IF(OR($D$16="",$G$7=0),0,EuropeanOptionPrice($H$7,$E96,0,$I$7,$D$10:$D$15)*$G$7)</f>
        <v>0</v>
      </c>
      <c r="I96" s="87">
        <f>IF(OR($D$16="",$G$11=0),0,'シミュレーション計算用（変更不要）'!T73*'シミュレーション計算用（変更不要）'!T176)</f>
        <v>0</v>
      </c>
      <c r="J96" s="87">
        <f>IF(OR($D$16="",$G$12=0),0,'シミュレーション計算用（変更不要）'!AA73*'シミュレーション計算用（変更不要）'!AA176)</f>
        <v>0</v>
      </c>
      <c r="K96" s="87">
        <f t="shared" si="10"/>
        <v>0</v>
      </c>
      <c r="L96" s="87">
        <f t="shared" si="11"/>
        <v>0</v>
      </c>
      <c r="M96" s="92">
        <f t="shared" si="14"/>
        <v>0</v>
      </c>
      <c r="N96" s="81"/>
    </row>
    <row r="97" spans="2:14" ht="14.25" x14ac:dyDescent="0.15">
      <c r="B97" s="80"/>
      <c r="C97" s="18">
        <v>71</v>
      </c>
      <c r="D97" s="87">
        <f t="shared" si="12"/>
        <v>0</v>
      </c>
      <c r="E97" s="87">
        <f>'シミュレーション計算用（変更不要）'!M74</f>
        <v>0</v>
      </c>
      <c r="F97" s="29">
        <f t="shared" si="13"/>
        <v>0</v>
      </c>
      <c r="G97" s="87">
        <f>IF(OR($D$16="",$G$6=0),0,EuropeanOptionPrice($H$6,$E97,0,$I$6,$D$10:$D$15)*$G$6)</f>
        <v>0</v>
      </c>
      <c r="H97" s="87">
        <f>IF(OR($D$16="",$G$7=0),0,EuropeanOptionPrice($H$7,$E97,0,$I$7,$D$10:$D$15)*$G$7)</f>
        <v>0</v>
      </c>
      <c r="I97" s="87">
        <f>IF(OR($D$16="",$G$11=0),0,'シミュレーション計算用（変更不要）'!T74*'シミュレーション計算用（変更不要）'!T177)</f>
        <v>0</v>
      </c>
      <c r="J97" s="87">
        <f>IF(OR($D$16="",$G$12=0),0,'シミュレーション計算用（変更不要）'!AA74*'シミュレーション計算用（変更不要）'!AA177)</f>
        <v>0</v>
      </c>
      <c r="K97" s="87">
        <f t="shared" si="10"/>
        <v>0</v>
      </c>
      <c r="L97" s="87">
        <f t="shared" si="11"/>
        <v>0</v>
      </c>
      <c r="M97" s="92">
        <f t="shared" si="14"/>
        <v>0</v>
      </c>
      <c r="N97" s="81"/>
    </row>
    <row r="98" spans="2:14" ht="14.25" x14ac:dyDescent="0.15">
      <c r="B98" s="80"/>
      <c r="C98" s="18">
        <v>72</v>
      </c>
      <c r="D98" s="87">
        <f t="shared" si="12"/>
        <v>0</v>
      </c>
      <c r="E98" s="87">
        <f>'シミュレーション計算用（変更不要）'!M75</f>
        <v>0</v>
      </c>
      <c r="F98" s="29">
        <f t="shared" si="13"/>
        <v>0</v>
      </c>
      <c r="G98" s="87">
        <f>IF(OR($D$16="",$G$6=0),0,EuropeanOptionPrice($H$6,$E98,0,$I$6,$D$10:$D$15)*$G$6)</f>
        <v>0</v>
      </c>
      <c r="H98" s="87">
        <f>IF(OR($D$16="",$G$7=0),0,EuropeanOptionPrice($H$7,$E98,0,$I$7,$D$10:$D$15)*$G$7)</f>
        <v>0</v>
      </c>
      <c r="I98" s="87">
        <f>IF(OR($D$16="",$G$11=0),0,'シミュレーション計算用（変更不要）'!T75*'シミュレーション計算用（変更不要）'!T178)</f>
        <v>0</v>
      </c>
      <c r="J98" s="87">
        <f>IF(OR($D$16="",$G$12=0),0,'シミュレーション計算用（変更不要）'!AA75*'シミュレーション計算用（変更不要）'!AA178)</f>
        <v>0</v>
      </c>
      <c r="K98" s="87">
        <f t="shared" si="10"/>
        <v>0</v>
      </c>
      <c r="L98" s="87">
        <f t="shared" si="11"/>
        <v>0</v>
      </c>
      <c r="M98" s="92">
        <f t="shared" si="14"/>
        <v>0</v>
      </c>
      <c r="N98" s="81"/>
    </row>
    <row r="99" spans="2:14" ht="14.25" x14ac:dyDescent="0.15">
      <c r="B99" s="80"/>
      <c r="C99" s="18">
        <v>73</v>
      </c>
      <c r="D99" s="87">
        <f t="shared" si="12"/>
        <v>0</v>
      </c>
      <c r="E99" s="87">
        <f>'シミュレーション計算用（変更不要）'!M76</f>
        <v>0</v>
      </c>
      <c r="F99" s="29">
        <f t="shared" si="13"/>
        <v>0</v>
      </c>
      <c r="G99" s="87">
        <f>IF(OR($D$16="",$G$6=0),0,EuropeanOptionPrice($H$6,$E99,0,$I$6,$D$10:$D$15)*$G$6)</f>
        <v>0</v>
      </c>
      <c r="H99" s="87">
        <f>IF(OR($D$16="",$G$7=0),0,EuropeanOptionPrice($H$7,$E99,0,$I$7,$D$10:$D$15)*$G$7)</f>
        <v>0</v>
      </c>
      <c r="I99" s="87">
        <f>IF(OR($D$16="",$G$11=0),0,'シミュレーション計算用（変更不要）'!T76*'シミュレーション計算用（変更不要）'!T179)</f>
        <v>0</v>
      </c>
      <c r="J99" s="87">
        <f>IF(OR($D$16="",$G$12=0),0,'シミュレーション計算用（変更不要）'!AA76*'シミュレーション計算用（変更不要）'!AA179)</f>
        <v>0</v>
      </c>
      <c r="K99" s="87">
        <f t="shared" si="10"/>
        <v>0</v>
      </c>
      <c r="L99" s="87">
        <f t="shared" si="11"/>
        <v>0</v>
      </c>
      <c r="M99" s="92">
        <f t="shared" si="14"/>
        <v>0</v>
      </c>
      <c r="N99" s="81"/>
    </row>
    <row r="100" spans="2:14" ht="14.25" x14ac:dyDescent="0.15">
      <c r="B100" s="80"/>
      <c r="C100" s="18">
        <v>74</v>
      </c>
      <c r="D100" s="87">
        <f t="shared" si="12"/>
        <v>0</v>
      </c>
      <c r="E100" s="87">
        <f>'シミュレーション計算用（変更不要）'!M77</f>
        <v>0</v>
      </c>
      <c r="F100" s="29">
        <f t="shared" si="13"/>
        <v>0</v>
      </c>
      <c r="G100" s="87">
        <f>IF(OR($D$16="",$G$6=0),0,EuropeanOptionPrice($H$6,$E100,0,$I$6,$D$10:$D$15)*$G$6)</f>
        <v>0</v>
      </c>
      <c r="H100" s="87">
        <f>IF(OR($D$16="",$G$7=0),0,EuropeanOptionPrice($H$7,$E100,0,$I$7,$D$10:$D$15)*$G$7)</f>
        <v>0</v>
      </c>
      <c r="I100" s="87">
        <f>IF(OR($D$16="",$G$11=0),0,'シミュレーション計算用（変更不要）'!T77*'シミュレーション計算用（変更不要）'!T180)</f>
        <v>0</v>
      </c>
      <c r="J100" s="87">
        <f>IF(OR($D$16="",$G$12=0),0,'シミュレーション計算用（変更不要）'!AA77*'シミュレーション計算用（変更不要）'!AA180)</f>
        <v>0</v>
      </c>
      <c r="K100" s="87">
        <f t="shared" si="10"/>
        <v>0</v>
      </c>
      <c r="L100" s="87">
        <f t="shared" si="11"/>
        <v>0</v>
      </c>
      <c r="M100" s="92">
        <f t="shared" si="14"/>
        <v>0</v>
      </c>
      <c r="N100" s="81"/>
    </row>
    <row r="101" spans="2:14" ht="14.25" x14ac:dyDescent="0.15">
      <c r="B101" s="80"/>
      <c r="C101" s="18">
        <v>75</v>
      </c>
      <c r="D101" s="87">
        <f t="shared" si="12"/>
        <v>0</v>
      </c>
      <c r="E101" s="87">
        <f>'シミュレーション計算用（変更不要）'!M78</f>
        <v>0</v>
      </c>
      <c r="F101" s="29">
        <f t="shared" si="13"/>
        <v>0</v>
      </c>
      <c r="G101" s="87">
        <f>IF(OR($D$16="",$G$6=0),0,EuropeanOptionPrice($H$6,$E101,0,$I$6,$D$10:$D$15)*$G$6)</f>
        <v>0</v>
      </c>
      <c r="H101" s="87">
        <f>IF(OR($D$16="",$G$7=0),0,EuropeanOptionPrice($H$7,$E101,0,$I$7,$D$10:$D$15)*$G$7)</f>
        <v>0</v>
      </c>
      <c r="I101" s="87">
        <f>IF(OR($D$16="",$G$11=0),0,'シミュレーション計算用（変更不要）'!T78*'シミュレーション計算用（変更不要）'!T181)</f>
        <v>0</v>
      </c>
      <c r="J101" s="87">
        <f>IF(OR($D$16="",$G$12=0),0,'シミュレーション計算用（変更不要）'!AA78*'シミュレーション計算用（変更不要）'!AA181)</f>
        <v>0</v>
      </c>
      <c r="K101" s="87">
        <f t="shared" si="10"/>
        <v>0</v>
      </c>
      <c r="L101" s="87">
        <f t="shared" si="11"/>
        <v>0</v>
      </c>
      <c r="M101" s="92">
        <f t="shared" si="14"/>
        <v>0</v>
      </c>
      <c r="N101" s="81"/>
    </row>
    <row r="102" spans="2:14" ht="14.25" x14ac:dyDescent="0.15">
      <c r="B102" s="80"/>
      <c r="C102" s="18">
        <v>76</v>
      </c>
      <c r="D102" s="87">
        <f t="shared" si="12"/>
        <v>0</v>
      </c>
      <c r="E102" s="87">
        <f>'シミュレーション計算用（変更不要）'!M79</f>
        <v>0</v>
      </c>
      <c r="F102" s="29">
        <f t="shared" si="13"/>
        <v>0</v>
      </c>
      <c r="G102" s="87">
        <f>IF(OR($D$16="",$G$6=0),0,EuropeanOptionPrice($H$6,$E102,0,$I$6,$D$10:$D$15)*$G$6)</f>
        <v>0</v>
      </c>
      <c r="H102" s="87">
        <f>IF(OR($D$16="",$G$7=0),0,EuropeanOptionPrice($H$7,$E102,0,$I$7,$D$10:$D$15)*$G$7)</f>
        <v>0</v>
      </c>
      <c r="I102" s="87">
        <f>IF(OR($D$16="",$G$11=0),0,'シミュレーション計算用（変更不要）'!T79*'シミュレーション計算用（変更不要）'!T182)</f>
        <v>0</v>
      </c>
      <c r="J102" s="87">
        <f>IF(OR($D$16="",$G$12=0),0,'シミュレーション計算用（変更不要）'!AA79*'シミュレーション計算用（変更不要）'!AA182)</f>
        <v>0</v>
      </c>
      <c r="K102" s="87">
        <f t="shared" si="10"/>
        <v>0</v>
      </c>
      <c r="L102" s="87">
        <f t="shared" si="11"/>
        <v>0</v>
      </c>
      <c r="M102" s="92">
        <f t="shared" si="14"/>
        <v>0</v>
      </c>
      <c r="N102" s="81"/>
    </row>
    <row r="103" spans="2:14" ht="14.25" x14ac:dyDescent="0.15">
      <c r="B103" s="80"/>
      <c r="C103" s="18">
        <v>77</v>
      </c>
      <c r="D103" s="87">
        <f t="shared" si="12"/>
        <v>0</v>
      </c>
      <c r="E103" s="87">
        <f>'シミュレーション計算用（変更不要）'!M80</f>
        <v>0</v>
      </c>
      <c r="F103" s="29">
        <f t="shared" si="13"/>
        <v>0</v>
      </c>
      <c r="G103" s="87">
        <f>IF(OR($D$16="",$G$6=0),0,EuropeanOptionPrice($H$6,$E103,0,$I$6,$D$10:$D$15)*$G$6)</f>
        <v>0</v>
      </c>
      <c r="H103" s="87">
        <f>IF(OR($D$16="",$G$7=0),0,EuropeanOptionPrice($H$7,$E103,0,$I$7,$D$10:$D$15)*$G$7)</f>
        <v>0</v>
      </c>
      <c r="I103" s="87">
        <f>IF(OR($D$16="",$G$11=0),0,'シミュレーション計算用（変更不要）'!T80*'シミュレーション計算用（変更不要）'!T183)</f>
        <v>0</v>
      </c>
      <c r="J103" s="87">
        <f>IF(OR($D$16="",$G$12=0),0,'シミュレーション計算用（変更不要）'!AA80*'シミュレーション計算用（変更不要）'!AA183)</f>
        <v>0</v>
      </c>
      <c r="K103" s="87">
        <f t="shared" si="10"/>
        <v>0</v>
      </c>
      <c r="L103" s="87">
        <f t="shared" si="11"/>
        <v>0</v>
      </c>
      <c r="M103" s="92">
        <f t="shared" si="14"/>
        <v>0</v>
      </c>
      <c r="N103" s="81"/>
    </row>
    <row r="104" spans="2:14" ht="14.25" x14ac:dyDescent="0.15">
      <c r="B104" s="80"/>
      <c r="C104" s="18">
        <v>78</v>
      </c>
      <c r="D104" s="87">
        <f t="shared" si="12"/>
        <v>0</v>
      </c>
      <c r="E104" s="87">
        <f>'シミュレーション計算用（変更不要）'!M81</f>
        <v>0</v>
      </c>
      <c r="F104" s="29">
        <f t="shared" si="13"/>
        <v>0</v>
      </c>
      <c r="G104" s="87">
        <f>IF(OR($D$16="",$G$6=0),0,EuropeanOptionPrice($H$6,$E104,0,$I$6,$D$10:$D$15)*$G$6)</f>
        <v>0</v>
      </c>
      <c r="H104" s="87">
        <f>IF(OR($D$16="",$G$7=0),0,EuropeanOptionPrice($H$7,$E104,0,$I$7,$D$10:$D$15)*$G$7)</f>
        <v>0</v>
      </c>
      <c r="I104" s="87">
        <f>IF(OR($D$16="",$G$11=0),0,'シミュレーション計算用（変更不要）'!T81*'シミュレーション計算用（変更不要）'!T184)</f>
        <v>0</v>
      </c>
      <c r="J104" s="87">
        <f>IF(OR($D$16="",$G$12=0),0,'シミュレーション計算用（変更不要）'!AA81*'シミュレーション計算用（変更不要）'!AA184)</f>
        <v>0</v>
      </c>
      <c r="K104" s="87">
        <f t="shared" si="10"/>
        <v>0</v>
      </c>
      <c r="L104" s="87">
        <f t="shared" si="11"/>
        <v>0</v>
      </c>
      <c r="M104" s="92">
        <f t="shared" si="14"/>
        <v>0</v>
      </c>
      <c r="N104" s="81"/>
    </row>
    <row r="105" spans="2:14" ht="14.25" x14ac:dyDescent="0.15">
      <c r="B105" s="80"/>
      <c r="C105" s="18">
        <v>79</v>
      </c>
      <c r="D105" s="87">
        <f t="shared" si="12"/>
        <v>0</v>
      </c>
      <c r="E105" s="87">
        <f>'シミュレーション計算用（変更不要）'!M82</f>
        <v>0</v>
      </c>
      <c r="F105" s="29">
        <f t="shared" si="13"/>
        <v>0</v>
      </c>
      <c r="G105" s="87">
        <f>IF(OR($D$16="",$G$6=0),0,EuropeanOptionPrice($H$6,$E105,0,$I$6,$D$10:$D$15)*$G$6)</f>
        <v>0</v>
      </c>
      <c r="H105" s="87">
        <f>IF(OR($D$16="",$G$7=0),0,EuropeanOptionPrice($H$7,$E105,0,$I$7,$D$10:$D$15)*$G$7)</f>
        <v>0</v>
      </c>
      <c r="I105" s="87">
        <f>IF(OR($D$16="",$G$11=0),0,'シミュレーション計算用（変更不要）'!T82*'シミュレーション計算用（変更不要）'!T185)</f>
        <v>0</v>
      </c>
      <c r="J105" s="87">
        <f>IF(OR($D$16="",$G$12=0),0,'シミュレーション計算用（変更不要）'!AA82*'シミュレーション計算用（変更不要）'!AA185)</f>
        <v>0</v>
      </c>
      <c r="K105" s="87">
        <f t="shared" si="10"/>
        <v>0</v>
      </c>
      <c r="L105" s="87">
        <f t="shared" si="11"/>
        <v>0</v>
      </c>
      <c r="M105" s="92">
        <f t="shared" si="14"/>
        <v>0</v>
      </c>
      <c r="N105" s="81"/>
    </row>
    <row r="106" spans="2:14" ht="14.25" x14ac:dyDescent="0.15">
      <c r="B106" s="80"/>
      <c r="C106" s="18">
        <v>80</v>
      </c>
      <c r="D106" s="87">
        <f t="shared" si="12"/>
        <v>0</v>
      </c>
      <c r="E106" s="87">
        <f>'シミュレーション計算用（変更不要）'!M83</f>
        <v>0</v>
      </c>
      <c r="F106" s="29">
        <f t="shared" si="13"/>
        <v>0</v>
      </c>
      <c r="G106" s="87">
        <f>IF(OR($D$16="",$G$6=0),0,EuropeanOptionPrice($H$6,$E106,0,$I$6,$D$10:$D$15)*$G$6)</f>
        <v>0</v>
      </c>
      <c r="H106" s="87">
        <f>IF(OR($D$16="",$G$7=0),0,EuropeanOptionPrice($H$7,$E106,0,$I$7,$D$10:$D$15)*$G$7)</f>
        <v>0</v>
      </c>
      <c r="I106" s="87">
        <f>IF(OR($D$16="",$G$11=0),0,'シミュレーション計算用（変更不要）'!T83*'シミュレーション計算用（変更不要）'!T186)</f>
        <v>0</v>
      </c>
      <c r="J106" s="87">
        <f>IF(OR($D$16="",$G$12=0),0,'シミュレーション計算用（変更不要）'!AA83*'シミュレーション計算用（変更不要）'!AA186)</f>
        <v>0</v>
      </c>
      <c r="K106" s="87">
        <f t="shared" si="10"/>
        <v>0</v>
      </c>
      <c r="L106" s="87">
        <f t="shared" si="11"/>
        <v>0</v>
      </c>
      <c r="M106" s="92">
        <f t="shared" si="14"/>
        <v>0</v>
      </c>
      <c r="N106" s="81"/>
    </row>
    <row r="107" spans="2:14" ht="14.25" x14ac:dyDescent="0.15">
      <c r="B107" s="80"/>
      <c r="C107" s="18">
        <v>81</v>
      </c>
      <c r="D107" s="87">
        <f t="shared" si="12"/>
        <v>0</v>
      </c>
      <c r="E107" s="87">
        <f>'シミュレーション計算用（変更不要）'!M84</f>
        <v>0</v>
      </c>
      <c r="F107" s="29">
        <f t="shared" si="13"/>
        <v>0</v>
      </c>
      <c r="G107" s="87">
        <f>IF(OR($D$16="",$G$6=0),0,EuropeanOptionPrice($H$6,$E107,0,$I$6,$D$10:$D$15)*$G$6)</f>
        <v>0</v>
      </c>
      <c r="H107" s="87">
        <f>IF(OR($D$16="",$G$7=0),0,EuropeanOptionPrice($H$7,$E107,0,$I$7,$D$10:$D$15)*$G$7)</f>
        <v>0</v>
      </c>
      <c r="I107" s="87">
        <f>IF(OR($D$16="",$G$11=0),0,'シミュレーション計算用（変更不要）'!T84*'シミュレーション計算用（変更不要）'!T187)</f>
        <v>0</v>
      </c>
      <c r="J107" s="87">
        <f>IF(OR($D$16="",$G$12=0),0,'シミュレーション計算用（変更不要）'!AA84*'シミュレーション計算用（変更不要）'!AA187)</f>
        <v>0</v>
      </c>
      <c r="K107" s="87">
        <f t="shared" si="10"/>
        <v>0</v>
      </c>
      <c r="L107" s="87">
        <f t="shared" si="11"/>
        <v>0</v>
      </c>
      <c r="M107" s="92">
        <f t="shared" si="14"/>
        <v>0</v>
      </c>
      <c r="N107" s="81"/>
    </row>
    <row r="108" spans="2:14" ht="14.25" x14ac:dyDescent="0.15">
      <c r="B108" s="80"/>
      <c r="C108" s="18">
        <v>82</v>
      </c>
      <c r="D108" s="87">
        <f t="shared" si="12"/>
        <v>0</v>
      </c>
      <c r="E108" s="87">
        <f>'シミュレーション計算用（変更不要）'!M85</f>
        <v>0</v>
      </c>
      <c r="F108" s="29">
        <f t="shared" si="13"/>
        <v>0</v>
      </c>
      <c r="G108" s="87">
        <f>IF(OR($D$16="",$G$6=0),0,EuropeanOptionPrice($H$6,$E108,0,$I$6,$D$10:$D$15)*$G$6)</f>
        <v>0</v>
      </c>
      <c r="H108" s="87">
        <f>IF(OR($D$16="",$G$7=0),0,EuropeanOptionPrice($H$7,$E108,0,$I$7,$D$10:$D$15)*$G$7)</f>
        <v>0</v>
      </c>
      <c r="I108" s="87">
        <f>IF(OR($D$16="",$G$11=0),0,'シミュレーション計算用（変更不要）'!T85*'シミュレーション計算用（変更不要）'!T188)</f>
        <v>0</v>
      </c>
      <c r="J108" s="87">
        <f>IF(OR($D$16="",$G$12=0),0,'シミュレーション計算用（変更不要）'!AA85*'シミュレーション計算用（変更不要）'!AA188)</f>
        <v>0</v>
      </c>
      <c r="K108" s="87">
        <f t="shared" si="10"/>
        <v>0</v>
      </c>
      <c r="L108" s="87">
        <f t="shared" si="11"/>
        <v>0</v>
      </c>
      <c r="M108" s="92">
        <f t="shared" si="14"/>
        <v>0</v>
      </c>
      <c r="N108" s="81"/>
    </row>
    <row r="109" spans="2:14" ht="14.25" x14ac:dyDescent="0.15">
      <c r="B109" s="80"/>
      <c r="C109" s="18">
        <v>83</v>
      </c>
      <c r="D109" s="87">
        <f t="shared" si="12"/>
        <v>0</v>
      </c>
      <c r="E109" s="87">
        <f>'シミュレーション計算用（変更不要）'!M86</f>
        <v>0</v>
      </c>
      <c r="F109" s="29">
        <f t="shared" si="13"/>
        <v>0</v>
      </c>
      <c r="G109" s="87">
        <f>IF(OR($D$16="",$G$6=0),0,EuropeanOptionPrice($H$6,$E109,0,$I$6,$D$10:$D$15)*$G$6)</f>
        <v>0</v>
      </c>
      <c r="H109" s="87">
        <f>IF(OR($D$16="",$G$7=0),0,EuropeanOptionPrice($H$7,$E109,0,$I$7,$D$10:$D$15)*$G$7)</f>
        <v>0</v>
      </c>
      <c r="I109" s="87">
        <f>IF(OR($D$16="",$G$11=0),0,'シミュレーション計算用（変更不要）'!T86*'シミュレーション計算用（変更不要）'!T189)</f>
        <v>0</v>
      </c>
      <c r="J109" s="87">
        <f>IF(OR($D$16="",$G$12=0),0,'シミュレーション計算用（変更不要）'!AA86*'シミュレーション計算用（変更不要）'!AA189)</f>
        <v>0</v>
      </c>
      <c r="K109" s="87">
        <f t="shared" si="10"/>
        <v>0</v>
      </c>
      <c r="L109" s="87">
        <f t="shared" si="11"/>
        <v>0</v>
      </c>
      <c r="M109" s="92">
        <f t="shared" si="14"/>
        <v>0</v>
      </c>
      <c r="N109" s="81"/>
    </row>
    <row r="110" spans="2:14" ht="14.25" x14ac:dyDescent="0.15">
      <c r="B110" s="80"/>
      <c r="C110" s="18">
        <v>84</v>
      </c>
      <c r="D110" s="87">
        <f t="shared" si="12"/>
        <v>0</v>
      </c>
      <c r="E110" s="87">
        <f>'シミュレーション計算用（変更不要）'!M87</f>
        <v>0</v>
      </c>
      <c r="F110" s="29">
        <f t="shared" si="13"/>
        <v>0</v>
      </c>
      <c r="G110" s="87">
        <f>IF(OR($D$16="",$G$6=0),0,EuropeanOptionPrice($H$6,$E110,0,$I$6,$D$10:$D$15)*$G$6)</f>
        <v>0</v>
      </c>
      <c r="H110" s="87">
        <f>IF(OR($D$16="",$G$7=0),0,EuropeanOptionPrice($H$7,$E110,0,$I$7,$D$10:$D$15)*$G$7)</f>
        <v>0</v>
      </c>
      <c r="I110" s="87">
        <f>IF(OR($D$16="",$G$11=0),0,'シミュレーション計算用（変更不要）'!T87*'シミュレーション計算用（変更不要）'!T190)</f>
        <v>0</v>
      </c>
      <c r="J110" s="87">
        <f>IF(OR($D$16="",$G$12=0),0,'シミュレーション計算用（変更不要）'!AA87*'シミュレーション計算用（変更不要）'!AA190)</f>
        <v>0</v>
      </c>
      <c r="K110" s="87">
        <f t="shared" si="10"/>
        <v>0</v>
      </c>
      <c r="L110" s="87">
        <f t="shared" si="11"/>
        <v>0</v>
      </c>
      <c r="M110" s="92">
        <f t="shared" si="14"/>
        <v>0</v>
      </c>
      <c r="N110" s="81"/>
    </row>
    <row r="111" spans="2:14" ht="14.25" x14ac:dyDescent="0.15">
      <c r="B111" s="80"/>
      <c r="C111" s="18">
        <v>85</v>
      </c>
      <c r="D111" s="87">
        <f t="shared" si="12"/>
        <v>0</v>
      </c>
      <c r="E111" s="87">
        <f>'シミュレーション計算用（変更不要）'!M88</f>
        <v>0</v>
      </c>
      <c r="F111" s="29">
        <f t="shared" si="13"/>
        <v>0</v>
      </c>
      <c r="G111" s="87">
        <f>IF(OR($D$16="",$G$6=0),0,EuropeanOptionPrice($H$6,$E111,0,$I$6,$D$10:$D$15)*$G$6)</f>
        <v>0</v>
      </c>
      <c r="H111" s="87">
        <f>IF(OR($D$16="",$G$7=0),0,EuropeanOptionPrice($H$7,$E111,0,$I$7,$D$10:$D$15)*$G$7)</f>
        <v>0</v>
      </c>
      <c r="I111" s="87">
        <f>IF(OR($D$16="",$G$11=0),0,'シミュレーション計算用（変更不要）'!T88*'シミュレーション計算用（変更不要）'!T191)</f>
        <v>0</v>
      </c>
      <c r="J111" s="87">
        <f>IF(OR($D$16="",$G$12=0),0,'シミュレーション計算用（変更不要）'!AA88*'シミュレーション計算用（変更不要）'!AA191)</f>
        <v>0</v>
      </c>
      <c r="K111" s="87">
        <f t="shared" si="10"/>
        <v>0</v>
      </c>
      <c r="L111" s="87">
        <f t="shared" si="11"/>
        <v>0</v>
      </c>
      <c r="M111" s="92">
        <f t="shared" si="14"/>
        <v>0</v>
      </c>
      <c r="N111" s="81"/>
    </row>
    <row r="112" spans="2:14" ht="14.25" x14ac:dyDescent="0.15">
      <c r="B112" s="80"/>
      <c r="C112" s="18">
        <v>86</v>
      </c>
      <c r="D112" s="87">
        <f t="shared" si="12"/>
        <v>0</v>
      </c>
      <c r="E112" s="87">
        <f>'シミュレーション計算用（変更不要）'!M89</f>
        <v>0</v>
      </c>
      <c r="F112" s="29">
        <f t="shared" si="13"/>
        <v>0</v>
      </c>
      <c r="G112" s="87">
        <f>IF(OR($D$16="",$G$6=0),0,EuropeanOptionPrice($H$6,$E112,0,$I$6,$D$10:$D$15)*$G$6)</f>
        <v>0</v>
      </c>
      <c r="H112" s="87">
        <f>IF(OR($D$16="",$G$7=0),0,EuropeanOptionPrice($H$7,$E112,0,$I$7,$D$10:$D$15)*$G$7)</f>
        <v>0</v>
      </c>
      <c r="I112" s="87">
        <f>IF(OR($D$16="",$G$11=0),0,'シミュレーション計算用（変更不要）'!T89*'シミュレーション計算用（変更不要）'!T192)</f>
        <v>0</v>
      </c>
      <c r="J112" s="87">
        <f>IF(OR($D$16="",$G$12=0),0,'シミュレーション計算用（変更不要）'!AA89*'シミュレーション計算用（変更不要）'!AA192)</f>
        <v>0</v>
      </c>
      <c r="K112" s="87">
        <f t="shared" si="10"/>
        <v>0</v>
      </c>
      <c r="L112" s="87">
        <f t="shared" si="11"/>
        <v>0</v>
      </c>
      <c r="M112" s="92">
        <f t="shared" si="14"/>
        <v>0</v>
      </c>
      <c r="N112" s="81"/>
    </row>
    <row r="113" spans="2:14" ht="14.25" x14ac:dyDescent="0.15">
      <c r="B113" s="80"/>
      <c r="C113" s="18">
        <v>87</v>
      </c>
      <c r="D113" s="87">
        <f t="shared" si="12"/>
        <v>0</v>
      </c>
      <c r="E113" s="87">
        <f>'シミュレーション計算用（変更不要）'!M90</f>
        <v>0</v>
      </c>
      <c r="F113" s="29">
        <f t="shared" si="13"/>
        <v>0</v>
      </c>
      <c r="G113" s="87">
        <f>IF(OR($D$16="",$G$6=0),0,EuropeanOptionPrice($H$6,$E113,0,$I$6,$D$10:$D$15)*$G$6)</f>
        <v>0</v>
      </c>
      <c r="H113" s="87">
        <f>IF(OR($D$16="",$G$7=0),0,EuropeanOptionPrice($H$7,$E113,0,$I$7,$D$10:$D$15)*$G$7)</f>
        <v>0</v>
      </c>
      <c r="I113" s="87">
        <f>IF(OR($D$16="",$G$11=0),0,'シミュレーション計算用（変更不要）'!T90*'シミュレーション計算用（変更不要）'!T193)</f>
        <v>0</v>
      </c>
      <c r="J113" s="87">
        <f>IF(OR($D$16="",$G$12=0),0,'シミュレーション計算用（変更不要）'!AA90*'シミュレーション計算用（変更不要）'!AA193)</f>
        <v>0</v>
      </c>
      <c r="K113" s="87">
        <f t="shared" si="10"/>
        <v>0</v>
      </c>
      <c r="L113" s="87">
        <f t="shared" si="11"/>
        <v>0</v>
      </c>
      <c r="M113" s="92">
        <f t="shared" si="14"/>
        <v>0</v>
      </c>
      <c r="N113" s="81"/>
    </row>
    <row r="114" spans="2:14" ht="14.25" x14ac:dyDescent="0.15">
      <c r="B114" s="80"/>
      <c r="C114" s="18">
        <v>88</v>
      </c>
      <c r="D114" s="87">
        <f t="shared" si="12"/>
        <v>0</v>
      </c>
      <c r="E114" s="87">
        <f>'シミュレーション計算用（変更不要）'!M91</f>
        <v>0</v>
      </c>
      <c r="F114" s="29">
        <f t="shared" si="13"/>
        <v>0</v>
      </c>
      <c r="G114" s="87">
        <f>IF(OR($D$16="",$G$6=0),0,EuropeanOptionPrice($H$6,$E114,0,$I$6,$D$10:$D$15)*$G$6)</f>
        <v>0</v>
      </c>
      <c r="H114" s="87">
        <f>IF(OR($D$16="",$G$7=0),0,EuropeanOptionPrice($H$7,$E114,0,$I$7,$D$10:$D$15)*$G$7)</f>
        <v>0</v>
      </c>
      <c r="I114" s="87">
        <f>IF(OR($D$16="",$G$11=0),0,'シミュレーション計算用（変更不要）'!T91*'シミュレーション計算用（変更不要）'!T194)</f>
        <v>0</v>
      </c>
      <c r="J114" s="87">
        <f>IF(OR($D$16="",$G$12=0),0,'シミュレーション計算用（変更不要）'!AA91*'シミュレーション計算用（変更不要）'!AA194)</f>
        <v>0</v>
      </c>
      <c r="K114" s="87">
        <f t="shared" si="10"/>
        <v>0</v>
      </c>
      <c r="L114" s="87">
        <f t="shared" si="11"/>
        <v>0</v>
      </c>
      <c r="M114" s="92">
        <f t="shared" si="14"/>
        <v>0</v>
      </c>
      <c r="N114" s="81"/>
    </row>
    <row r="115" spans="2:14" ht="14.25" x14ac:dyDescent="0.15">
      <c r="B115" s="80"/>
      <c r="C115" s="18">
        <v>89</v>
      </c>
      <c r="D115" s="87">
        <f t="shared" si="12"/>
        <v>0</v>
      </c>
      <c r="E115" s="87">
        <f>'シミュレーション計算用（変更不要）'!M92</f>
        <v>0</v>
      </c>
      <c r="F115" s="29">
        <f t="shared" si="13"/>
        <v>0</v>
      </c>
      <c r="G115" s="87">
        <f>IF(OR($D$16="",$G$6=0),0,EuropeanOptionPrice($H$6,$E115,0,$I$6,$D$10:$D$15)*$G$6)</f>
        <v>0</v>
      </c>
      <c r="H115" s="87">
        <f>IF(OR($D$16="",$G$7=0),0,EuropeanOptionPrice($H$7,$E115,0,$I$7,$D$10:$D$15)*$G$7)</f>
        <v>0</v>
      </c>
      <c r="I115" s="87">
        <f>IF(OR($D$16="",$G$11=0),0,'シミュレーション計算用（変更不要）'!T92*'シミュレーション計算用（変更不要）'!T195)</f>
        <v>0</v>
      </c>
      <c r="J115" s="87">
        <f>IF(OR($D$16="",$G$12=0),0,'シミュレーション計算用（変更不要）'!AA92*'シミュレーション計算用（変更不要）'!AA195)</f>
        <v>0</v>
      </c>
      <c r="K115" s="87">
        <f t="shared" si="10"/>
        <v>0</v>
      </c>
      <c r="L115" s="87">
        <f t="shared" si="11"/>
        <v>0</v>
      </c>
      <c r="M115" s="92">
        <f t="shared" si="14"/>
        <v>0</v>
      </c>
      <c r="N115" s="81"/>
    </row>
    <row r="116" spans="2:14" ht="14.25" x14ac:dyDescent="0.15">
      <c r="B116" s="80"/>
      <c r="C116" s="18">
        <v>90</v>
      </c>
      <c r="D116" s="87">
        <f t="shared" si="12"/>
        <v>0</v>
      </c>
      <c r="E116" s="87">
        <f>'シミュレーション計算用（変更不要）'!M93</f>
        <v>0</v>
      </c>
      <c r="F116" s="29">
        <f t="shared" si="13"/>
        <v>0</v>
      </c>
      <c r="G116" s="87">
        <f>IF(OR($D$16="",$G$6=0),0,EuropeanOptionPrice($H$6,$E116,0,$I$6,$D$10:$D$15)*$G$6)</f>
        <v>0</v>
      </c>
      <c r="H116" s="87">
        <f>IF(OR($D$16="",$G$7=0),0,EuropeanOptionPrice($H$7,$E116,0,$I$7,$D$10:$D$15)*$G$7)</f>
        <v>0</v>
      </c>
      <c r="I116" s="87">
        <f>IF(OR($D$16="",$G$11=0),0,'シミュレーション計算用（変更不要）'!T93*'シミュレーション計算用（変更不要）'!T196)</f>
        <v>0</v>
      </c>
      <c r="J116" s="87">
        <f>IF(OR($D$16="",$G$12=0),0,'シミュレーション計算用（変更不要）'!AA93*'シミュレーション計算用（変更不要）'!AA196)</f>
        <v>0</v>
      </c>
      <c r="K116" s="87">
        <f t="shared" si="10"/>
        <v>0</v>
      </c>
      <c r="L116" s="87">
        <f t="shared" si="11"/>
        <v>0</v>
      </c>
      <c r="M116" s="92">
        <f t="shared" si="14"/>
        <v>0</v>
      </c>
      <c r="N116" s="81"/>
    </row>
    <row r="117" spans="2:14" ht="14.25" x14ac:dyDescent="0.15">
      <c r="B117" s="80"/>
      <c r="C117" s="18">
        <v>91</v>
      </c>
      <c r="D117" s="87">
        <f t="shared" si="12"/>
        <v>0</v>
      </c>
      <c r="E117" s="87">
        <f>'シミュレーション計算用（変更不要）'!M94</f>
        <v>0</v>
      </c>
      <c r="F117" s="29">
        <f t="shared" si="13"/>
        <v>0</v>
      </c>
      <c r="G117" s="87">
        <f>IF(OR($D$16="",$G$6=0),0,EuropeanOptionPrice($H$6,$E117,0,$I$6,$D$10:$D$15)*$G$6)</f>
        <v>0</v>
      </c>
      <c r="H117" s="87">
        <f>IF(OR($D$16="",$G$7=0),0,EuropeanOptionPrice($H$7,$E117,0,$I$7,$D$10:$D$15)*$G$7)</f>
        <v>0</v>
      </c>
      <c r="I117" s="87">
        <f>IF(OR($D$16="",$G$11=0),0,'シミュレーション計算用（変更不要）'!T94*'シミュレーション計算用（変更不要）'!T197)</f>
        <v>0</v>
      </c>
      <c r="J117" s="87">
        <f>IF(OR($D$16="",$G$12=0),0,'シミュレーション計算用（変更不要）'!AA94*'シミュレーション計算用（変更不要）'!AA197)</f>
        <v>0</v>
      </c>
      <c r="K117" s="87">
        <f t="shared" si="10"/>
        <v>0</v>
      </c>
      <c r="L117" s="87">
        <f t="shared" si="11"/>
        <v>0</v>
      </c>
      <c r="M117" s="92">
        <f t="shared" si="14"/>
        <v>0</v>
      </c>
      <c r="N117" s="81"/>
    </row>
    <row r="118" spans="2:14" ht="14.25" x14ac:dyDescent="0.15">
      <c r="B118" s="80"/>
      <c r="C118" s="18">
        <v>92</v>
      </c>
      <c r="D118" s="87">
        <f t="shared" si="12"/>
        <v>0</v>
      </c>
      <c r="E118" s="87">
        <f>'シミュレーション計算用（変更不要）'!M95</f>
        <v>0</v>
      </c>
      <c r="F118" s="29">
        <f t="shared" si="13"/>
        <v>0</v>
      </c>
      <c r="G118" s="87">
        <f>IF(OR($D$16="",$G$6=0),0,EuropeanOptionPrice($H$6,$E118,0,$I$6,$D$10:$D$15)*$G$6)</f>
        <v>0</v>
      </c>
      <c r="H118" s="87">
        <f>IF(OR($D$16="",$G$7=0),0,EuropeanOptionPrice($H$7,$E118,0,$I$7,$D$10:$D$15)*$G$7)</f>
        <v>0</v>
      </c>
      <c r="I118" s="87">
        <f>IF(OR($D$16="",$G$11=0),0,'シミュレーション計算用（変更不要）'!T95*'シミュレーション計算用（変更不要）'!T198)</f>
        <v>0</v>
      </c>
      <c r="J118" s="87">
        <f>IF(OR($D$16="",$G$12=0),0,'シミュレーション計算用（変更不要）'!AA95*'シミュレーション計算用（変更不要）'!AA198)</f>
        <v>0</v>
      </c>
      <c r="K118" s="87">
        <f t="shared" si="10"/>
        <v>0</v>
      </c>
      <c r="L118" s="87">
        <f t="shared" si="11"/>
        <v>0</v>
      </c>
      <c r="M118" s="92">
        <f t="shared" si="14"/>
        <v>0</v>
      </c>
      <c r="N118" s="81"/>
    </row>
    <row r="119" spans="2:14" ht="14.25" x14ac:dyDescent="0.15">
      <c r="B119" s="80"/>
      <c r="C119" s="18">
        <v>93</v>
      </c>
      <c r="D119" s="87">
        <f t="shared" si="12"/>
        <v>0</v>
      </c>
      <c r="E119" s="87">
        <f>'シミュレーション計算用（変更不要）'!M96</f>
        <v>0</v>
      </c>
      <c r="F119" s="29">
        <f t="shared" si="13"/>
        <v>0</v>
      </c>
      <c r="G119" s="87">
        <f>IF(OR($D$16="",$G$6=0),0,EuropeanOptionPrice($H$6,$E119,0,$I$6,$D$10:$D$15)*$G$6)</f>
        <v>0</v>
      </c>
      <c r="H119" s="87">
        <f>IF(OR($D$16="",$G$7=0),0,EuropeanOptionPrice($H$7,$E119,0,$I$7,$D$10:$D$15)*$G$7)</f>
        <v>0</v>
      </c>
      <c r="I119" s="87">
        <f>IF(OR($D$16="",$G$11=0),0,'シミュレーション計算用（変更不要）'!T96*'シミュレーション計算用（変更不要）'!T199)</f>
        <v>0</v>
      </c>
      <c r="J119" s="87">
        <f>IF(OR($D$16="",$G$12=0),0,'シミュレーション計算用（変更不要）'!AA96*'シミュレーション計算用（変更不要）'!AA199)</f>
        <v>0</v>
      </c>
      <c r="K119" s="87">
        <f t="shared" si="10"/>
        <v>0</v>
      </c>
      <c r="L119" s="87">
        <f t="shared" si="11"/>
        <v>0</v>
      </c>
      <c r="M119" s="92">
        <f t="shared" si="14"/>
        <v>0</v>
      </c>
      <c r="N119" s="81"/>
    </row>
    <row r="120" spans="2:14" ht="14.25" x14ac:dyDescent="0.15">
      <c r="B120" s="80"/>
      <c r="C120" s="18">
        <v>94</v>
      </c>
      <c r="D120" s="87">
        <f t="shared" si="12"/>
        <v>0</v>
      </c>
      <c r="E120" s="87">
        <f>'シミュレーション計算用（変更不要）'!M97</f>
        <v>0</v>
      </c>
      <c r="F120" s="29">
        <f t="shared" si="13"/>
        <v>0</v>
      </c>
      <c r="G120" s="87">
        <f>IF(OR($D$16="",$G$6=0),0,EuropeanOptionPrice($H$6,$E120,0,$I$6,$D$10:$D$15)*$G$6)</f>
        <v>0</v>
      </c>
      <c r="H120" s="87">
        <f>IF(OR($D$16="",$G$7=0),0,EuropeanOptionPrice($H$7,$E120,0,$I$7,$D$10:$D$15)*$G$7)</f>
        <v>0</v>
      </c>
      <c r="I120" s="87">
        <f>IF(OR($D$16="",$G$11=0),0,'シミュレーション計算用（変更不要）'!T97*'シミュレーション計算用（変更不要）'!T200)</f>
        <v>0</v>
      </c>
      <c r="J120" s="87">
        <f>IF(OR($D$16="",$G$12=0),0,'シミュレーション計算用（変更不要）'!AA97*'シミュレーション計算用（変更不要）'!AA200)</f>
        <v>0</v>
      </c>
      <c r="K120" s="87">
        <f t="shared" si="10"/>
        <v>0</v>
      </c>
      <c r="L120" s="87">
        <f t="shared" si="11"/>
        <v>0</v>
      </c>
      <c r="M120" s="92">
        <f t="shared" si="14"/>
        <v>0</v>
      </c>
      <c r="N120" s="81"/>
    </row>
    <row r="121" spans="2:14" ht="14.25" x14ac:dyDescent="0.15">
      <c r="B121" s="80"/>
      <c r="C121" s="18">
        <v>95</v>
      </c>
      <c r="D121" s="87">
        <f t="shared" si="12"/>
        <v>0</v>
      </c>
      <c r="E121" s="87">
        <f>'シミュレーション計算用（変更不要）'!M98</f>
        <v>0</v>
      </c>
      <c r="F121" s="29">
        <f t="shared" si="13"/>
        <v>0</v>
      </c>
      <c r="G121" s="87">
        <f>IF(OR($D$16="",$G$6=0),0,EuropeanOptionPrice($H$6,$E121,0,$I$6,$D$10:$D$15)*$G$6)</f>
        <v>0</v>
      </c>
      <c r="H121" s="87">
        <f>IF(OR($D$16="",$G$7=0),0,EuropeanOptionPrice($H$7,$E121,0,$I$7,$D$10:$D$15)*$G$7)</f>
        <v>0</v>
      </c>
      <c r="I121" s="87">
        <f>IF(OR($D$16="",$G$11=0),0,'シミュレーション計算用（変更不要）'!T98*'シミュレーション計算用（変更不要）'!T201)</f>
        <v>0</v>
      </c>
      <c r="J121" s="87">
        <f>IF(OR($D$16="",$G$12=0),0,'シミュレーション計算用（変更不要）'!AA98*'シミュレーション計算用（変更不要）'!AA201)</f>
        <v>0</v>
      </c>
      <c r="K121" s="87">
        <f t="shared" si="10"/>
        <v>0</v>
      </c>
      <c r="L121" s="87">
        <f t="shared" si="11"/>
        <v>0</v>
      </c>
      <c r="M121" s="92">
        <f t="shared" si="14"/>
        <v>0</v>
      </c>
      <c r="N121" s="81"/>
    </row>
    <row r="122" spans="2:14" ht="14.25" x14ac:dyDescent="0.15">
      <c r="B122" s="80"/>
      <c r="C122" s="18">
        <v>96</v>
      </c>
      <c r="D122" s="87">
        <f t="shared" si="12"/>
        <v>0</v>
      </c>
      <c r="E122" s="87">
        <f>'シミュレーション計算用（変更不要）'!M99</f>
        <v>0</v>
      </c>
      <c r="F122" s="29">
        <f t="shared" si="13"/>
        <v>0</v>
      </c>
      <c r="G122" s="87">
        <f>IF(OR($D$16="",$G$6=0),0,EuropeanOptionPrice($H$6,$E122,0,$I$6,$D$10:$D$15)*$G$6)</f>
        <v>0</v>
      </c>
      <c r="H122" s="87">
        <f>IF(OR($D$16="",$G$7=0),0,EuropeanOptionPrice($H$7,$E122,0,$I$7,$D$10:$D$15)*$G$7)</f>
        <v>0</v>
      </c>
      <c r="I122" s="87">
        <f>IF(OR($D$16="",$G$11=0),0,'シミュレーション計算用（変更不要）'!T99*'シミュレーション計算用（変更不要）'!T202)</f>
        <v>0</v>
      </c>
      <c r="J122" s="87">
        <f>IF(OR($D$16="",$G$12=0),0,'シミュレーション計算用（変更不要）'!AA99*'シミュレーション計算用（変更不要）'!AA202)</f>
        <v>0</v>
      </c>
      <c r="K122" s="87">
        <f t="shared" si="10"/>
        <v>0</v>
      </c>
      <c r="L122" s="87">
        <f t="shared" si="11"/>
        <v>0</v>
      </c>
      <c r="M122" s="92">
        <f t="shared" si="14"/>
        <v>0</v>
      </c>
      <c r="N122" s="81"/>
    </row>
    <row r="123" spans="2:14" ht="14.25" x14ac:dyDescent="0.15">
      <c r="B123" s="80"/>
      <c r="C123" s="18">
        <v>97</v>
      </c>
      <c r="D123" s="87">
        <f t="shared" si="12"/>
        <v>0</v>
      </c>
      <c r="E123" s="87">
        <f>'シミュレーション計算用（変更不要）'!M100</f>
        <v>0</v>
      </c>
      <c r="F123" s="29">
        <f t="shared" si="13"/>
        <v>0</v>
      </c>
      <c r="G123" s="87">
        <f>IF(OR($D$16="",$G$6=0),0,EuropeanOptionPrice($H$6,$E123,0,$I$6,$D$10:$D$15)*$G$6)</f>
        <v>0</v>
      </c>
      <c r="H123" s="87">
        <f>IF(OR($D$16="",$G$7=0),0,EuropeanOptionPrice($H$7,$E123,0,$I$7,$D$10:$D$15)*$G$7)</f>
        <v>0</v>
      </c>
      <c r="I123" s="87">
        <f>IF(OR($D$16="",$G$11=0),0,'シミュレーション計算用（変更不要）'!T100*'シミュレーション計算用（変更不要）'!T203)</f>
        <v>0</v>
      </c>
      <c r="J123" s="87">
        <f>IF(OR($D$16="",$G$12=0),0,'シミュレーション計算用（変更不要）'!AA100*'シミュレーション計算用（変更不要）'!AA203)</f>
        <v>0</v>
      </c>
      <c r="K123" s="87">
        <f>SUM(G123:J123)</f>
        <v>0</v>
      </c>
      <c r="L123" s="87">
        <f>E123+K123</f>
        <v>0</v>
      </c>
      <c r="M123" s="92">
        <f t="shared" si="14"/>
        <v>0</v>
      </c>
      <c r="N123" s="81"/>
    </row>
    <row r="124" spans="2:14" ht="14.25" x14ac:dyDescent="0.15">
      <c r="B124" s="80"/>
      <c r="C124" s="18">
        <v>98</v>
      </c>
      <c r="D124" s="87">
        <f t="shared" si="12"/>
        <v>0</v>
      </c>
      <c r="E124" s="87">
        <f>'シミュレーション計算用（変更不要）'!M101</f>
        <v>0</v>
      </c>
      <c r="F124" s="29">
        <f t="shared" si="13"/>
        <v>0</v>
      </c>
      <c r="G124" s="87">
        <f>IF(OR($D$16="",$G$6=0),0,EuropeanOptionPrice($H$6,$E124,0,$I$6,$D$10:$D$15)*$G$6)</f>
        <v>0</v>
      </c>
      <c r="H124" s="87">
        <f>IF(OR($D$16="",$G$7=0),0,EuropeanOptionPrice($H$7,$E124,0,$I$7,$D$10:$D$15)*$G$7)</f>
        <v>0</v>
      </c>
      <c r="I124" s="87">
        <f>IF(OR($D$16="",$G$11=0),0,'シミュレーション計算用（変更不要）'!T101*'シミュレーション計算用（変更不要）'!T204)</f>
        <v>0</v>
      </c>
      <c r="J124" s="87">
        <f>IF(OR($D$16="",$G$12=0),0,'シミュレーション計算用（変更不要）'!AA101*'シミュレーション計算用（変更不要）'!AA204)</f>
        <v>0</v>
      </c>
      <c r="K124" s="87">
        <f>SUM(G124:J124)</f>
        <v>0</v>
      </c>
      <c r="L124" s="87">
        <f>E124+K124</f>
        <v>0</v>
      </c>
      <c r="M124" s="92">
        <f t="shared" si="14"/>
        <v>0</v>
      </c>
      <c r="N124" s="81"/>
    </row>
    <row r="125" spans="2:14" ht="14.25" x14ac:dyDescent="0.15">
      <c r="B125" s="80"/>
      <c r="C125" s="18">
        <v>99</v>
      </c>
      <c r="D125" s="87">
        <f t="shared" si="12"/>
        <v>0</v>
      </c>
      <c r="E125" s="87">
        <f>'シミュレーション計算用（変更不要）'!M102</f>
        <v>0</v>
      </c>
      <c r="F125" s="29">
        <f t="shared" si="13"/>
        <v>0</v>
      </c>
      <c r="G125" s="87">
        <f>IF(OR($D$16="",$G$6=0),0,EuropeanOptionPrice($H$6,$E125,0,$I$6,$D$10:$D$15)*$G$6)</f>
        <v>0</v>
      </c>
      <c r="H125" s="87">
        <f>IF(OR($D$16="",$G$7=0),0,EuropeanOptionPrice($H$7,$E125,0,$I$7,$D$10:$D$15)*$G$7)</f>
        <v>0</v>
      </c>
      <c r="I125" s="87">
        <f>IF(OR($D$16="",$G$11=0),0,'シミュレーション計算用（変更不要）'!T102*'シミュレーション計算用（変更不要）'!T205)</f>
        <v>0</v>
      </c>
      <c r="J125" s="87">
        <f>IF(OR($D$16="",$G$12=0),0,'シミュレーション計算用（変更不要）'!AA102*'シミュレーション計算用（変更不要）'!AA205)</f>
        <v>0</v>
      </c>
      <c r="K125" s="87">
        <f>SUM(G125:J125)</f>
        <v>0</v>
      </c>
      <c r="L125" s="87">
        <f>E125+K125</f>
        <v>0</v>
      </c>
      <c r="M125" s="92">
        <f t="shared" si="14"/>
        <v>0</v>
      </c>
      <c r="N125" s="81"/>
    </row>
    <row r="126" spans="2:14" ht="15" thickBot="1" x14ac:dyDescent="0.2">
      <c r="B126" s="80"/>
      <c r="C126" s="39">
        <v>100</v>
      </c>
      <c r="D126" s="88">
        <f t="shared" si="12"/>
        <v>0</v>
      </c>
      <c r="E126" s="88">
        <f>'シミュレーション計算用（変更不要）'!M103</f>
        <v>0</v>
      </c>
      <c r="F126" s="31">
        <f t="shared" si="13"/>
        <v>0</v>
      </c>
      <c r="G126" s="88">
        <f>IF(OR($D$16="",$G$6=0),0,EuropeanOptionPrice($H$6,$E126,0,$I$6,$D$10:$D$15)*$G$6)</f>
        <v>0</v>
      </c>
      <c r="H126" s="88">
        <f>IF(OR($D$16="",$G$7=0),0,EuropeanOptionPrice($H$7,$E126,0,$I$7,$D$10:$D$15)*$G$7)</f>
        <v>0</v>
      </c>
      <c r="I126" s="88">
        <f>IF(OR($D$16="",$G$11=0),0,'シミュレーション計算用（変更不要）'!T103*'シミュレーション計算用（変更不要）'!T206)</f>
        <v>0</v>
      </c>
      <c r="J126" s="88">
        <f>IF(OR($D$16="",$G$12=0),0,'シミュレーション計算用（変更不要）'!AA103*'シミュレーション計算用（変更不要）'!AA206)</f>
        <v>0</v>
      </c>
      <c r="K126" s="88">
        <f>SUM(G126:J126)</f>
        <v>0</v>
      </c>
      <c r="L126" s="88">
        <f>E126+K126</f>
        <v>0</v>
      </c>
      <c r="M126" s="93">
        <f t="shared" si="14"/>
        <v>0</v>
      </c>
      <c r="N126" s="81"/>
    </row>
    <row r="127" spans="2:14" ht="14.25" thickBot="1" x14ac:dyDescent="0.2">
      <c r="B127" s="82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4"/>
    </row>
    <row r="128" spans="2:14" ht="14.25" thickTop="1" x14ac:dyDescent="0.15"/>
  </sheetData>
  <phoneticPr fontId="2"/>
  <conditionalFormatting sqref="I15:I19">
    <cfRule type="cellIs" dxfId="9" priority="13" operator="equal">
      <formula>-1</formula>
    </cfRule>
  </conditionalFormatting>
  <conditionalFormatting sqref="G27:J126">
    <cfRule type="cellIs" dxfId="8" priority="12" operator="notEqual">
      <formula>0</formula>
    </cfRule>
  </conditionalFormatting>
  <conditionalFormatting sqref="K27:K126">
    <cfRule type="cellIs" dxfId="7" priority="11" operator="notEqual">
      <formula>0</formula>
    </cfRule>
  </conditionalFormatting>
  <conditionalFormatting sqref="G6">
    <cfRule type="cellIs" dxfId="6" priority="10" operator="equal">
      <formula>-1</formula>
    </cfRule>
  </conditionalFormatting>
  <conditionalFormatting sqref="H13:H14">
    <cfRule type="cellIs" dxfId="5" priority="8" operator="equal">
      <formula>-1</formula>
    </cfRule>
  </conditionalFormatting>
  <conditionalFormatting sqref="G11">
    <cfRule type="cellIs" dxfId="4" priority="7" operator="equal">
      <formula>-1</formula>
    </cfRule>
  </conditionalFormatting>
  <conditionalFormatting sqref="G7">
    <cfRule type="cellIs" dxfId="3" priority="5" operator="equal">
      <formula>-1</formula>
    </cfRule>
  </conditionalFormatting>
  <conditionalFormatting sqref="G12">
    <cfRule type="cellIs" dxfId="2" priority="2" operator="equal">
      <formula>-1</formula>
    </cfRule>
  </conditionalFormatting>
  <conditionalFormatting sqref="G6:J7 I11:L12 G11:G12">
    <cfRule type="expression" dxfId="1" priority="22">
      <formula>$G6=0</formula>
    </cfRule>
  </conditionalFormatting>
  <conditionalFormatting sqref="H11:H12">
    <cfRule type="expression" dxfId="0" priority="27">
      <formula>$G11=0</formula>
    </cfRule>
  </conditionalFormatting>
  <dataValidations count="3">
    <dataValidation type="list" allowBlank="1" showInputMessage="1" showErrorMessage="1" sqref="H6:H7 H11:H12 G13" xr:uid="{00000000-0002-0000-0100-000000000000}">
      <formula1>"コール,プット"</formula1>
    </dataValidation>
    <dataValidation type="list" allowBlank="1" showInputMessage="1" showErrorMessage="1" sqref="K11:K14" xr:uid="{00000000-0002-0000-0100-000001000000}">
      <formula1>"Up and Out,Up and In,Down and Out,Down and In"</formula1>
    </dataValidation>
    <dataValidation type="list" allowBlank="1" showInputMessage="1" showErrorMessage="1" sqref="G6:G7 G11:G12" xr:uid="{00000000-0002-0000-0100-000002000000}">
      <formula1>"1,0,-1"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C000"/>
  </sheetPr>
  <dimension ref="B1:Z103"/>
  <sheetViews>
    <sheetView showGridLines="0" zoomScale="70" zoomScaleNormal="70" workbookViewId="0">
      <pane xSplit="2" ySplit="3" topLeftCell="C4" activePane="bottomRight" state="frozen"/>
      <selection pane="topRight" activeCell="F7" sqref="F7"/>
      <selection pane="bottomLeft" activeCell="F7" sqref="F7"/>
      <selection pane="bottomRight" activeCell="C55" sqref="C55"/>
    </sheetView>
  </sheetViews>
  <sheetFormatPr defaultRowHeight="13.5" x14ac:dyDescent="0.15"/>
  <cols>
    <col min="1" max="1" width="1.625" customWidth="1"/>
    <col min="2" max="2" width="14.625" customWidth="1"/>
    <col min="3" max="3" width="9.125" bestFit="1" customWidth="1"/>
    <col min="4" max="5" width="9.625" bestFit="1" customWidth="1"/>
    <col min="6" max="8" width="9.125" bestFit="1" customWidth="1"/>
    <col min="9" max="11" width="9.625" bestFit="1" customWidth="1"/>
    <col min="12" max="13" width="9.125" bestFit="1" customWidth="1"/>
    <col min="14" max="14" width="9.625" bestFit="1" customWidth="1"/>
    <col min="15" max="15" width="9.125" bestFit="1" customWidth="1"/>
    <col min="16" max="16" width="9.625" bestFit="1" customWidth="1"/>
    <col min="17" max="18" width="9.125" bestFit="1" customWidth="1"/>
    <col min="19" max="19" width="9.625" bestFit="1" customWidth="1"/>
    <col min="20" max="20" width="9.125" bestFit="1" customWidth="1"/>
    <col min="21" max="21" width="9.625" bestFit="1" customWidth="1"/>
    <col min="22" max="22" width="9.125" bestFit="1" customWidth="1"/>
    <col min="23" max="24" width="9.625" bestFit="1" customWidth="1"/>
    <col min="25" max="25" width="9.125" bestFit="1" customWidth="1"/>
    <col min="26" max="26" width="9.625" bestFit="1" customWidth="1"/>
  </cols>
  <sheetData>
    <row r="1" spans="2:26" ht="6.75" customHeight="1" thickBot="1" x14ac:dyDescent="0.2"/>
    <row r="2" spans="2:26" ht="14.25" x14ac:dyDescent="0.15">
      <c r="B2" s="13"/>
      <c r="C2" s="54" t="s">
        <v>68</v>
      </c>
      <c r="D2" s="91"/>
      <c r="E2" s="54"/>
      <c r="F2" s="86"/>
      <c r="G2" s="54" t="s">
        <v>69</v>
      </c>
      <c r="H2" s="54"/>
      <c r="I2" s="54"/>
      <c r="J2" s="86"/>
      <c r="K2" s="54" t="s">
        <v>23</v>
      </c>
      <c r="L2" s="54"/>
      <c r="M2" s="54"/>
      <c r="N2" s="86"/>
      <c r="O2" s="54" t="s">
        <v>70</v>
      </c>
      <c r="P2" s="54"/>
      <c r="Q2" s="54"/>
      <c r="R2" s="86"/>
      <c r="S2" s="54" t="s">
        <v>71</v>
      </c>
      <c r="T2" s="54"/>
      <c r="U2" s="54"/>
      <c r="V2" s="86"/>
      <c r="W2" s="54" t="s">
        <v>27</v>
      </c>
      <c r="X2" s="54"/>
      <c r="Y2" s="54"/>
      <c r="Z2" s="55"/>
    </row>
    <row r="3" spans="2:26" ht="14.25" x14ac:dyDescent="0.15">
      <c r="B3" s="18" t="s">
        <v>72</v>
      </c>
      <c r="C3" s="48">
        <v>0.25</v>
      </c>
      <c r="D3" s="48">
        <v>0.5</v>
      </c>
      <c r="E3" s="48">
        <v>0.75</v>
      </c>
      <c r="F3" s="48">
        <v>1</v>
      </c>
      <c r="G3" s="48">
        <v>0.25</v>
      </c>
      <c r="H3" s="48">
        <v>0.5</v>
      </c>
      <c r="I3" s="48">
        <v>0.75</v>
      </c>
      <c r="J3" s="48">
        <v>1</v>
      </c>
      <c r="K3" s="48">
        <v>0.25</v>
      </c>
      <c r="L3" s="48">
        <v>0.5</v>
      </c>
      <c r="M3" s="48">
        <v>0.75</v>
      </c>
      <c r="N3" s="48">
        <v>1</v>
      </c>
      <c r="O3" s="48">
        <v>0.25</v>
      </c>
      <c r="P3" s="48">
        <v>0.5</v>
      </c>
      <c r="Q3" s="48">
        <v>0.75</v>
      </c>
      <c r="R3" s="48">
        <v>1</v>
      </c>
      <c r="S3" s="48">
        <v>0.25</v>
      </c>
      <c r="T3" s="48">
        <v>0.5</v>
      </c>
      <c r="U3" s="48">
        <v>0.75</v>
      </c>
      <c r="V3" s="48">
        <v>1</v>
      </c>
      <c r="W3" s="48">
        <v>0.25</v>
      </c>
      <c r="X3" s="48">
        <v>0.5</v>
      </c>
      <c r="Y3" s="48">
        <v>0.75</v>
      </c>
      <c r="Z3" s="49">
        <v>1</v>
      </c>
    </row>
    <row r="4" spans="2:26" ht="15.75" x14ac:dyDescent="0.15">
      <c r="B4" s="18">
        <v>1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90"/>
    </row>
    <row r="5" spans="2:26" ht="15.75" x14ac:dyDescent="0.15">
      <c r="B5" s="18">
        <v>2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90"/>
    </row>
    <row r="6" spans="2:26" ht="15.75" x14ac:dyDescent="0.15">
      <c r="B6" s="18">
        <v>3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90"/>
    </row>
    <row r="7" spans="2:26" ht="15.75" x14ac:dyDescent="0.15">
      <c r="B7" s="18">
        <v>4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90"/>
    </row>
    <row r="8" spans="2:26" ht="15.75" x14ac:dyDescent="0.15">
      <c r="B8" s="18">
        <v>5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90"/>
    </row>
    <row r="9" spans="2:26" ht="15.75" x14ac:dyDescent="0.15">
      <c r="B9" s="18">
        <v>6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90"/>
    </row>
    <row r="10" spans="2:26" ht="15.75" x14ac:dyDescent="0.15">
      <c r="B10" s="18">
        <v>7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90"/>
    </row>
    <row r="11" spans="2:26" ht="15.75" x14ac:dyDescent="0.15">
      <c r="B11" s="18">
        <v>8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90"/>
    </row>
    <row r="12" spans="2:26" ht="15.75" x14ac:dyDescent="0.15">
      <c r="B12" s="18">
        <v>9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90"/>
    </row>
    <row r="13" spans="2:26" ht="15.75" x14ac:dyDescent="0.15">
      <c r="B13" s="18">
        <v>10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90"/>
    </row>
    <row r="14" spans="2:26" ht="15.75" x14ac:dyDescent="0.15">
      <c r="B14" s="18">
        <v>11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90"/>
    </row>
    <row r="15" spans="2:26" ht="15.75" x14ac:dyDescent="0.15">
      <c r="B15" s="18">
        <v>12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90"/>
    </row>
    <row r="16" spans="2:26" ht="15.75" x14ac:dyDescent="0.15">
      <c r="B16" s="18">
        <v>13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90"/>
    </row>
    <row r="17" spans="2:26" ht="15.75" x14ac:dyDescent="0.15">
      <c r="B17" s="18">
        <v>14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90"/>
    </row>
    <row r="18" spans="2:26" ht="15.75" x14ac:dyDescent="0.15">
      <c r="B18" s="18">
        <v>15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90"/>
    </row>
    <row r="19" spans="2:26" ht="15.75" x14ac:dyDescent="0.15">
      <c r="B19" s="18">
        <v>16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90"/>
    </row>
    <row r="20" spans="2:26" ht="15.75" x14ac:dyDescent="0.15">
      <c r="B20" s="18">
        <v>17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90"/>
    </row>
    <row r="21" spans="2:26" ht="15.75" x14ac:dyDescent="0.15">
      <c r="B21" s="18">
        <v>18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90"/>
    </row>
    <row r="22" spans="2:26" ht="15.75" x14ac:dyDescent="0.15">
      <c r="B22" s="18">
        <v>19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90"/>
    </row>
    <row r="23" spans="2:26" ht="15.75" x14ac:dyDescent="0.15">
      <c r="B23" s="18">
        <v>20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90"/>
    </row>
    <row r="24" spans="2:26" ht="15.75" x14ac:dyDescent="0.15">
      <c r="B24" s="18">
        <v>21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90"/>
    </row>
    <row r="25" spans="2:26" ht="15.75" x14ac:dyDescent="0.15">
      <c r="B25" s="18">
        <v>22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90"/>
    </row>
    <row r="26" spans="2:26" ht="15.75" x14ac:dyDescent="0.15">
      <c r="B26" s="18">
        <v>23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90"/>
    </row>
    <row r="27" spans="2:26" ht="15.75" x14ac:dyDescent="0.15">
      <c r="B27" s="18">
        <v>24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90"/>
    </row>
    <row r="28" spans="2:26" ht="15.75" x14ac:dyDescent="0.15">
      <c r="B28" s="18">
        <v>25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90"/>
    </row>
    <row r="29" spans="2:26" ht="15.75" x14ac:dyDescent="0.15">
      <c r="B29" s="18">
        <v>26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90"/>
    </row>
    <row r="30" spans="2:26" ht="15.75" x14ac:dyDescent="0.15">
      <c r="B30" s="18">
        <v>27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90"/>
    </row>
    <row r="31" spans="2:26" ht="15.75" x14ac:dyDescent="0.15">
      <c r="B31" s="18">
        <v>28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90"/>
    </row>
    <row r="32" spans="2:26" ht="15.75" x14ac:dyDescent="0.15">
      <c r="B32" s="18">
        <v>29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90"/>
    </row>
    <row r="33" spans="2:26" ht="15.75" x14ac:dyDescent="0.15">
      <c r="B33" s="18">
        <v>30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90"/>
    </row>
    <row r="34" spans="2:26" ht="15.75" x14ac:dyDescent="0.15">
      <c r="B34" s="18">
        <v>31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90"/>
    </row>
    <row r="35" spans="2:26" ht="15.75" x14ac:dyDescent="0.15">
      <c r="B35" s="18">
        <v>32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90"/>
    </row>
    <row r="36" spans="2:26" ht="15.75" x14ac:dyDescent="0.15">
      <c r="B36" s="18">
        <v>33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90"/>
    </row>
    <row r="37" spans="2:26" ht="15.75" x14ac:dyDescent="0.15">
      <c r="B37" s="18">
        <v>34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90"/>
    </row>
    <row r="38" spans="2:26" ht="15.75" x14ac:dyDescent="0.15">
      <c r="B38" s="18">
        <v>35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90"/>
    </row>
    <row r="39" spans="2:26" ht="15.75" x14ac:dyDescent="0.15">
      <c r="B39" s="18">
        <v>36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90"/>
    </row>
    <row r="40" spans="2:26" ht="15.75" x14ac:dyDescent="0.15">
      <c r="B40" s="18">
        <v>37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90"/>
    </row>
    <row r="41" spans="2:26" ht="15.75" x14ac:dyDescent="0.15">
      <c r="B41" s="18">
        <v>38</v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90"/>
    </row>
    <row r="42" spans="2:26" ht="15.75" x14ac:dyDescent="0.15">
      <c r="B42" s="18">
        <v>39</v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90"/>
    </row>
    <row r="43" spans="2:26" ht="15.75" x14ac:dyDescent="0.15">
      <c r="B43" s="18">
        <v>40</v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90"/>
    </row>
    <row r="44" spans="2:26" ht="15.75" x14ac:dyDescent="0.15">
      <c r="B44" s="18">
        <v>41</v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90"/>
    </row>
    <row r="45" spans="2:26" ht="15.75" x14ac:dyDescent="0.15">
      <c r="B45" s="18">
        <v>42</v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90"/>
    </row>
    <row r="46" spans="2:26" ht="15.75" x14ac:dyDescent="0.15">
      <c r="B46" s="18">
        <v>43</v>
      </c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90"/>
    </row>
    <row r="47" spans="2:26" ht="15.75" x14ac:dyDescent="0.15">
      <c r="B47" s="18">
        <v>44</v>
      </c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90"/>
    </row>
    <row r="48" spans="2:26" ht="15.75" x14ac:dyDescent="0.15">
      <c r="B48" s="18">
        <v>45</v>
      </c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90"/>
    </row>
    <row r="49" spans="2:26" ht="15.75" x14ac:dyDescent="0.15">
      <c r="B49" s="18">
        <v>46</v>
      </c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90"/>
    </row>
    <row r="50" spans="2:26" ht="15.75" x14ac:dyDescent="0.15">
      <c r="B50" s="18">
        <v>47</v>
      </c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90"/>
    </row>
    <row r="51" spans="2:26" ht="15.75" x14ac:dyDescent="0.15">
      <c r="B51" s="18">
        <v>48</v>
      </c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90"/>
    </row>
    <row r="52" spans="2:26" ht="15.75" x14ac:dyDescent="0.15">
      <c r="B52" s="18">
        <v>49</v>
      </c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90"/>
    </row>
    <row r="53" spans="2:26" ht="15.75" x14ac:dyDescent="0.15">
      <c r="B53" s="18">
        <v>50</v>
      </c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90"/>
    </row>
    <row r="54" spans="2:26" ht="15.75" x14ac:dyDescent="0.15">
      <c r="B54" s="18">
        <v>51</v>
      </c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90"/>
    </row>
    <row r="55" spans="2:26" ht="15.75" x14ac:dyDescent="0.15">
      <c r="B55" s="18">
        <v>52</v>
      </c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90"/>
    </row>
    <row r="56" spans="2:26" ht="15.75" x14ac:dyDescent="0.15">
      <c r="B56" s="18">
        <v>53</v>
      </c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90"/>
    </row>
    <row r="57" spans="2:26" ht="15.75" x14ac:dyDescent="0.15">
      <c r="B57" s="18">
        <v>54</v>
      </c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90"/>
    </row>
    <row r="58" spans="2:26" ht="15.75" x14ac:dyDescent="0.15">
      <c r="B58" s="18">
        <v>55</v>
      </c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90"/>
    </row>
    <row r="59" spans="2:26" ht="15.75" x14ac:dyDescent="0.15">
      <c r="B59" s="18">
        <v>56</v>
      </c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90"/>
    </row>
    <row r="60" spans="2:26" ht="15.75" x14ac:dyDescent="0.15">
      <c r="B60" s="18">
        <v>57</v>
      </c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90"/>
    </row>
    <row r="61" spans="2:26" ht="15.75" x14ac:dyDescent="0.15">
      <c r="B61" s="18">
        <v>58</v>
      </c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90"/>
    </row>
    <row r="62" spans="2:26" ht="15.75" x14ac:dyDescent="0.15">
      <c r="B62" s="18">
        <v>59</v>
      </c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90"/>
    </row>
    <row r="63" spans="2:26" ht="15.75" x14ac:dyDescent="0.15">
      <c r="B63" s="18">
        <v>60</v>
      </c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90"/>
    </row>
    <row r="64" spans="2:26" ht="15.75" x14ac:dyDescent="0.15">
      <c r="B64" s="18">
        <v>61</v>
      </c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90"/>
    </row>
    <row r="65" spans="2:26" ht="15.75" x14ac:dyDescent="0.15">
      <c r="B65" s="18">
        <v>62</v>
      </c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90"/>
    </row>
    <row r="66" spans="2:26" ht="15.75" x14ac:dyDescent="0.15">
      <c r="B66" s="18">
        <v>63</v>
      </c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90"/>
    </row>
    <row r="67" spans="2:26" ht="15.75" x14ac:dyDescent="0.15">
      <c r="B67" s="18">
        <v>64</v>
      </c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90"/>
    </row>
    <row r="68" spans="2:26" ht="15.75" x14ac:dyDescent="0.15">
      <c r="B68" s="18">
        <v>65</v>
      </c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90"/>
    </row>
    <row r="69" spans="2:26" ht="15.75" x14ac:dyDescent="0.15">
      <c r="B69" s="18">
        <v>66</v>
      </c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90"/>
    </row>
    <row r="70" spans="2:26" ht="15.75" x14ac:dyDescent="0.15">
      <c r="B70" s="18">
        <v>67</v>
      </c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90"/>
    </row>
    <row r="71" spans="2:26" ht="15.75" x14ac:dyDescent="0.15">
      <c r="B71" s="18">
        <v>68</v>
      </c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90"/>
    </row>
    <row r="72" spans="2:26" ht="15.75" x14ac:dyDescent="0.15">
      <c r="B72" s="18">
        <v>69</v>
      </c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90"/>
    </row>
    <row r="73" spans="2:26" ht="15.75" x14ac:dyDescent="0.15">
      <c r="B73" s="18">
        <v>70</v>
      </c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90"/>
    </row>
    <row r="74" spans="2:26" ht="15.75" x14ac:dyDescent="0.15">
      <c r="B74" s="18">
        <v>71</v>
      </c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90"/>
    </row>
    <row r="75" spans="2:26" ht="15.75" x14ac:dyDescent="0.15">
      <c r="B75" s="18">
        <v>72</v>
      </c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90"/>
    </row>
    <row r="76" spans="2:26" ht="15.75" x14ac:dyDescent="0.15">
      <c r="B76" s="18">
        <v>73</v>
      </c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90"/>
    </row>
    <row r="77" spans="2:26" ht="15.75" x14ac:dyDescent="0.15">
      <c r="B77" s="18">
        <v>74</v>
      </c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90"/>
    </row>
    <row r="78" spans="2:26" ht="15.75" x14ac:dyDescent="0.15">
      <c r="B78" s="18">
        <v>75</v>
      </c>
      <c r="C78" s="89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90"/>
    </row>
    <row r="79" spans="2:26" ht="15.75" x14ac:dyDescent="0.15">
      <c r="B79" s="18">
        <v>76</v>
      </c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90"/>
    </row>
    <row r="80" spans="2:26" ht="15.75" x14ac:dyDescent="0.15">
      <c r="B80" s="18">
        <v>77</v>
      </c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90"/>
    </row>
    <row r="81" spans="2:26" ht="15.75" x14ac:dyDescent="0.15">
      <c r="B81" s="18">
        <v>78</v>
      </c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90"/>
    </row>
    <row r="82" spans="2:26" ht="15.75" x14ac:dyDescent="0.15">
      <c r="B82" s="18">
        <v>79</v>
      </c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90"/>
    </row>
    <row r="83" spans="2:26" ht="15.75" x14ac:dyDescent="0.15">
      <c r="B83" s="18">
        <v>80</v>
      </c>
      <c r="C83" s="89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90"/>
    </row>
    <row r="84" spans="2:26" ht="15.75" x14ac:dyDescent="0.15">
      <c r="B84" s="18">
        <v>81</v>
      </c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90"/>
    </row>
    <row r="85" spans="2:26" ht="15.75" x14ac:dyDescent="0.15">
      <c r="B85" s="18">
        <v>82</v>
      </c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90"/>
    </row>
    <row r="86" spans="2:26" ht="15.75" x14ac:dyDescent="0.15">
      <c r="B86" s="18">
        <v>83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90"/>
    </row>
    <row r="87" spans="2:26" ht="15.75" x14ac:dyDescent="0.15">
      <c r="B87" s="18">
        <v>84</v>
      </c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90"/>
    </row>
    <row r="88" spans="2:26" ht="15.75" x14ac:dyDescent="0.15">
      <c r="B88" s="18">
        <v>85</v>
      </c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90"/>
    </row>
    <row r="89" spans="2:26" ht="15.75" x14ac:dyDescent="0.15">
      <c r="B89" s="18">
        <v>86</v>
      </c>
      <c r="C89" s="89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90"/>
    </row>
    <row r="90" spans="2:26" ht="15.75" x14ac:dyDescent="0.15">
      <c r="B90" s="18">
        <v>87</v>
      </c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90"/>
    </row>
    <row r="91" spans="2:26" ht="15.75" x14ac:dyDescent="0.15">
      <c r="B91" s="18">
        <v>88</v>
      </c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90"/>
    </row>
    <row r="92" spans="2:26" ht="15.75" x14ac:dyDescent="0.15">
      <c r="B92" s="18">
        <v>89</v>
      </c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90"/>
    </row>
    <row r="93" spans="2:26" ht="15.75" x14ac:dyDescent="0.15">
      <c r="B93" s="18">
        <v>90</v>
      </c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90"/>
    </row>
    <row r="94" spans="2:26" ht="15.75" x14ac:dyDescent="0.15">
      <c r="B94" s="18">
        <v>91</v>
      </c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90"/>
    </row>
    <row r="95" spans="2:26" ht="15.75" x14ac:dyDescent="0.15">
      <c r="B95" s="18">
        <v>92</v>
      </c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90"/>
    </row>
    <row r="96" spans="2:26" ht="15.75" x14ac:dyDescent="0.15">
      <c r="B96" s="18">
        <v>93</v>
      </c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90"/>
    </row>
    <row r="97" spans="2:26" ht="15.75" x14ac:dyDescent="0.15">
      <c r="B97" s="18">
        <v>94</v>
      </c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90"/>
    </row>
    <row r="98" spans="2:26" ht="15.75" x14ac:dyDescent="0.15">
      <c r="B98" s="18">
        <v>95</v>
      </c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90"/>
    </row>
    <row r="99" spans="2:26" ht="15.75" x14ac:dyDescent="0.15">
      <c r="B99" s="18">
        <v>96</v>
      </c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90"/>
    </row>
    <row r="100" spans="2:26" ht="15.75" x14ac:dyDescent="0.15">
      <c r="B100" s="18">
        <v>97</v>
      </c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90"/>
    </row>
    <row r="101" spans="2:26" ht="15.75" x14ac:dyDescent="0.15">
      <c r="B101" s="18">
        <v>98</v>
      </c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90"/>
    </row>
    <row r="102" spans="2:26" ht="15.75" x14ac:dyDescent="0.15">
      <c r="B102" s="18">
        <v>99</v>
      </c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90"/>
    </row>
    <row r="103" spans="2:26" ht="16.5" thickBot="1" x14ac:dyDescent="0.2">
      <c r="B103" s="39">
        <v>100</v>
      </c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8"/>
    </row>
  </sheetData>
  <sheetProtection selectLockedCells="1"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  <outlinePr summaryBelow="0" summaryRight="0"/>
  </sheetPr>
  <dimension ref="B1:AF658"/>
  <sheetViews>
    <sheetView showGridLines="0" topLeftCell="J2" zoomScaleNormal="100" workbookViewId="0">
      <selection activeCell="U23" sqref="U22:U23"/>
    </sheetView>
  </sheetViews>
  <sheetFormatPr defaultRowHeight="14.25" zeroHeight="1" outlineLevelCol="1" x14ac:dyDescent="0.15"/>
  <cols>
    <col min="1" max="1" width="9" style="2"/>
    <col min="2" max="2" width="12.75" style="1" customWidth="1" outlineLevel="1"/>
    <col min="3" max="8" width="11.75" style="2" customWidth="1" outlineLevel="1"/>
    <col min="9" max="9" width="11.25" style="2" customWidth="1" outlineLevel="1"/>
    <col min="10" max="10" width="12.75" style="2" customWidth="1"/>
    <col min="11" max="16" width="11.75" style="2" customWidth="1"/>
    <col min="17" max="17" width="9" style="2" customWidth="1"/>
    <col min="18" max="18" width="9.25" style="2" customWidth="1"/>
    <col min="19" max="24" width="8.625" style="2" customWidth="1"/>
    <col min="25" max="25" width="3.875" style="2" customWidth="1"/>
    <col min="26" max="26" width="12" style="2" customWidth="1"/>
    <col min="27" max="27" width="10.625" style="2" customWidth="1"/>
    <col min="28" max="28" width="9.625" style="2" customWidth="1"/>
    <col min="29" max="29" width="9" style="6"/>
    <col min="30" max="16384" width="9" style="2"/>
  </cols>
  <sheetData>
    <row r="1" spans="2:32" x14ac:dyDescent="0.15"/>
    <row r="2" spans="2:32" ht="18" customHeight="1" thickBot="1" x14ac:dyDescent="0.2">
      <c r="B2" s="20" t="s">
        <v>73</v>
      </c>
      <c r="J2" s="21" t="s">
        <v>60</v>
      </c>
    </row>
    <row r="3" spans="2:32" ht="29.25" customHeight="1" thickBot="1" x14ac:dyDescent="0.2">
      <c r="B3" s="22"/>
      <c r="C3" s="14" t="s">
        <v>20</v>
      </c>
      <c r="D3" s="14" t="s">
        <v>21</v>
      </c>
      <c r="E3" s="14" t="s">
        <v>23</v>
      </c>
      <c r="F3" s="14" t="s">
        <v>24</v>
      </c>
      <c r="G3" s="14" t="s">
        <v>26</v>
      </c>
      <c r="H3" s="15" t="s">
        <v>27</v>
      </c>
      <c r="I3" s="9" t="s">
        <v>74</v>
      </c>
      <c r="J3" s="22"/>
      <c r="K3" s="14" t="s">
        <v>20</v>
      </c>
      <c r="L3" s="14" t="s">
        <v>21</v>
      </c>
      <c r="M3" s="14" t="s">
        <v>23</v>
      </c>
      <c r="N3" s="14" t="s">
        <v>24</v>
      </c>
      <c r="O3" s="14" t="s">
        <v>26</v>
      </c>
      <c r="P3" s="15" t="s">
        <v>27</v>
      </c>
      <c r="Q3" s="9"/>
      <c r="AB3" s="9"/>
      <c r="AC3" s="9"/>
      <c r="AD3" s="9"/>
      <c r="AE3" s="9"/>
      <c r="AF3" s="9"/>
    </row>
    <row r="4" spans="2:32" x14ac:dyDescent="0.15">
      <c r="B4" s="16">
        <v>39843</v>
      </c>
      <c r="C4" s="23">
        <v>10000</v>
      </c>
      <c r="D4" s="23">
        <v>10000</v>
      </c>
      <c r="E4" s="23">
        <v>10000</v>
      </c>
      <c r="F4" s="23">
        <v>10000</v>
      </c>
      <c r="G4" s="23">
        <v>10000</v>
      </c>
      <c r="H4" s="24">
        <v>10000</v>
      </c>
      <c r="J4" s="16">
        <v>39843</v>
      </c>
      <c r="K4" s="27"/>
      <c r="L4" s="27"/>
      <c r="M4" s="27"/>
      <c r="N4" s="27"/>
      <c r="O4" s="27"/>
      <c r="P4" s="28"/>
      <c r="R4" s="13"/>
      <c r="S4" s="36" t="s">
        <v>20</v>
      </c>
      <c r="T4" s="36" t="s">
        <v>21</v>
      </c>
      <c r="U4" s="36" t="s">
        <v>23</v>
      </c>
      <c r="V4" s="36" t="s">
        <v>24</v>
      </c>
      <c r="W4" s="36" t="s">
        <v>26</v>
      </c>
      <c r="X4" s="37" t="s">
        <v>27</v>
      </c>
      <c r="Z4" s="13"/>
      <c r="AA4" s="36" t="s">
        <v>75</v>
      </c>
      <c r="AB4" s="37" t="s">
        <v>76</v>
      </c>
      <c r="AC4" s="3"/>
      <c r="AE4" s="6"/>
    </row>
    <row r="5" spans="2:32" x14ac:dyDescent="0.15">
      <c r="B5" s="16">
        <v>39850</v>
      </c>
      <c r="C5" s="23">
        <v>10108</v>
      </c>
      <c r="D5" s="23">
        <v>9978</v>
      </c>
      <c r="E5" s="23">
        <v>9774</v>
      </c>
      <c r="F5" s="23">
        <v>10199</v>
      </c>
      <c r="G5" s="23">
        <v>10134</v>
      </c>
      <c r="H5" s="24">
        <v>9493</v>
      </c>
      <c r="I5" s="2">
        <v>1</v>
      </c>
      <c r="J5" s="16">
        <v>39850</v>
      </c>
      <c r="K5" s="29">
        <f t="shared" ref="K5:K68" si="0">C5/C4-1</f>
        <v>1.0799999999999921E-2</v>
      </c>
      <c r="L5" s="29">
        <f t="shared" ref="L5:L68" si="1">D5/D4-1</f>
        <v>-2.1999999999999797E-3</v>
      </c>
      <c r="M5" s="29">
        <f t="shared" ref="M5:M68" si="2">E5/E4-1</f>
        <v>-2.2599999999999953E-2</v>
      </c>
      <c r="N5" s="29">
        <f t="shared" ref="N5:N68" si="3">F5/F4-1</f>
        <v>1.9900000000000029E-2</v>
      </c>
      <c r="O5" s="29">
        <f t="shared" ref="O5:O68" si="4">G5/G4-1</f>
        <v>1.3400000000000079E-2</v>
      </c>
      <c r="P5" s="30">
        <f t="shared" ref="P5:P68" si="5">H5/H4-1</f>
        <v>-5.0699999999999967E-2</v>
      </c>
      <c r="R5" s="18" t="s">
        <v>20</v>
      </c>
      <c r="S5" s="189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1.0000000000000002</v>
      </c>
      <c r="T5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-0.47947804926124027</v>
      </c>
      <c r="U5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-8.6368836498385837E-2</v>
      </c>
      <c r="V5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0.84486839755122711</v>
      </c>
      <c r="W5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0.41848381547062719</v>
      </c>
      <c r="X5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0.38404669974225392</v>
      </c>
      <c r="Z5" s="18" t="s">
        <v>20</v>
      </c>
      <c r="AA5" s="246">
        <f ca="1">IF(戦略の決定!$D$6="","",AVERAGE(OFFSET($J$3,MATCH(戦略の決定!$D$6,$J$4:$J$656,0),MATCH($Z5,$K$3:$P$3,0),MATCH(戦略の決定!$D$7,$J$4:$J$656,0)-MATCH(戦略の決定!$D$6,$J$4:$J$656,0)+1,1))*52)</f>
        <v>0.12870036013785241</v>
      </c>
      <c r="AB5" s="247">
        <f ca="1">IF(戦略の決定!$D$6="","",_xlfn.STDEV.S(OFFSET($J$3,MATCH(戦略の決定!$D$6,$J$4:$J$656,0),MATCH($Z5,$K$3:$P$3,0),MATCH(戦略の決定!$D$7,$J$4:$J$656,0)-MATCH(戦略の決定!$D$6,$J$4:$J$656,0)+1,1))*SQRT(52))</f>
        <v>0.12386139285120135</v>
      </c>
      <c r="AC5" s="3"/>
      <c r="AD5" s="3"/>
      <c r="AE5" s="7"/>
    </row>
    <row r="6" spans="2:32" x14ac:dyDescent="0.15">
      <c r="B6" s="16">
        <v>39857</v>
      </c>
      <c r="C6" s="23">
        <v>9736</v>
      </c>
      <c r="D6" s="23">
        <v>10022</v>
      </c>
      <c r="E6" s="23">
        <v>9583</v>
      </c>
      <c r="F6" s="23">
        <v>10064</v>
      </c>
      <c r="G6" s="23">
        <v>10233</v>
      </c>
      <c r="H6" s="24">
        <v>9468</v>
      </c>
      <c r="I6" s="2">
        <f>I5+1</f>
        <v>2</v>
      </c>
      <c r="J6" s="16">
        <v>39857</v>
      </c>
      <c r="K6" s="29">
        <f t="shared" si="0"/>
        <v>-3.6802532647407959E-2</v>
      </c>
      <c r="L6" s="29">
        <f t="shared" si="1"/>
        <v>4.4097013429544862E-3</v>
      </c>
      <c r="M6" s="29">
        <f t="shared" si="2"/>
        <v>-1.9541641088602457E-2</v>
      </c>
      <c r="N6" s="29">
        <f t="shared" si="3"/>
        <v>-1.3236591822727739E-2</v>
      </c>
      <c r="O6" s="29">
        <f t="shared" si="4"/>
        <v>9.7690941385435437E-3</v>
      </c>
      <c r="P6" s="30">
        <f t="shared" si="5"/>
        <v>-2.6335194353734881E-3</v>
      </c>
      <c r="R6" s="18" t="s">
        <v>21</v>
      </c>
      <c r="S6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-0.47947804926124027</v>
      </c>
      <c r="T6" s="189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1</v>
      </c>
      <c r="U6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0.39328648125860977</v>
      </c>
      <c r="V6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-0.40774785459834678</v>
      </c>
      <c r="W6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5.0405683345163134E-2</v>
      </c>
      <c r="X6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3.9283690155939445E-2</v>
      </c>
      <c r="Z6" s="18" t="s">
        <v>21</v>
      </c>
      <c r="AA6" s="246">
        <f ca="1">IF(戦略の決定!$D$6="","",AVERAGE(OFFSET($J$3,MATCH(戦略の決定!$D$6,$J$4:$J$656,0),MATCH($Z6,$K$3:$P$3,0),MATCH(戦略の決定!$D$7,$J$4:$J$656,0)-MATCH(戦略の決定!$D$6,$J$4:$J$656,0)+1,1))*52)</f>
        <v>1.3124342898315315E-2</v>
      </c>
      <c r="AB6" s="247">
        <f ca="1">IF(戦略の決定!$D$6="","",_xlfn.STDEV.S(OFFSET($J$3,MATCH(戦略の決定!$D$6,$J$4:$J$656,0),MATCH($Z6,$K$3:$P$3,0),MATCH(戦略の決定!$D$7,$J$4:$J$656,0)-MATCH(戦略の決定!$D$6,$J$4:$J$656,0)+1,1))*SQRT(52))</f>
        <v>2.3080765624786448E-2</v>
      </c>
      <c r="AC6" s="3"/>
      <c r="AD6" s="3"/>
      <c r="AE6" s="7"/>
    </row>
    <row r="7" spans="2:32" x14ac:dyDescent="0.15">
      <c r="B7" s="16">
        <v>39864</v>
      </c>
      <c r="C7" s="23">
        <v>9275</v>
      </c>
      <c r="D7" s="23">
        <v>10015</v>
      </c>
      <c r="E7" s="23">
        <v>8534</v>
      </c>
      <c r="F7" s="23">
        <v>9814</v>
      </c>
      <c r="G7" s="23">
        <v>10454</v>
      </c>
      <c r="H7" s="24">
        <v>8614</v>
      </c>
      <c r="I7" s="2">
        <f t="shared" ref="I7:I70" si="6">I6+1</f>
        <v>3</v>
      </c>
      <c r="J7" s="16">
        <v>39864</v>
      </c>
      <c r="K7" s="29">
        <f t="shared" si="0"/>
        <v>-4.7350041084634364E-2</v>
      </c>
      <c r="L7" s="29">
        <f t="shared" si="1"/>
        <v>-6.9846338056278601E-4</v>
      </c>
      <c r="M7" s="29">
        <f t="shared" si="2"/>
        <v>-0.10946467703224461</v>
      </c>
      <c r="N7" s="29">
        <f t="shared" si="3"/>
        <v>-2.4841017488076322E-2</v>
      </c>
      <c r="O7" s="29">
        <f t="shared" si="4"/>
        <v>2.1596794683865994E-2</v>
      </c>
      <c r="P7" s="30">
        <f t="shared" si="5"/>
        <v>-9.0198563582594038E-2</v>
      </c>
      <c r="R7" s="18" t="s">
        <v>23</v>
      </c>
      <c r="S7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-8.6368836498385837E-2</v>
      </c>
      <c r="T7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0.39328648125860977</v>
      </c>
      <c r="U7" s="189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0.99999999999999978</v>
      </c>
      <c r="V7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-0.11245306634200811</v>
      </c>
      <c r="W7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0.25461283700822879</v>
      </c>
      <c r="X7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0.4602661234781541</v>
      </c>
      <c r="Z7" s="18" t="s">
        <v>23</v>
      </c>
      <c r="AA7" s="246">
        <f ca="1">IF(戦略の決定!$D$6="","",AVERAGE(OFFSET($J$3,MATCH(戦略の決定!$D$6,$J$4:$J$656,0),MATCH($Z7,$K$3:$P$3,0),MATCH(戦略の決定!$D$7,$J$4:$J$656,0)-MATCH(戦略の決定!$D$6,$J$4:$J$656,0)+1,1))*52)</f>
        <v>0.22512084877869726</v>
      </c>
      <c r="AB7" s="247">
        <f ca="1">IF(戦略の決定!$D$6="","",_xlfn.STDEV.S(OFFSET($J$3,MATCH(戦略の決定!$D$6,$J$4:$J$656,0),MATCH($Z7,$K$3:$P$3,0),MATCH(戦略の決定!$D$7,$J$4:$J$656,0)-MATCH(戦略の決定!$D$6,$J$4:$J$656,0)+1,1))*SQRT(52))</f>
        <v>8.9175232523645703E-2</v>
      </c>
      <c r="AC7" s="3"/>
      <c r="AD7" s="3"/>
      <c r="AE7" s="7"/>
    </row>
    <row r="8" spans="2:32" x14ac:dyDescent="0.15">
      <c r="B8" s="16">
        <v>39871</v>
      </c>
      <c r="C8" s="23">
        <v>9475</v>
      </c>
      <c r="D8" s="23">
        <v>10019</v>
      </c>
      <c r="E8" s="23">
        <v>8716</v>
      </c>
      <c r="F8" s="23">
        <v>9879</v>
      </c>
      <c r="G8" s="23">
        <v>10849</v>
      </c>
      <c r="H8" s="24">
        <v>8880</v>
      </c>
      <c r="I8" s="2">
        <f t="shared" si="6"/>
        <v>4</v>
      </c>
      <c r="J8" s="16">
        <v>39871</v>
      </c>
      <c r="K8" s="29">
        <f t="shared" si="0"/>
        <v>2.1563342318059231E-2</v>
      </c>
      <c r="L8" s="29">
        <f t="shared" si="1"/>
        <v>3.9940089865209139E-4</v>
      </c>
      <c r="M8" s="29">
        <f t="shared" si="2"/>
        <v>2.1326458870400744E-2</v>
      </c>
      <c r="N8" s="29">
        <f t="shared" si="3"/>
        <v>6.6231913592826874E-3</v>
      </c>
      <c r="O8" s="29">
        <f t="shared" si="4"/>
        <v>3.7784580065046924E-2</v>
      </c>
      <c r="P8" s="30">
        <f t="shared" si="5"/>
        <v>3.0879962851172449E-2</v>
      </c>
      <c r="R8" s="18" t="s">
        <v>24</v>
      </c>
      <c r="S8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0.84486839755122711</v>
      </c>
      <c r="T8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-0.40774785459834678</v>
      </c>
      <c r="U8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-0.11245306634200811</v>
      </c>
      <c r="V8" s="189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1.0000000000000002</v>
      </c>
      <c r="W8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0.41527374964905178</v>
      </c>
      <c r="X8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0.57209972742504034</v>
      </c>
      <c r="Z8" s="18" t="s">
        <v>24</v>
      </c>
      <c r="AA8" s="246">
        <f ca="1">IF(戦略の決定!$D$6="","",AVERAGE(OFFSET($J$3,MATCH(戦略の決定!$D$6,$J$4:$J$656,0),MATCH($Z8,$K$3:$P$3,0),MATCH(戦略の決定!$D$7,$J$4:$J$656,0)-MATCH(戦略の決定!$D$6,$J$4:$J$656,0)+1,1))*52)</f>
        <v>0.20197935139176343</v>
      </c>
      <c r="AB8" s="247">
        <f ca="1">IF(戦略の決定!$D$6="","",_xlfn.STDEV.S(OFFSET($J$3,MATCH(戦略の決定!$D$6,$J$4:$J$656,0),MATCH($Z8,$K$3:$P$3,0),MATCH(戦略の決定!$D$7,$J$4:$J$656,0)-MATCH(戦略の決定!$D$6,$J$4:$J$656,0)+1,1))*SQRT(52))</f>
        <v>0.12651152705604601</v>
      </c>
      <c r="AC8" s="3"/>
      <c r="AD8" s="3"/>
      <c r="AE8" s="7"/>
    </row>
    <row r="9" spans="2:32" x14ac:dyDescent="0.15">
      <c r="B9" s="16">
        <v>39878</v>
      </c>
      <c r="C9" s="23">
        <v>8981</v>
      </c>
      <c r="D9" s="23">
        <v>10005</v>
      </c>
      <c r="E9" s="23">
        <v>8520</v>
      </c>
      <c r="F9" s="23">
        <v>9059</v>
      </c>
      <c r="G9" s="23">
        <v>10909</v>
      </c>
      <c r="H9" s="24">
        <v>8074</v>
      </c>
      <c r="I9" s="2">
        <f t="shared" si="6"/>
        <v>5</v>
      </c>
      <c r="J9" s="16">
        <v>39878</v>
      </c>
      <c r="K9" s="29">
        <f t="shared" si="0"/>
        <v>-5.2137203166226942E-2</v>
      </c>
      <c r="L9" s="29">
        <f t="shared" si="1"/>
        <v>-1.3973450444155766E-3</v>
      </c>
      <c r="M9" s="29">
        <f t="shared" si="2"/>
        <v>-2.2487379531895391E-2</v>
      </c>
      <c r="N9" s="29">
        <f t="shared" si="3"/>
        <v>-8.3004352667274017E-2</v>
      </c>
      <c r="O9" s="29">
        <f t="shared" si="4"/>
        <v>5.5304636372015548E-3</v>
      </c>
      <c r="P9" s="30">
        <f t="shared" si="5"/>
        <v>-9.0765765765765782E-2</v>
      </c>
      <c r="R9" s="18" t="s">
        <v>26</v>
      </c>
      <c r="S9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0.41848381547062719</v>
      </c>
      <c r="T9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5.0405683345163134E-2</v>
      </c>
      <c r="U9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0.25461283700822879</v>
      </c>
      <c r="V9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0.41527374964905178</v>
      </c>
      <c r="W9" s="189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1</v>
      </c>
      <c r="X9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0.45540046742775731</v>
      </c>
      <c r="Z9" s="18" t="s">
        <v>26</v>
      </c>
      <c r="AA9" s="246">
        <f ca="1">IF(戦略の決定!$D$6="","",AVERAGE(OFFSET($J$3,MATCH(戦略の決定!$D$6,$J$4:$J$656,0),MATCH($Z9,$K$3:$P$3,0),MATCH(戦略の決定!$D$7,$J$4:$J$656,0)-MATCH(戦略の決定!$D$6,$J$4:$J$656,0)+1,1))*52)</f>
        <v>6.2197949719349076E-2</v>
      </c>
      <c r="AB9" s="247">
        <f ca="1">IF(戦略の決定!$D$6="","",_xlfn.STDEV.S(OFFSET($J$3,MATCH(戦略の決定!$D$6,$J$4:$J$656,0),MATCH($Z9,$K$3:$P$3,0),MATCH(戦略の決定!$D$7,$J$4:$J$656,0)-MATCH(戦略の決定!$D$6,$J$4:$J$656,0)+1,1))*SQRT(52))</f>
        <v>3.5768740621498145E-2</v>
      </c>
      <c r="AC9" s="3"/>
      <c r="AD9" s="3"/>
      <c r="AE9" s="7"/>
    </row>
    <row r="10" spans="2:32" ht="15" thickBot="1" x14ac:dyDescent="0.2">
      <c r="B10" s="16">
        <v>39885</v>
      </c>
      <c r="C10" s="23">
        <v>9475</v>
      </c>
      <c r="D10" s="23">
        <v>10000</v>
      </c>
      <c r="E10" s="23">
        <v>8759</v>
      </c>
      <c r="F10" s="23">
        <v>9729</v>
      </c>
      <c r="G10" s="23">
        <v>10981</v>
      </c>
      <c r="H10" s="24">
        <v>8968</v>
      </c>
      <c r="I10" s="2">
        <f t="shared" si="6"/>
        <v>6</v>
      </c>
      <c r="J10" s="16">
        <v>39885</v>
      </c>
      <c r="K10" s="29">
        <f t="shared" si="0"/>
        <v>5.5005010577886759E-2</v>
      </c>
      <c r="L10" s="29">
        <f t="shared" si="1"/>
        <v>-4.997501249375258E-4</v>
      </c>
      <c r="M10" s="29">
        <f t="shared" si="2"/>
        <v>2.8051643192488207E-2</v>
      </c>
      <c r="N10" s="29">
        <f t="shared" si="3"/>
        <v>7.3959598189645703E-2</v>
      </c>
      <c r="O10" s="29">
        <f t="shared" si="4"/>
        <v>6.6000550004583491E-3</v>
      </c>
      <c r="P10" s="30">
        <f t="shared" si="5"/>
        <v>0.11072578647510523</v>
      </c>
      <c r="R10" s="39" t="s">
        <v>27</v>
      </c>
      <c r="S10" s="252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0.38404669974225392</v>
      </c>
      <c r="T10" s="252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3.9283690155939445E-2</v>
      </c>
      <c r="U10" s="252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0.4602661234781541</v>
      </c>
      <c r="V10" s="252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0.57209972742504034</v>
      </c>
      <c r="W10" s="252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0.45540046742775731</v>
      </c>
      <c r="X10" s="253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1</v>
      </c>
      <c r="Z10" s="39" t="s">
        <v>27</v>
      </c>
      <c r="AA10" s="248">
        <f ca="1">IF(戦略の決定!$D$6="","",AVERAGE(OFFSET($J$3,MATCH(戦略の決定!$D$6,$J$4:$J$656,0),MATCH($Z10,$K$3:$P$3,0),MATCH(戦略の決定!$D$7,$J$4:$J$656,0)-MATCH(戦略の決定!$D$6,$J$4:$J$656,0)+1,1))*52)</f>
        <v>0.16124542437101974</v>
      </c>
      <c r="AB10" s="249">
        <f ca="1">IF(戦略の決定!$D$6="","",_xlfn.STDEV.S(OFFSET($J$3,MATCH(戦略の決定!$D$6,$J$4:$J$656,0),MATCH($Z10,$K$3:$P$3,0),MATCH(戦略の決定!$D$7,$J$4:$J$656,0)-MATCH(戦略の決定!$D$6,$J$4:$J$656,0)+1,1))*SQRT(52))</f>
        <v>0.10492920623594738</v>
      </c>
      <c r="AC10" s="3"/>
      <c r="AD10" s="3"/>
      <c r="AE10" s="7"/>
    </row>
    <row r="11" spans="2:32" x14ac:dyDescent="0.15">
      <c r="B11" s="16">
        <v>39892</v>
      </c>
      <c r="C11" s="23">
        <v>9940</v>
      </c>
      <c r="D11" s="23">
        <v>10021</v>
      </c>
      <c r="E11" s="23">
        <v>9210</v>
      </c>
      <c r="F11" s="23">
        <v>10184</v>
      </c>
      <c r="G11" s="23">
        <v>11127</v>
      </c>
      <c r="H11" s="24">
        <v>9383</v>
      </c>
      <c r="I11" s="2">
        <f t="shared" si="6"/>
        <v>7</v>
      </c>
      <c r="J11" s="16">
        <v>39892</v>
      </c>
      <c r="K11" s="29">
        <f t="shared" si="0"/>
        <v>4.9076517150395738E-2</v>
      </c>
      <c r="L11" s="29">
        <f t="shared" si="1"/>
        <v>2.0999999999999908E-3</v>
      </c>
      <c r="M11" s="29">
        <f t="shared" si="2"/>
        <v>5.1489896106861499E-2</v>
      </c>
      <c r="N11" s="29">
        <f t="shared" si="3"/>
        <v>4.6767396443622156E-2</v>
      </c>
      <c r="O11" s="29">
        <f t="shared" si="4"/>
        <v>1.3295692559876171E-2</v>
      </c>
      <c r="P11" s="30">
        <f t="shared" si="5"/>
        <v>4.627564674397866E-2</v>
      </c>
      <c r="Z11" s="3"/>
      <c r="AA11" s="3"/>
      <c r="AB11" s="3"/>
      <c r="AC11" s="3"/>
      <c r="AD11" s="3"/>
      <c r="AE11" s="7"/>
    </row>
    <row r="12" spans="2:32" x14ac:dyDescent="0.15">
      <c r="B12" s="16">
        <v>39899</v>
      </c>
      <c r="C12" s="23">
        <v>10898</v>
      </c>
      <c r="D12" s="23">
        <v>9994</v>
      </c>
      <c r="E12" s="23">
        <v>10249</v>
      </c>
      <c r="F12" s="23">
        <v>10996</v>
      </c>
      <c r="G12" s="23">
        <v>11465</v>
      </c>
      <c r="H12" s="24">
        <v>9702</v>
      </c>
      <c r="I12" s="2">
        <f t="shared" si="6"/>
        <v>8</v>
      </c>
      <c r="J12" s="16">
        <v>39899</v>
      </c>
      <c r="K12" s="29">
        <f t="shared" si="0"/>
        <v>9.6378269617706236E-2</v>
      </c>
      <c r="L12" s="29">
        <f t="shared" si="1"/>
        <v>-2.6943418820476461E-3</v>
      </c>
      <c r="M12" s="29">
        <f t="shared" si="2"/>
        <v>0.11281216069489686</v>
      </c>
      <c r="N12" s="29">
        <f t="shared" si="3"/>
        <v>7.9732914375491015E-2</v>
      </c>
      <c r="O12" s="29">
        <f t="shared" si="4"/>
        <v>3.0376561517030609E-2</v>
      </c>
      <c r="P12" s="30">
        <f t="shared" si="5"/>
        <v>3.3997655334114807E-2</v>
      </c>
      <c r="Z12" s="3"/>
      <c r="AA12" s="3"/>
      <c r="AB12" s="3"/>
      <c r="AC12" s="3"/>
      <c r="AD12" s="3"/>
      <c r="AE12" s="7"/>
    </row>
    <row r="13" spans="2:32" x14ac:dyDescent="0.15">
      <c r="B13" s="16">
        <v>39906</v>
      </c>
      <c r="C13" s="23">
        <v>11046</v>
      </c>
      <c r="D13" s="23">
        <v>9954</v>
      </c>
      <c r="E13" s="23">
        <v>9496</v>
      </c>
      <c r="F13" s="23">
        <v>11321</v>
      </c>
      <c r="G13" s="23">
        <v>11602</v>
      </c>
      <c r="H13" s="24">
        <v>10053</v>
      </c>
      <c r="I13" s="2">
        <f t="shared" si="6"/>
        <v>9</v>
      </c>
      <c r="J13" s="16">
        <v>39906</v>
      </c>
      <c r="K13" s="29">
        <f t="shared" si="0"/>
        <v>1.3580473481372701E-2</v>
      </c>
      <c r="L13" s="29">
        <f t="shared" si="1"/>
        <v>-4.0024014408645003E-3</v>
      </c>
      <c r="M13" s="29">
        <f t="shared" si="2"/>
        <v>-7.3470582495853254E-2</v>
      </c>
      <c r="N13" s="29">
        <f t="shared" si="3"/>
        <v>2.9556202255365482E-2</v>
      </c>
      <c r="O13" s="29">
        <f t="shared" si="4"/>
        <v>1.19494112516354E-2</v>
      </c>
      <c r="P13" s="30">
        <f t="shared" si="5"/>
        <v>3.6178107606678944E-2</v>
      </c>
      <c r="Z13" s="3"/>
      <c r="AA13" s="3"/>
      <c r="AB13" s="3"/>
      <c r="AC13" s="3"/>
      <c r="AD13" s="3"/>
      <c r="AE13" s="7"/>
    </row>
    <row r="14" spans="2:32" x14ac:dyDescent="0.15">
      <c r="B14" s="16">
        <v>39913</v>
      </c>
      <c r="C14" s="23">
        <v>11321</v>
      </c>
      <c r="D14" s="23">
        <v>9922</v>
      </c>
      <c r="E14" s="23">
        <v>9822</v>
      </c>
      <c r="F14" s="23">
        <v>11507</v>
      </c>
      <c r="G14" s="23">
        <v>11481</v>
      </c>
      <c r="H14" s="24">
        <v>10960</v>
      </c>
      <c r="I14" s="2">
        <f t="shared" si="6"/>
        <v>10</v>
      </c>
      <c r="J14" s="16">
        <v>39913</v>
      </c>
      <c r="K14" s="29">
        <f t="shared" si="0"/>
        <v>2.4895889914901215E-2</v>
      </c>
      <c r="L14" s="29">
        <f t="shared" si="1"/>
        <v>-3.2147880249145944E-3</v>
      </c>
      <c r="M14" s="29">
        <f t="shared" si="2"/>
        <v>3.4330244313395042E-2</v>
      </c>
      <c r="N14" s="29">
        <f t="shared" si="3"/>
        <v>1.6429644024379408E-2</v>
      </c>
      <c r="O14" s="29">
        <f t="shared" si="4"/>
        <v>-1.0429236338562298E-2</v>
      </c>
      <c r="P14" s="30">
        <f t="shared" si="5"/>
        <v>9.022182433104553E-2</v>
      </c>
      <c r="Z14" s="3"/>
      <c r="AA14" s="3"/>
      <c r="AB14" s="3"/>
      <c r="AC14" s="3"/>
      <c r="AD14" s="3"/>
      <c r="AE14" s="7"/>
    </row>
    <row r="15" spans="2:32" x14ac:dyDescent="0.15">
      <c r="B15" s="16">
        <v>39920</v>
      </c>
      <c r="C15" s="23">
        <v>11252</v>
      </c>
      <c r="D15" s="23">
        <v>9933</v>
      </c>
      <c r="E15" s="23">
        <v>9610</v>
      </c>
      <c r="F15" s="23">
        <v>11627</v>
      </c>
      <c r="G15" s="23">
        <v>11464</v>
      </c>
      <c r="H15" s="24">
        <v>11202</v>
      </c>
      <c r="I15" s="2">
        <f t="shared" si="6"/>
        <v>11</v>
      </c>
      <c r="J15" s="16">
        <v>39920</v>
      </c>
      <c r="K15" s="29">
        <f t="shared" si="0"/>
        <v>-6.0948679445278486E-3</v>
      </c>
      <c r="L15" s="29">
        <f t="shared" si="1"/>
        <v>1.1086474501109667E-3</v>
      </c>
      <c r="M15" s="29">
        <f t="shared" si="2"/>
        <v>-2.1584198737528038E-2</v>
      </c>
      <c r="N15" s="29">
        <f t="shared" si="3"/>
        <v>1.0428434865733971E-2</v>
      </c>
      <c r="O15" s="29">
        <f t="shared" si="4"/>
        <v>-1.4807072554655631E-3</v>
      </c>
      <c r="P15" s="30">
        <f t="shared" si="5"/>
        <v>2.2080291970802968E-2</v>
      </c>
      <c r="Z15" s="3"/>
      <c r="AA15" s="3"/>
      <c r="AB15" s="3"/>
      <c r="AC15" s="3"/>
      <c r="AD15" s="3"/>
      <c r="AE15" s="7"/>
    </row>
    <row r="16" spans="2:32" x14ac:dyDescent="0.15">
      <c r="B16" s="16">
        <v>39927</v>
      </c>
      <c r="C16" s="23">
        <v>10999</v>
      </c>
      <c r="D16" s="23">
        <v>9949</v>
      </c>
      <c r="E16" s="23">
        <v>9538</v>
      </c>
      <c r="F16" s="23">
        <v>11243</v>
      </c>
      <c r="G16" s="23">
        <v>11196</v>
      </c>
      <c r="H16" s="24">
        <v>10787</v>
      </c>
      <c r="I16" s="2">
        <f t="shared" si="6"/>
        <v>12</v>
      </c>
      <c r="J16" s="16">
        <v>39927</v>
      </c>
      <c r="K16" s="29">
        <f t="shared" si="0"/>
        <v>-2.2484891574831134E-2</v>
      </c>
      <c r="L16" s="29">
        <f t="shared" si="1"/>
        <v>1.6107923084667242E-3</v>
      </c>
      <c r="M16" s="29">
        <f t="shared" si="2"/>
        <v>-7.4921956295525005E-3</v>
      </c>
      <c r="N16" s="29">
        <f t="shared" si="3"/>
        <v>-3.3026576072933689E-2</v>
      </c>
      <c r="O16" s="29">
        <f t="shared" si="4"/>
        <v>-2.3377529658060059E-2</v>
      </c>
      <c r="P16" s="30">
        <f t="shared" si="5"/>
        <v>-3.7046955900732037E-2</v>
      </c>
      <c r="Z16" s="3"/>
      <c r="AA16" s="3"/>
      <c r="AB16" s="3"/>
      <c r="AC16" s="3"/>
      <c r="AD16" s="3"/>
      <c r="AE16" s="7"/>
    </row>
    <row r="17" spans="2:31" x14ac:dyDescent="0.15">
      <c r="B17" s="16">
        <v>39934</v>
      </c>
      <c r="C17" s="23">
        <v>11337</v>
      </c>
      <c r="D17" s="23">
        <v>9979</v>
      </c>
      <c r="E17" s="23">
        <v>9683</v>
      </c>
      <c r="F17" s="23">
        <v>11808</v>
      </c>
      <c r="G17" s="23">
        <v>11423</v>
      </c>
      <c r="H17" s="24">
        <v>11293</v>
      </c>
      <c r="I17" s="2">
        <f t="shared" si="6"/>
        <v>13</v>
      </c>
      <c r="J17" s="16">
        <v>39934</v>
      </c>
      <c r="K17" s="29">
        <f t="shared" si="0"/>
        <v>3.0730066369669906E-2</v>
      </c>
      <c r="L17" s="29">
        <f t="shared" si="1"/>
        <v>3.0153784299928876E-3</v>
      </c>
      <c r="M17" s="29">
        <f t="shared" si="2"/>
        <v>1.5202348500733986E-2</v>
      </c>
      <c r="N17" s="29">
        <f t="shared" si="3"/>
        <v>5.0253491061104771E-2</v>
      </c>
      <c r="O17" s="29">
        <f t="shared" si="4"/>
        <v>2.0275098249374679E-2</v>
      </c>
      <c r="P17" s="30">
        <f t="shared" si="5"/>
        <v>4.6908315565032055E-2</v>
      </c>
      <c r="Z17" s="3"/>
      <c r="AA17" s="3"/>
      <c r="AB17" s="3"/>
      <c r="AC17" s="3"/>
      <c r="AD17" s="3"/>
      <c r="AE17" s="7"/>
    </row>
    <row r="18" spans="2:31" x14ac:dyDescent="0.15">
      <c r="B18" s="16">
        <v>39941</v>
      </c>
      <c r="C18" s="23">
        <v>11905</v>
      </c>
      <c r="D18" s="23">
        <v>9954</v>
      </c>
      <c r="E18" s="23">
        <v>9868</v>
      </c>
      <c r="F18" s="23">
        <v>12374</v>
      </c>
      <c r="G18" s="23">
        <v>11476</v>
      </c>
      <c r="H18" s="24">
        <v>11479</v>
      </c>
      <c r="I18" s="2">
        <f t="shared" si="6"/>
        <v>14</v>
      </c>
      <c r="J18" s="16">
        <v>39941</v>
      </c>
      <c r="K18" s="29">
        <f t="shared" si="0"/>
        <v>5.0101437770133206E-2</v>
      </c>
      <c r="L18" s="29">
        <f t="shared" si="1"/>
        <v>-2.5052610482012572E-3</v>
      </c>
      <c r="M18" s="29">
        <f t="shared" si="2"/>
        <v>1.9105649075699782E-2</v>
      </c>
      <c r="N18" s="29">
        <f t="shared" si="3"/>
        <v>4.7933604336043434E-2</v>
      </c>
      <c r="O18" s="29">
        <f t="shared" si="4"/>
        <v>4.6397618839184585E-3</v>
      </c>
      <c r="P18" s="30">
        <f t="shared" si="5"/>
        <v>1.6470379881342367E-2</v>
      </c>
      <c r="Z18" s="3"/>
      <c r="AA18" s="3"/>
      <c r="AB18" s="3"/>
      <c r="AC18" s="3"/>
      <c r="AD18" s="3"/>
      <c r="AE18" s="7"/>
    </row>
    <row r="19" spans="2:31" x14ac:dyDescent="0.15">
      <c r="B19" s="16">
        <v>39948</v>
      </c>
      <c r="C19" s="23">
        <v>11685</v>
      </c>
      <c r="D19" s="23">
        <v>9960</v>
      </c>
      <c r="E19" s="23">
        <v>9716</v>
      </c>
      <c r="F19" s="23">
        <v>11834</v>
      </c>
      <c r="G19" s="23">
        <v>11277</v>
      </c>
      <c r="H19" s="24">
        <v>10784</v>
      </c>
      <c r="I19" s="2">
        <f t="shared" si="6"/>
        <v>15</v>
      </c>
      <c r="J19" s="16">
        <v>39948</v>
      </c>
      <c r="K19" s="29">
        <f t="shared" si="0"/>
        <v>-1.8479630407391867E-2</v>
      </c>
      <c r="L19" s="29">
        <f t="shared" si="1"/>
        <v>6.0277275467157665E-4</v>
      </c>
      <c r="M19" s="29">
        <f t="shared" si="2"/>
        <v>-1.5403323875151975E-2</v>
      </c>
      <c r="N19" s="29">
        <f t="shared" si="3"/>
        <v>-4.3639890092128653E-2</v>
      </c>
      <c r="O19" s="29">
        <f t="shared" si="4"/>
        <v>-1.7340536772394555E-2</v>
      </c>
      <c r="P19" s="30">
        <f t="shared" si="5"/>
        <v>-6.0545343671051466E-2</v>
      </c>
      <c r="Z19" s="3"/>
      <c r="AA19" s="3"/>
      <c r="AB19" s="3"/>
      <c r="AC19" s="3"/>
      <c r="AD19" s="3"/>
      <c r="AE19" s="7"/>
    </row>
    <row r="20" spans="2:31" x14ac:dyDescent="0.15">
      <c r="B20" s="16">
        <v>39955</v>
      </c>
      <c r="C20" s="23">
        <v>11634</v>
      </c>
      <c r="D20" s="23">
        <v>9961</v>
      </c>
      <c r="E20" s="23">
        <v>9598</v>
      </c>
      <c r="F20" s="23">
        <v>11842</v>
      </c>
      <c r="G20" s="23">
        <v>11182</v>
      </c>
      <c r="H20" s="24">
        <v>10830</v>
      </c>
      <c r="I20" s="2">
        <f t="shared" si="6"/>
        <v>16</v>
      </c>
      <c r="J20" s="16">
        <v>39955</v>
      </c>
      <c r="K20" s="29">
        <f t="shared" si="0"/>
        <v>-4.3645699614890399E-3</v>
      </c>
      <c r="L20" s="29">
        <f t="shared" si="1"/>
        <v>1.0040160642565965E-4</v>
      </c>
      <c r="M20" s="29">
        <f t="shared" si="2"/>
        <v>-1.2144915603128914E-2</v>
      </c>
      <c r="N20" s="29">
        <f t="shared" si="3"/>
        <v>6.7601825249274938E-4</v>
      </c>
      <c r="O20" s="29">
        <f t="shared" si="4"/>
        <v>-8.4242263013212249E-3</v>
      </c>
      <c r="P20" s="30">
        <f t="shared" si="5"/>
        <v>4.2655786350147551E-3</v>
      </c>
      <c r="Z20" s="3"/>
      <c r="AA20" s="3"/>
      <c r="AB20" s="3"/>
      <c r="AC20" s="3"/>
      <c r="AD20" s="3"/>
      <c r="AE20" s="7"/>
    </row>
    <row r="21" spans="2:31" x14ac:dyDescent="0.15">
      <c r="B21" s="16">
        <v>39962</v>
      </c>
      <c r="C21" s="23">
        <v>12002</v>
      </c>
      <c r="D21" s="23">
        <v>9943</v>
      </c>
      <c r="E21" s="23">
        <v>10188</v>
      </c>
      <c r="F21" s="23">
        <v>12340</v>
      </c>
      <c r="G21" s="23">
        <v>11361</v>
      </c>
      <c r="H21" s="24">
        <v>11400</v>
      </c>
      <c r="I21" s="2">
        <f t="shared" si="6"/>
        <v>17</v>
      </c>
      <c r="J21" s="16">
        <v>39962</v>
      </c>
      <c r="K21" s="29">
        <f t="shared" si="0"/>
        <v>3.163142513323014E-2</v>
      </c>
      <c r="L21" s="29">
        <f t="shared" si="1"/>
        <v>-1.8070474851922258E-3</v>
      </c>
      <c r="M21" s="29">
        <f t="shared" si="2"/>
        <v>6.1471139820796106E-2</v>
      </c>
      <c r="N21" s="29">
        <f t="shared" si="3"/>
        <v>4.2053707144063424E-2</v>
      </c>
      <c r="O21" s="29">
        <f t="shared" si="4"/>
        <v>1.6007869790735096E-2</v>
      </c>
      <c r="P21" s="30">
        <f t="shared" si="5"/>
        <v>5.2631578947368363E-2</v>
      </c>
      <c r="Z21" s="3"/>
      <c r="AA21" s="3"/>
      <c r="AB21" s="3"/>
      <c r="AC21" s="3"/>
      <c r="AD21" s="3"/>
      <c r="AE21" s="7"/>
    </row>
    <row r="22" spans="2:31" x14ac:dyDescent="0.15">
      <c r="B22" s="16">
        <v>39969</v>
      </c>
      <c r="C22" s="23">
        <v>12313</v>
      </c>
      <c r="D22" s="23">
        <v>9953</v>
      </c>
      <c r="E22" s="23">
        <v>10370</v>
      </c>
      <c r="F22" s="23">
        <v>12784</v>
      </c>
      <c r="G22" s="23">
        <v>11496</v>
      </c>
      <c r="H22" s="24">
        <v>12222</v>
      </c>
      <c r="I22" s="2">
        <f t="shared" si="6"/>
        <v>18</v>
      </c>
      <c r="J22" s="16">
        <v>39969</v>
      </c>
      <c r="K22" s="29">
        <f t="shared" si="0"/>
        <v>2.5912347942009584E-2</v>
      </c>
      <c r="L22" s="29">
        <f t="shared" si="1"/>
        <v>1.0057326762547003E-3</v>
      </c>
      <c r="M22" s="29">
        <f t="shared" si="2"/>
        <v>1.7864153906556712E-2</v>
      </c>
      <c r="N22" s="29">
        <f t="shared" si="3"/>
        <v>3.5980551053484522E-2</v>
      </c>
      <c r="O22" s="29">
        <f t="shared" si="4"/>
        <v>1.1882756799577399E-2</v>
      </c>
      <c r="P22" s="30">
        <f t="shared" si="5"/>
        <v>7.2105263157894672E-2</v>
      </c>
      <c r="Z22" s="3"/>
      <c r="AA22" s="3"/>
      <c r="AB22" s="3"/>
      <c r="AC22" s="3"/>
      <c r="AD22" s="3"/>
      <c r="AE22" s="7"/>
    </row>
    <row r="23" spans="2:31" x14ac:dyDescent="0.15">
      <c r="B23" s="16">
        <v>39976</v>
      </c>
      <c r="C23" s="23">
        <v>12772</v>
      </c>
      <c r="D23" s="23">
        <v>9935</v>
      </c>
      <c r="E23" s="23">
        <v>10252</v>
      </c>
      <c r="F23" s="23">
        <v>13090</v>
      </c>
      <c r="G23" s="23">
        <v>11554</v>
      </c>
      <c r="H23" s="24">
        <v>11987</v>
      </c>
      <c r="I23" s="2">
        <f t="shared" si="6"/>
        <v>19</v>
      </c>
      <c r="J23" s="16">
        <v>39976</v>
      </c>
      <c r="K23" s="29">
        <f t="shared" si="0"/>
        <v>3.7277674003086236E-2</v>
      </c>
      <c r="L23" s="29">
        <f t="shared" si="1"/>
        <v>-1.8084999497638421E-3</v>
      </c>
      <c r="M23" s="29">
        <f t="shared" si="2"/>
        <v>-1.137897782063646E-2</v>
      </c>
      <c r="N23" s="29">
        <f t="shared" si="3"/>
        <v>2.3936170212766061E-2</v>
      </c>
      <c r="O23" s="29">
        <f t="shared" si="4"/>
        <v>5.0452331245651738E-3</v>
      </c>
      <c r="P23" s="30">
        <f t="shared" si="5"/>
        <v>-1.9227622320405868E-2</v>
      </c>
      <c r="Z23" s="3"/>
      <c r="AA23" s="3"/>
      <c r="AB23" s="3"/>
      <c r="AC23" s="3"/>
      <c r="AD23" s="3"/>
      <c r="AE23" s="7"/>
    </row>
    <row r="24" spans="2:31" x14ac:dyDescent="0.15">
      <c r="B24" s="16">
        <v>39983</v>
      </c>
      <c r="C24" s="23">
        <v>12324</v>
      </c>
      <c r="D24" s="23">
        <v>9977</v>
      </c>
      <c r="E24" s="23">
        <v>10426</v>
      </c>
      <c r="F24" s="23">
        <v>12393</v>
      </c>
      <c r="G24" s="23">
        <v>11369</v>
      </c>
      <c r="H24" s="24">
        <v>11433</v>
      </c>
      <c r="I24" s="2">
        <f t="shared" si="6"/>
        <v>20</v>
      </c>
      <c r="J24" s="16">
        <v>39983</v>
      </c>
      <c r="K24" s="29">
        <f t="shared" si="0"/>
        <v>-3.5076730347635476E-2</v>
      </c>
      <c r="L24" s="29">
        <f t="shared" si="1"/>
        <v>4.2274786109712803E-3</v>
      </c>
      <c r="M24" s="29">
        <f t="shared" si="2"/>
        <v>1.6972298088177906E-2</v>
      </c>
      <c r="N24" s="29">
        <f t="shared" si="3"/>
        <v>-5.3246753246753209E-2</v>
      </c>
      <c r="O24" s="29">
        <f t="shared" si="4"/>
        <v>-1.6011770815302029E-2</v>
      </c>
      <c r="P24" s="30">
        <f t="shared" si="5"/>
        <v>-4.6216734796029058E-2</v>
      </c>
      <c r="Z24" s="3"/>
      <c r="AA24" s="3"/>
      <c r="AB24" s="3"/>
      <c r="AC24" s="3"/>
      <c r="AD24" s="3"/>
      <c r="AE24" s="7"/>
    </row>
    <row r="25" spans="2:31" x14ac:dyDescent="0.15">
      <c r="B25" s="16">
        <v>39990</v>
      </c>
      <c r="C25" s="23">
        <v>12453</v>
      </c>
      <c r="D25" s="23">
        <v>10012</v>
      </c>
      <c r="E25" s="23">
        <v>11167</v>
      </c>
      <c r="F25" s="23">
        <v>12309</v>
      </c>
      <c r="G25" s="23">
        <v>11415</v>
      </c>
      <c r="H25" s="24">
        <v>11467</v>
      </c>
      <c r="I25" s="2">
        <f t="shared" si="6"/>
        <v>21</v>
      </c>
      <c r="J25" s="16">
        <v>39990</v>
      </c>
      <c r="K25" s="29">
        <f t="shared" si="0"/>
        <v>1.0467380720545316E-2</v>
      </c>
      <c r="L25" s="29">
        <f t="shared" si="1"/>
        <v>3.5080685576827086E-3</v>
      </c>
      <c r="M25" s="29">
        <f t="shared" si="2"/>
        <v>7.1072319201995082E-2</v>
      </c>
      <c r="N25" s="29">
        <f t="shared" si="3"/>
        <v>-6.7780198499153288E-3</v>
      </c>
      <c r="O25" s="29">
        <f t="shared" si="4"/>
        <v>4.0460902454042547E-3</v>
      </c>
      <c r="P25" s="30">
        <f t="shared" si="5"/>
        <v>2.9738476340417375E-3</v>
      </c>
      <c r="Z25" s="3"/>
      <c r="AA25" s="3"/>
      <c r="AB25" s="3"/>
      <c r="AC25" s="3"/>
      <c r="AD25" s="3"/>
      <c r="AE25" s="7"/>
    </row>
    <row r="26" spans="2:31" x14ac:dyDescent="0.15">
      <c r="B26" s="16">
        <v>39997</v>
      </c>
      <c r="C26" s="23">
        <v>12374</v>
      </c>
      <c r="D26" s="23">
        <v>10048</v>
      </c>
      <c r="E26" s="23">
        <v>11515</v>
      </c>
      <c r="F26" s="23">
        <v>12109</v>
      </c>
      <c r="G26" s="23">
        <v>11454</v>
      </c>
      <c r="H26" s="24">
        <v>11322</v>
      </c>
      <c r="I26" s="2">
        <f t="shared" si="6"/>
        <v>22</v>
      </c>
      <c r="J26" s="16">
        <v>39997</v>
      </c>
      <c r="K26" s="29">
        <f t="shared" si="0"/>
        <v>-6.3438528868545729E-3</v>
      </c>
      <c r="L26" s="29">
        <f t="shared" si="1"/>
        <v>3.5956851777867449E-3</v>
      </c>
      <c r="M26" s="29">
        <f t="shared" si="2"/>
        <v>3.1163248858242953E-2</v>
      </c>
      <c r="N26" s="29">
        <f t="shared" si="3"/>
        <v>-1.6248273620927733E-2</v>
      </c>
      <c r="O26" s="29">
        <f t="shared" si="4"/>
        <v>3.4165571616293633E-3</v>
      </c>
      <c r="P26" s="30">
        <f t="shared" si="5"/>
        <v>-1.2644981250545029E-2</v>
      </c>
      <c r="Z26" s="3"/>
      <c r="AA26" s="3"/>
      <c r="AB26" s="3"/>
      <c r="AC26" s="3"/>
      <c r="AD26" s="3"/>
      <c r="AE26" s="7"/>
    </row>
    <row r="27" spans="2:31" x14ac:dyDescent="0.15">
      <c r="B27" s="16">
        <v>40004</v>
      </c>
      <c r="C27" s="23">
        <v>11695</v>
      </c>
      <c r="D27" s="23">
        <v>10062</v>
      </c>
      <c r="E27" s="23">
        <v>11094</v>
      </c>
      <c r="F27" s="23">
        <v>11526</v>
      </c>
      <c r="G27" s="23">
        <v>11158</v>
      </c>
      <c r="H27" s="24">
        <v>10636</v>
      </c>
      <c r="I27" s="2">
        <f t="shared" si="6"/>
        <v>23</v>
      </c>
      <c r="J27" s="16">
        <v>40004</v>
      </c>
      <c r="K27" s="29">
        <f t="shared" si="0"/>
        <v>-5.4873121060287744E-2</v>
      </c>
      <c r="L27" s="29">
        <f t="shared" si="1"/>
        <v>1.3933121019107375E-3</v>
      </c>
      <c r="M27" s="29">
        <f t="shared" si="2"/>
        <v>-3.6561007381676114E-2</v>
      </c>
      <c r="N27" s="29">
        <f t="shared" si="3"/>
        <v>-4.8146007102155441E-2</v>
      </c>
      <c r="O27" s="29">
        <f t="shared" si="4"/>
        <v>-2.5842500436528693E-2</v>
      </c>
      <c r="P27" s="30">
        <f t="shared" si="5"/>
        <v>-6.0590001766472334E-2</v>
      </c>
      <c r="Z27" s="3"/>
      <c r="AA27" s="3"/>
      <c r="AB27" s="3"/>
      <c r="AC27" s="3"/>
      <c r="AD27" s="3"/>
      <c r="AE27" s="7"/>
    </row>
    <row r="28" spans="2:31" x14ac:dyDescent="0.15">
      <c r="B28" s="16">
        <v>40011</v>
      </c>
      <c r="C28" s="23">
        <v>11832</v>
      </c>
      <c r="D28" s="23">
        <v>10049</v>
      </c>
      <c r="E28" s="23">
        <v>11388</v>
      </c>
      <c r="F28" s="23">
        <v>12371</v>
      </c>
      <c r="G28" s="23">
        <v>11291</v>
      </c>
      <c r="H28" s="24">
        <v>11582</v>
      </c>
      <c r="I28" s="2">
        <f t="shared" si="6"/>
        <v>24</v>
      </c>
      <c r="J28" s="16">
        <v>40011</v>
      </c>
      <c r="K28" s="29">
        <f t="shared" si="0"/>
        <v>1.17144078666096E-2</v>
      </c>
      <c r="L28" s="29">
        <f t="shared" si="1"/>
        <v>-1.2919896640827266E-3</v>
      </c>
      <c r="M28" s="29">
        <f t="shared" si="2"/>
        <v>2.6500811249323908E-2</v>
      </c>
      <c r="N28" s="29">
        <f t="shared" si="3"/>
        <v>7.3312510845046086E-2</v>
      </c>
      <c r="O28" s="29">
        <f t="shared" si="4"/>
        <v>1.1919698870765272E-2</v>
      </c>
      <c r="P28" s="30">
        <f t="shared" si="5"/>
        <v>8.894321173373454E-2</v>
      </c>
      <c r="Z28" s="3"/>
      <c r="AA28" s="3"/>
      <c r="AB28" s="3"/>
      <c r="AC28" s="3"/>
      <c r="AD28" s="3"/>
      <c r="AE28" s="7"/>
    </row>
    <row r="29" spans="2:31" x14ac:dyDescent="0.15">
      <c r="B29" s="16">
        <v>40018</v>
      </c>
      <c r="C29" s="23">
        <v>12524</v>
      </c>
      <c r="D29" s="23">
        <v>10021</v>
      </c>
      <c r="E29" s="23">
        <v>11353</v>
      </c>
      <c r="F29" s="23">
        <v>13072</v>
      </c>
      <c r="G29" s="23">
        <v>11418</v>
      </c>
      <c r="H29" s="24">
        <v>12111</v>
      </c>
      <c r="I29" s="2">
        <f t="shared" si="6"/>
        <v>25</v>
      </c>
      <c r="J29" s="16">
        <v>40018</v>
      </c>
      <c r="K29" s="29">
        <f t="shared" si="0"/>
        <v>5.8485463150777628E-2</v>
      </c>
      <c r="L29" s="29">
        <f t="shared" si="1"/>
        <v>-2.786346900189085E-3</v>
      </c>
      <c r="M29" s="29">
        <f t="shared" si="2"/>
        <v>-3.073410607657201E-3</v>
      </c>
      <c r="N29" s="29">
        <f t="shared" si="3"/>
        <v>5.6664780535122361E-2</v>
      </c>
      <c r="O29" s="29">
        <f t="shared" si="4"/>
        <v>1.1247896554778203E-2</v>
      </c>
      <c r="P29" s="30">
        <f t="shared" si="5"/>
        <v>4.5674322224140917E-2</v>
      </c>
      <c r="Z29" s="3"/>
      <c r="AA29" s="3"/>
      <c r="AB29" s="3"/>
      <c r="AC29" s="3"/>
      <c r="AD29" s="3"/>
      <c r="AE29" s="7"/>
    </row>
    <row r="30" spans="2:31" x14ac:dyDescent="0.15">
      <c r="B30" s="16">
        <v>40025</v>
      </c>
      <c r="C30" s="23">
        <v>13045</v>
      </c>
      <c r="D30" s="23">
        <v>10013</v>
      </c>
      <c r="E30" s="23">
        <v>11421</v>
      </c>
      <c r="F30" s="23">
        <v>13362</v>
      </c>
      <c r="G30" s="23">
        <v>11513</v>
      </c>
      <c r="H30" s="24">
        <v>12588</v>
      </c>
      <c r="I30" s="2">
        <f t="shared" si="6"/>
        <v>26</v>
      </c>
      <c r="J30" s="16">
        <v>40025</v>
      </c>
      <c r="K30" s="29">
        <f t="shared" si="0"/>
        <v>4.1600127754710892E-2</v>
      </c>
      <c r="L30" s="29">
        <f t="shared" si="1"/>
        <v>-7.9832352060671408E-4</v>
      </c>
      <c r="M30" s="29">
        <f t="shared" si="2"/>
        <v>5.9896062714701603E-3</v>
      </c>
      <c r="N30" s="29">
        <f t="shared" si="3"/>
        <v>2.2184822521419845E-2</v>
      </c>
      <c r="O30" s="29">
        <f t="shared" si="4"/>
        <v>8.3201961814678427E-3</v>
      </c>
      <c r="P30" s="30">
        <f t="shared" si="5"/>
        <v>3.9385682437453662E-2</v>
      </c>
      <c r="Z30" s="3"/>
      <c r="AA30" s="3"/>
      <c r="AB30" s="3"/>
      <c r="AC30" s="3"/>
      <c r="AD30" s="3"/>
      <c r="AE30" s="7"/>
    </row>
    <row r="31" spans="2:31" x14ac:dyDescent="0.15">
      <c r="B31" s="16">
        <v>40032</v>
      </c>
      <c r="C31" s="23">
        <v>13112</v>
      </c>
      <c r="D31" s="23">
        <v>10002</v>
      </c>
      <c r="E31" s="23">
        <v>11540</v>
      </c>
      <c r="F31" s="23">
        <v>13617</v>
      </c>
      <c r="G31" s="23">
        <v>11703</v>
      </c>
      <c r="H31" s="24">
        <v>13746</v>
      </c>
      <c r="I31" s="2">
        <f t="shared" si="6"/>
        <v>27</v>
      </c>
      <c r="J31" s="16">
        <v>40032</v>
      </c>
      <c r="K31" s="29">
        <f t="shared" si="0"/>
        <v>5.1360674587965782E-3</v>
      </c>
      <c r="L31" s="29">
        <f t="shared" si="1"/>
        <v>-1.0985718565864611E-3</v>
      </c>
      <c r="M31" s="29">
        <f t="shared" si="2"/>
        <v>1.0419402854391135E-2</v>
      </c>
      <c r="N31" s="29">
        <f t="shared" si="3"/>
        <v>1.9083969465648831E-2</v>
      </c>
      <c r="O31" s="29">
        <f t="shared" si="4"/>
        <v>1.6503083470859048E-2</v>
      </c>
      <c r="P31" s="30">
        <f t="shared" si="5"/>
        <v>9.1992373689227858E-2</v>
      </c>
      <c r="Z31" s="3"/>
      <c r="AA31" s="3"/>
      <c r="AB31" s="3"/>
      <c r="AC31" s="3"/>
      <c r="AD31" s="3"/>
      <c r="AE31" s="7"/>
    </row>
    <row r="32" spans="2:31" x14ac:dyDescent="0.15">
      <c r="B32" s="16">
        <v>40039</v>
      </c>
      <c r="C32" s="23">
        <v>13339</v>
      </c>
      <c r="D32" s="23">
        <v>10024</v>
      </c>
      <c r="E32" s="23">
        <v>11816</v>
      </c>
      <c r="F32" s="23">
        <v>13772</v>
      </c>
      <c r="G32" s="23">
        <v>11674</v>
      </c>
      <c r="H32" s="24">
        <v>13906</v>
      </c>
      <c r="I32" s="2">
        <f t="shared" si="6"/>
        <v>28</v>
      </c>
      <c r="J32" s="16">
        <v>40039</v>
      </c>
      <c r="K32" s="29">
        <f t="shared" si="0"/>
        <v>1.7312385600976254E-2</v>
      </c>
      <c r="L32" s="29">
        <f t="shared" si="1"/>
        <v>2.1995600879824995E-3</v>
      </c>
      <c r="M32" s="29">
        <f t="shared" si="2"/>
        <v>2.3916811091854395E-2</v>
      </c>
      <c r="N32" s="29">
        <f t="shared" si="3"/>
        <v>1.1382830285672219E-2</v>
      </c>
      <c r="O32" s="29">
        <f t="shared" si="4"/>
        <v>-2.4779970947620411E-3</v>
      </c>
      <c r="P32" s="30">
        <f t="shared" si="5"/>
        <v>1.1639749745380401E-2</v>
      </c>
      <c r="Z32" s="3"/>
      <c r="AA32" s="3"/>
      <c r="AB32" s="3"/>
      <c r="AC32" s="3"/>
      <c r="AD32" s="3"/>
      <c r="AE32" s="7"/>
    </row>
    <row r="33" spans="2:31" x14ac:dyDescent="0.15">
      <c r="B33" s="16">
        <v>40046</v>
      </c>
      <c r="C33" s="23">
        <v>12894</v>
      </c>
      <c r="D33" s="23">
        <v>10063</v>
      </c>
      <c r="E33" s="23">
        <v>11507</v>
      </c>
      <c r="F33" s="23">
        <v>13471</v>
      </c>
      <c r="G33" s="23">
        <v>11577</v>
      </c>
      <c r="H33" s="24">
        <v>13460</v>
      </c>
      <c r="I33" s="2">
        <f t="shared" si="6"/>
        <v>29</v>
      </c>
      <c r="J33" s="16">
        <v>40046</v>
      </c>
      <c r="K33" s="29">
        <f t="shared" si="0"/>
        <v>-3.3360821650798456E-2</v>
      </c>
      <c r="L33" s="29">
        <f t="shared" si="1"/>
        <v>3.8906624102155174E-3</v>
      </c>
      <c r="M33" s="29">
        <f t="shared" si="2"/>
        <v>-2.6150981719702093E-2</v>
      </c>
      <c r="N33" s="29">
        <f t="shared" si="3"/>
        <v>-2.1855939587568929E-2</v>
      </c>
      <c r="O33" s="29">
        <f t="shared" si="4"/>
        <v>-8.3090628747644057E-3</v>
      </c>
      <c r="P33" s="30">
        <f t="shared" si="5"/>
        <v>-3.2072486696390068E-2</v>
      </c>
      <c r="Z33" s="3"/>
      <c r="AA33" s="3"/>
      <c r="AB33" s="3"/>
      <c r="AC33" s="3"/>
      <c r="AD33" s="3"/>
      <c r="AE33" s="7"/>
    </row>
    <row r="34" spans="2:31" x14ac:dyDescent="0.15">
      <c r="B34" s="16">
        <v>40053</v>
      </c>
      <c r="C34" s="23">
        <v>13260</v>
      </c>
      <c r="D34" s="23">
        <v>10070</v>
      </c>
      <c r="E34" s="23">
        <v>11646</v>
      </c>
      <c r="F34" s="23">
        <v>13785</v>
      </c>
      <c r="G34" s="23">
        <v>11597</v>
      </c>
      <c r="H34" s="24">
        <v>14058</v>
      </c>
      <c r="I34" s="2">
        <f t="shared" si="6"/>
        <v>30</v>
      </c>
      <c r="J34" s="16">
        <v>40053</v>
      </c>
      <c r="K34" s="29">
        <f t="shared" si="0"/>
        <v>2.8385295486272666E-2</v>
      </c>
      <c r="L34" s="29">
        <f t="shared" si="1"/>
        <v>6.9561760906289294E-4</v>
      </c>
      <c r="M34" s="29">
        <f t="shared" si="2"/>
        <v>1.2079603719475029E-2</v>
      </c>
      <c r="N34" s="29">
        <f t="shared" si="3"/>
        <v>2.3309331155816126E-2</v>
      </c>
      <c r="O34" s="29">
        <f t="shared" si="4"/>
        <v>1.7275632720048506E-3</v>
      </c>
      <c r="P34" s="30">
        <f t="shared" si="5"/>
        <v>4.4427934621099618E-2</v>
      </c>
      <c r="Z34" s="3"/>
      <c r="AA34" s="3"/>
      <c r="AB34" s="3"/>
      <c r="AC34" s="3"/>
      <c r="AD34" s="3"/>
      <c r="AE34" s="7"/>
    </row>
    <row r="35" spans="2:31" x14ac:dyDescent="0.15">
      <c r="B35" s="16">
        <v>40060</v>
      </c>
      <c r="C35" s="23">
        <v>12823</v>
      </c>
      <c r="D35" s="23">
        <v>10086</v>
      </c>
      <c r="E35" s="23">
        <v>11540</v>
      </c>
      <c r="F35" s="23">
        <v>13294</v>
      </c>
      <c r="G35" s="23">
        <v>11411</v>
      </c>
      <c r="H35" s="24">
        <v>13336</v>
      </c>
      <c r="I35" s="2">
        <f t="shared" si="6"/>
        <v>31</v>
      </c>
      <c r="J35" s="16">
        <v>40060</v>
      </c>
      <c r="K35" s="29">
        <f t="shared" si="0"/>
        <v>-3.2956259426847656E-2</v>
      </c>
      <c r="L35" s="29">
        <f t="shared" si="1"/>
        <v>1.5888778550148253E-3</v>
      </c>
      <c r="M35" s="29">
        <f t="shared" si="2"/>
        <v>-9.1018375407865282E-3</v>
      </c>
      <c r="N35" s="29">
        <f t="shared" si="3"/>
        <v>-3.5618425825172273E-2</v>
      </c>
      <c r="O35" s="29">
        <f t="shared" si="4"/>
        <v>-1.6038630680348387E-2</v>
      </c>
      <c r="P35" s="30">
        <f t="shared" si="5"/>
        <v>-5.1358656992459784E-2</v>
      </c>
      <c r="Z35" s="3"/>
      <c r="AA35" s="3"/>
      <c r="AB35" s="3"/>
      <c r="AC35" s="3"/>
      <c r="AD35" s="3"/>
      <c r="AE35" s="7"/>
    </row>
    <row r="36" spans="2:31" x14ac:dyDescent="0.15">
      <c r="B36" s="16">
        <v>40067</v>
      </c>
      <c r="C36" s="23">
        <v>13142</v>
      </c>
      <c r="D36" s="23">
        <v>10097</v>
      </c>
      <c r="E36" s="23">
        <v>11642</v>
      </c>
      <c r="F36" s="23">
        <v>13806</v>
      </c>
      <c r="G36" s="23">
        <v>11450</v>
      </c>
      <c r="H36" s="24">
        <v>14151</v>
      </c>
      <c r="I36" s="2">
        <f t="shared" si="6"/>
        <v>32</v>
      </c>
      <c r="J36" s="16">
        <v>40067</v>
      </c>
      <c r="K36" s="29">
        <f t="shared" si="0"/>
        <v>2.4877173828277366E-2</v>
      </c>
      <c r="L36" s="29">
        <f t="shared" si="1"/>
        <v>1.0906206623042536E-3</v>
      </c>
      <c r="M36" s="29">
        <f t="shared" si="2"/>
        <v>8.8388214904679963E-3</v>
      </c>
      <c r="N36" s="29">
        <f t="shared" si="3"/>
        <v>3.8513615164736059E-2</v>
      </c>
      <c r="O36" s="29">
        <f t="shared" si="4"/>
        <v>3.4177547980018819E-3</v>
      </c>
      <c r="P36" s="30">
        <f t="shared" si="5"/>
        <v>6.1112777444511046E-2</v>
      </c>
      <c r="Z36" s="3"/>
      <c r="AA36" s="3"/>
      <c r="AB36" s="3"/>
      <c r="AC36" s="3"/>
      <c r="AD36" s="3"/>
      <c r="AE36" s="7"/>
    </row>
    <row r="37" spans="2:31" x14ac:dyDescent="0.15">
      <c r="B37" s="16">
        <v>40074</v>
      </c>
      <c r="C37" s="23">
        <v>13047</v>
      </c>
      <c r="D37" s="23">
        <v>10079</v>
      </c>
      <c r="E37" s="23">
        <v>11477</v>
      </c>
      <c r="F37" s="23">
        <v>14119</v>
      </c>
      <c r="G37" s="23">
        <v>11460</v>
      </c>
      <c r="H37" s="24">
        <v>14912</v>
      </c>
      <c r="I37" s="2">
        <f t="shared" si="6"/>
        <v>33</v>
      </c>
      <c r="J37" s="16">
        <v>40074</v>
      </c>
      <c r="K37" s="29">
        <f t="shared" si="0"/>
        <v>-7.2287323086288602E-3</v>
      </c>
      <c r="L37" s="29">
        <f t="shared" si="1"/>
        <v>-1.7827077349708009E-3</v>
      </c>
      <c r="M37" s="29">
        <f t="shared" si="2"/>
        <v>-1.4172822539082586E-2</v>
      </c>
      <c r="N37" s="29">
        <f t="shared" si="3"/>
        <v>2.2671302332319287E-2</v>
      </c>
      <c r="O37" s="29">
        <f t="shared" si="4"/>
        <v>8.7336244541491581E-4</v>
      </c>
      <c r="P37" s="30">
        <f t="shared" si="5"/>
        <v>5.3777118224860532E-2</v>
      </c>
      <c r="Z37" s="3"/>
      <c r="AA37" s="3"/>
      <c r="AB37" s="3"/>
      <c r="AC37" s="3"/>
      <c r="AD37" s="3"/>
      <c r="AE37" s="7"/>
    </row>
    <row r="38" spans="2:31" x14ac:dyDescent="0.15">
      <c r="B38" s="16">
        <v>40081</v>
      </c>
      <c r="C38" s="23">
        <v>12983</v>
      </c>
      <c r="D38" s="23">
        <v>10099</v>
      </c>
      <c r="E38" s="23">
        <v>11412</v>
      </c>
      <c r="F38" s="23">
        <v>13750</v>
      </c>
      <c r="G38" s="23">
        <v>11359</v>
      </c>
      <c r="H38" s="24">
        <v>14237</v>
      </c>
      <c r="I38" s="2">
        <f t="shared" si="6"/>
        <v>34</v>
      </c>
      <c r="J38" s="16">
        <v>40081</v>
      </c>
      <c r="K38" s="29">
        <f t="shared" si="0"/>
        <v>-4.9053422242660849E-3</v>
      </c>
      <c r="L38" s="29">
        <f t="shared" si="1"/>
        <v>1.9843238416510367E-3</v>
      </c>
      <c r="M38" s="29">
        <f t="shared" si="2"/>
        <v>-5.6635009148732207E-3</v>
      </c>
      <c r="N38" s="29">
        <f t="shared" si="3"/>
        <v>-2.6134995396274507E-2</v>
      </c>
      <c r="O38" s="29">
        <f t="shared" si="4"/>
        <v>-8.8132635253054259E-3</v>
      </c>
      <c r="P38" s="30">
        <f t="shared" si="5"/>
        <v>-4.5265557939914158E-2</v>
      </c>
      <c r="Z38" s="3"/>
      <c r="AA38" s="3"/>
      <c r="AB38" s="3"/>
      <c r="AC38" s="3"/>
      <c r="AD38" s="3"/>
      <c r="AE38" s="7"/>
    </row>
    <row r="39" spans="2:31" x14ac:dyDescent="0.15">
      <c r="B39" s="16">
        <v>40088</v>
      </c>
      <c r="C39" s="23">
        <v>12299</v>
      </c>
      <c r="D39" s="23">
        <v>10118</v>
      </c>
      <c r="E39" s="23">
        <v>11209</v>
      </c>
      <c r="F39" s="23">
        <v>13358</v>
      </c>
      <c r="G39" s="23">
        <v>11218</v>
      </c>
      <c r="H39" s="24">
        <v>13828</v>
      </c>
      <c r="I39" s="2">
        <f t="shared" si="6"/>
        <v>35</v>
      </c>
      <c r="J39" s="16">
        <v>40088</v>
      </c>
      <c r="K39" s="29">
        <f t="shared" si="0"/>
        <v>-5.2684279442347659E-2</v>
      </c>
      <c r="L39" s="29">
        <f t="shared" si="1"/>
        <v>1.8813743935042204E-3</v>
      </c>
      <c r="M39" s="29">
        <f t="shared" si="2"/>
        <v>-1.7788293024886048E-2</v>
      </c>
      <c r="N39" s="29">
        <f t="shared" si="3"/>
        <v>-2.8509090909090928E-2</v>
      </c>
      <c r="O39" s="29">
        <f t="shared" si="4"/>
        <v>-1.2413064530328421E-2</v>
      </c>
      <c r="P39" s="30">
        <f t="shared" si="5"/>
        <v>-2.8727962351619007E-2</v>
      </c>
      <c r="Z39" s="3"/>
      <c r="AA39" s="3"/>
      <c r="AB39" s="3"/>
      <c r="AC39" s="3"/>
      <c r="AD39" s="3"/>
      <c r="AE39" s="7"/>
    </row>
    <row r="40" spans="2:31" x14ac:dyDescent="0.15">
      <c r="B40" s="16">
        <v>40095</v>
      </c>
      <c r="C40" s="23">
        <v>12655</v>
      </c>
      <c r="D40" s="23">
        <v>10102</v>
      </c>
      <c r="E40" s="23">
        <v>11286</v>
      </c>
      <c r="F40" s="23">
        <v>13742</v>
      </c>
      <c r="G40" s="23">
        <v>11276</v>
      </c>
      <c r="H40" s="24">
        <v>14198</v>
      </c>
      <c r="I40" s="2">
        <f t="shared" si="6"/>
        <v>36</v>
      </c>
      <c r="J40" s="16">
        <v>40095</v>
      </c>
      <c r="K40" s="29">
        <f t="shared" si="0"/>
        <v>2.8945442718920189E-2</v>
      </c>
      <c r="L40" s="29">
        <f t="shared" si="1"/>
        <v>-1.5813401858074672E-3</v>
      </c>
      <c r="M40" s="29">
        <f t="shared" si="2"/>
        <v>6.8694798822375169E-3</v>
      </c>
      <c r="N40" s="29">
        <f t="shared" si="3"/>
        <v>2.8746818385986028E-2</v>
      </c>
      <c r="O40" s="29">
        <f t="shared" si="4"/>
        <v>5.1702620788018905E-3</v>
      </c>
      <c r="P40" s="30">
        <f t="shared" si="5"/>
        <v>2.6757304020827322E-2</v>
      </c>
      <c r="Z40" s="3"/>
      <c r="AA40" s="3"/>
      <c r="AB40" s="3"/>
      <c r="AC40" s="3"/>
      <c r="AD40" s="3"/>
      <c r="AE40" s="7"/>
    </row>
    <row r="41" spans="2:31" x14ac:dyDescent="0.15">
      <c r="B41" s="16">
        <v>40102</v>
      </c>
      <c r="C41" s="23">
        <v>12962</v>
      </c>
      <c r="D41" s="23">
        <v>10079</v>
      </c>
      <c r="E41" s="23">
        <v>11034</v>
      </c>
      <c r="F41" s="23">
        <v>14475</v>
      </c>
      <c r="G41" s="23">
        <v>11536</v>
      </c>
      <c r="H41" s="24">
        <v>14810</v>
      </c>
      <c r="I41" s="2">
        <f t="shared" si="6"/>
        <v>37</v>
      </c>
      <c r="J41" s="16">
        <v>40102</v>
      </c>
      <c r="K41" s="29">
        <f t="shared" si="0"/>
        <v>2.4259186092453477E-2</v>
      </c>
      <c r="L41" s="29">
        <f t="shared" si="1"/>
        <v>-2.2767768758661378E-3</v>
      </c>
      <c r="M41" s="29">
        <f t="shared" si="2"/>
        <v>-2.2328548644338087E-2</v>
      </c>
      <c r="N41" s="29">
        <f t="shared" si="3"/>
        <v>5.3340125163731544E-2</v>
      </c>
      <c r="O41" s="29">
        <f t="shared" si="4"/>
        <v>2.3057821922667587E-2</v>
      </c>
      <c r="P41" s="30">
        <f t="shared" si="5"/>
        <v>4.3104662628539181E-2</v>
      </c>
      <c r="Z41" s="3"/>
      <c r="AA41" s="3"/>
      <c r="AB41" s="3"/>
      <c r="AC41" s="3"/>
      <c r="AD41" s="3"/>
      <c r="AE41" s="7"/>
    </row>
    <row r="42" spans="2:31" x14ac:dyDescent="0.15">
      <c r="B42" s="16">
        <v>40109</v>
      </c>
      <c r="C42" s="23">
        <v>12989</v>
      </c>
      <c r="D42" s="23">
        <v>10061</v>
      </c>
      <c r="E42" s="23">
        <v>10876</v>
      </c>
      <c r="F42" s="23">
        <v>14554</v>
      </c>
      <c r="G42" s="23">
        <v>11676</v>
      </c>
      <c r="H42" s="24">
        <v>14810</v>
      </c>
      <c r="I42" s="2">
        <f t="shared" si="6"/>
        <v>38</v>
      </c>
      <c r="J42" s="16">
        <v>40109</v>
      </c>
      <c r="K42" s="29">
        <f t="shared" si="0"/>
        <v>2.0830118808825571E-3</v>
      </c>
      <c r="L42" s="29">
        <f t="shared" si="1"/>
        <v>-1.7858914574858664E-3</v>
      </c>
      <c r="M42" s="29">
        <f t="shared" si="2"/>
        <v>-1.4319376472720635E-2</v>
      </c>
      <c r="N42" s="29">
        <f t="shared" si="3"/>
        <v>5.4576856649395378E-3</v>
      </c>
      <c r="O42" s="29">
        <f t="shared" si="4"/>
        <v>1.2135922330097193E-2</v>
      </c>
      <c r="P42" s="30">
        <f t="shared" si="5"/>
        <v>0</v>
      </c>
      <c r="Z42" s="3"/>
      <c r="AA42" s="3"/>
      <c r="AB42" s="3"/>
      <c r="AC42" s="3"/>
      <c r="AD42" s="3"/>
      <c r="AE42" s="7"/>
    </row>
    <row r="43" spans="2:31" x14ac:dyDescent="0.15">
      <c r="B43" s="16">
        <v>40116</v>
      </c>
      <c r="C43" s="23">
        <v>12669</v>
      </c>
      <c r="D43" s="23">
        <v>10049</v>
      </c>
      <c r="E43" s="23">
        <v>10937</v>
      </c>
      <c r="F43" s="23">
        <v>14084</v>
      </c>
      <c r="G43" s="23">
        <v>11565</v>
      </c>
      <c r="H43" s="24">
        <v>14234</v>
      </c>
      <c r="I43" s="2">
        <f t="shared" si="6"/>
        <v>39</v>
      </c>
      <c r="J43" s="16">
        <v>40116</v>
      </c>
      <c r="K43" s="29">
        <f t="shared" si="0"/>
        <v>-2.4636230656709501E-2</v>
      </c>
      <c r="L43" s="29">
        <f t="shared" si="1"/>
        <v>-1.1927243812742683E-3</v>
      </c>
      <c r="M43" s="29">
        <f t="shared" si="2"/>
        <v>5.6086796616403589E-3</v>
      </c>
      <c r="N43" s="29">
        <f t="shared" si="3"/>
        <v>-3.2293527552562873E-2</v>
      </c>
      <c r="O43" s="29">
        <f t="shared" si="4"/>
        <v>-9.5066803699896951E-3</v>
      </c>
      <c r="P43" s="30">
        <f t="shared" si="5"/>
        <v>-3.8892640108035059E-2</v>
      </c>
      <c r="Z43" s="3"/>
      <c r="AA43" s="3"/>
      <c r="AB43" s="3"/>
      <c r="AC43" s="3"/>
      <c r="AD43" s="3"/>
      <c r="AE43" s="7"/>
    </row>
    <row r="44" spans="2:31" x14ac:dyDescent="0.15">
      <c r="B44" s="16">
        <v>40123</v>
      </c>
      <c r="C44" s="23">
        <v>12360</v>
      </c>
      <c r="D44" s="23">
        <v>10034</v>
      </c>
      <c r="E44" s="23">
        <v>10760</v>
      </c>
      <c r="F44" s="23">
        <v>13959</v>
      </c>
      <c r="G44" s="23">
        <v>11465</v>
      </c>
      <c r="H44" s="24">
        <v>14060</v>
      </c>
      <c r="I44" s="2">
        <f t="shared" si="6"/>
        <v>40</v>
      </c>
      <c r="J44" s="16">
        <v>40123</v>
      </c>
      <c r="K44" s="29">
        <f t="shared" si="0"/>
        <v>-2.4390243902439046E-2</v>
      </c>
      <c r="L44" s="29">
        <f t="shared" si="1"/>
        <v>-1.4926858393869979E-3</v>
      </c>
      <c r="M44" s="29">
        <f t="shared" si="2"/>
        <v>-1.6183596964432612E-2</v>
      </c>
      <c r="N44" s="29">
        <f t="shared" si="3"/>
        <v>-8.8753195115024441E-3</v>
      </c>
      <c r="O44" s="29">
        <f t="shared" si="4"/>
        <v>-8.6467790747946083E-3</v>
      </c>
      <c r="P44" s="30">
        <f t="shared" si="5"/>
        <v>-1.222425179148523E-2</v>
      </c>
      <c r="Z44" s="3"/>
      <c r="AA44" s="3"/>
      <c r="AB44" s="3"/>
      <c r="AC44" s="3"/>
      <c r="AD44" s="3"/>
      <c r="AE44" s="7"/>
    </row>
    <row r="45" spans="2:31" x14ac:dyDescent="0.15">
      <c r="B45" s="16">
        <v>40130</v>
      </c>
      <c r="C45" s="23">
        <v>12332</v>
      </c>
      <c r="D45" s="23">
        <v>10082</v>
      </c>
      <c r="E45" s="23">
        <v>10536</v>
      </c>
      <c r="F45" s="23">
        <v>14260</v>
      </c>
      <c r="G45" s="23">
        <v>11492</v>
      </c>
      <c r="H45" s="24">
        <v>14541</v>
      </c>
      <c r="I45" s="2">
        <f t="shared" si="6"/>
        <v>41</v>
      </c>
      <c r="J45" s="16">
        <v>40130</v>
      </c>
      <c r="K45" s="29">
        <f t="shared" si="0"/>
        <v>-2.2653721682848182E-3</v>
      </c>
      <c r="L45" s="29">
        <f t="shared" si="1"/>
        <v>4.7837352999799965E-3</v>
      </c>
      <c r="M45" s="29">
        <f t="shared" si="2"/>
        <v>-2.0817843866171026E-2</v>
      </c>
      <c r="N45" s="29">
        <f t="shared" si="3"/>
        <v>2.1563149222723732E-2</v>
      </c>
      <c r="O45" s="29">
        <f t="shared" si="4"/>
        <v>2.3549934583515508E-3</v>
      </c>
      <c r="P45" s="30">
        <f t="shared" si="5"/>
        <v>3.4210526315789469E-2</v>
      </c>
      <c r="Z45" s="3"/>
      <c r="AA45" s="3"/>
      <c r="AB45" s="3"/>
      <c r="AC45" s="3"/>
      <c r="AD45" s="3"/>
      <c r="AE45" s="7"/>
    </row>
    <row r="46" spans="2:31" x14ac:dyDescent="0.15">
      <c r="B46" s="16">
        <v>40137</v>
      </c>
      <c r="C46" s="23">
        <v>11988</v>
      </c>
      <c r="D46" s="23">
        <v>10106</v>
      </c>
      <c r="E46" s="23">
        <v>10061</v>
      </c>
      <c r="F46" s="23">
        <v>14115</v>
      </c>
      <c r="G46" s="23">
        <v>11403</v>
      </c>
      <c r="H46" s="24">
        <v>14434</v>
      </c>
      <c r="I46" s="2">
        <f t="shared" si="6"/>
        <v>42</v>
      </c>
      <c r="J46" s="16">
        <v>40137</v>
      </c>
      <c r="K46" s="29">
        <f t="shared" si="0"/>
        <v>-2.7894907557573845E-2</v>
      </c>
      <c r="L46" s="29">
        <f t="shared" si="1"/>
        <v>2.3804800634794621E-3</v>
      </c>
      <c r="M46" s="29">
        <f t="shared" si="2"/>
        <v>-4.5083523158694017E-2</v>
      </c>
      <c r="N46" s="29">
        <f t="shared" si="3"/>
        <v>-1.0168302945301577E-2</v>
      </c>
      <c r="O46" s="29">
        <f t="shared" si="4"/>
        <v>-7.74451792551345E-3</v>
      </c>
      <c r="P46" s="30">
        <f t="shared" si="5"/>
        <v>-7.3585035417096378E-3</v>
      </c>
      <c r="Z46" s="3"/>
      <c r="AA46" s="3"/>
      <c r="AB46" s="3"/>
      <c r="AC46" s="3"/>
      <c r="AD46" s="3"/>
      <c r="AE46" s="7"/>
    </row>
    <row r="47" spans="2:31" x14ac:dyDescent="0.15">
      <c r="B47" s="16">
        <v>40144</v>
      </c>
      <c r="C47" s="23">
        <v>11462</v>
      </c>
      <c r="D47" s="23">
        <v>10134</v>
      </c>
      <c r="E47" s="23">
        <v>9611</v>
      </c>
      <c r="F47" s="23">
        <v>13660</v>
      </c>
      <c r="G47" s="23">
        <v>11085</v>
      </c>
      <c r="H47" s="24">
        <v>13675</v>
      </c>
      <c r="I47" s="2">
        <f t="shared" si="6"/>
        <v>43</v>
      </c>
      <c r="J47" s="16">
        <v>40144</v>
      </c>
      <c r="K47" s="29">
        <f t="shared" si="0"/>
        <v>-4.3877210543877165E-2</v>
      </c>
      <c r="L47" s="29">
        <f t="shared" si="1"/>
        <v>2.7706313081337086E-3</v>
      </c>
      <c r="M47" s="29">
        <f t="shared" si="2"/>
        <v>-4.4727164297783562E-2</v>
      </c>
      <c r="N47" s="29">
        <f t="shared" si="3"/>
        <v>-3.223521076868574E-2</v>
      </c>
      <c r="O47" s="29">
        <f t="shared" si="4"/>
        <v>-2.7887398053143886E-2</v>
      </c>
      <c r="P47" s="30">
        <f t="shared" si="5"/>
        <v>-5.2584176250519588E-2</v>
      </c>
      <c r="Z47" s="3"/>
      <c r="AA47" s="3"/>
      <c r="AB47" s="3"/>
      <c r="AC47" s="3"/>
      <c r="AD47" s="3"/>
      <c r="AE47" s="7"/>
    </row>
    <row r="48" spans="2:31" x14ac:dyDescent="0.15">
      <c r="B48" s="16">
        <v>40151</v>
      </c>
      <c r="C48" s="23">
        <v>12645</v>
      </c>
      <c r="D48" s="23">
        <v>10135</v>
      </c>
      <c r="E48" s="23">
        <v>10447</v>
      </c>
      <c r="F48" s="23">
        <v>14076</v>
      </c>
      <c r="G48" s="23">
        <v>11353</v>
      </c>
      <c r="H48" s="24">
        <v>14352</v>
      </c>
      <c r="I48" s="2">
        <f t="shared" si="6"/>
        <v>44</v>
      </c>
      <c r="J48" s="16">
        <v>40151</v>
      </c>
      <c r="K48" s="29">
        <f t="shared" si="0"/>
        <v>0.10321060896876633</v>
      </c>
      <c r="L48" s="29">
        <f t="shared" si="1"/>
        <v>9.8677718571194006E-5</v>
      </c>
      <c r="M48" s="29">
        <f t="shared" si="2"/>
        <v>8.6983664551035345E-2</v>
      </c>
      <c r="N48" s="29">
        <f t="shared" si="3"/>
        <v>3.0453879941434892E-2</v>
      </c>
      <c r="O48" s="29">
        <f t="shared" si="4"/>
        <v>2.4176815516463668E-2</v>
      </c>
      <c r="P48" s="30">
        <f t="shared" si="5"/>
        <v>4.950639853747707E-2</v>
      </c>
      <c r="Z48" s="3"/>
      <c r="AA48" s="3"/>
      <c r="AB48" s="3"/>
      <c r="AC48" s="3"/>
      <c r="AD48" s="3"/>
      <c r="AE48" s="7"/>
    </row>
    <row r="49" spans="2:31" x14ac:dyDescent="0.15">
      <c r="B49" s="16">
        <v>40158</v>
      </c>
      <c r="C49" s="23">
        <v>12754</v>
      </c>
      <c r="D49" s="23">
        <v>10134</v>
      </c>
      <c r="E49" s="23">
        <v>10152</v>
      </c>
      <c r="F49" s="23">
        <v>13960</v>
      </c>
      <c r="G49" s="23">
        <v>11200</v>
      </c>
      <c r="H49" s="24">
        <v>14130</v>
      </c>
      <c r="I49" s="2">
        <f t="shared" si="6"/>
        <v>45</v>
      </c>
      <c r="J49" s="16">
        <v>40158</v>
      </c>
      <c r="K49" s="29">
        <f t="shared" si="0"/>
        <v>8.6200079082641157E-3</v>
      </c>
      <c r="L49" s="29">
        <f t="shared" si="1"/>
        <v>-9.8667982239786234E-5</v>
      </c>
      <c r="M49" s="29">
        <f t="shared" si="2"/>
        <v>-2.8237771609074369E-2</v>
      </c>
      <c r="N49" s="29">
        <f t="shared" si="3"/>
        <v>-8.2409775504405092E-3</v>
      </c>
      <c r="O49" s="29">
        <f t="shared" si="4"/>
        <v>-1.3476614110807694E-2</v>
      </c>
      <c r="P49" s="30">
        <f t="shared" si="5"/>
        <v>-1.5468227424749181E-2</v>
      </c>
      <c r="Z49" s="3"/>
      <c r="AA49" s="3"/>
      <c r="AB49" s="3"/>
      <c r="AC49" s="3"/>
      <c r="AD49" s="3"/>
      <c r="AE49" s="7"/>
    </row>
    <row r="50" spans="2:31" x14ac:dyDescent="0.15">
      <c r="B50" s="16">
        <v>40165</v>
      </c>
      <c r="C50" s="23">
        <v>12795</v>
      </c>
      <c r="D50" s="23">
        <v>10153</v>
      </c>
      <c r="E50" s="23">
        <v>10170</v>
      </c>
      <c r="F50" s="23">
        <v>13963</v>
      </c>
      <c r="G50" s="23">
        <v>11154</v>
      </c>
      <c r="H50" s="24">
        <v>14373</v>
      </c>
      <c r="I50" s="2">
        <f t="shared" si="6"/>
        <v>46</v>
      </c>
      <c r="J50" s="16">
        <v>40165</v>
      </c>
      <c r="K50" s="29">
        <f t="shared" si="0"/>
        <v>3.214677748157424E-3</v>
      </c>
      <c r="L50" s="29">
        <f t="shared" si="1"/>
        <v>1.8748766528517979E-3</v>
      </c>
      <c r="M50" s="29">
        <f t="shared" si="2"/>
        <v>1.7730496453900457E-3</v>
      </c>
      <c r="N50" s="29">
        <f t="shared" si="3"/>
        <v>2.1489971346699832E-4</v>
      </c>
      <c r="O50" s="29">
        <f t="shared" si="4"/>
        <v>-4.1071428571428648E-3</v>
      </c>
      <c r="P50" s="30">
        <f t="shared" si="5"/>
        <v>1.719745222929947E-2</v>
      </c>
      <c r="Z50" s="3"/>
      <c r="AA50" s="3"/>
      <c r="AB50" s="3"/>
      <c r="AC50" s="3"/>
      <c r="AD50" s="3"/>
      <c r="AE50" s="7"/>
    </row>
    <row r="51" spans="2:31" x14ac:dyDescent="0.15">
      <c r="B51" s="16">
        <v>40172</v>
      </c>
      <c r="C51" s="23">
        <v>13242</v>
      </c>
      <c r="D51" s="23">
        <v>10138</v>
      </c>
      <c r="E51" s="23">
        <v>10296</v>
      </c>
      <c r="F51" s="23">
        <v>14697</v>
      </c>
      <c r="G51" s="23">
        <v>11357</v>
      </c>
      <c r="H51" s="24">
        <v>15302</v>
      </c>
      <c r="I51" s="2">
        <f t="shared" si="6"/>
        <v>47</v>
      </c>
      <c r="J51" s="16">
        <v>40172</v>
      </c>
      <c r="K51" s="29">
        <f t="shared" si="0"/>
        <v>3.4935521688159499E-2</v>
      </c>
      <c r="L51" s="29">
        <f t="shared" si="1"/>
        <v>-1.4773958435930767E-3</v>
      </c>
      <c r="M51" s="29">
        <f t="shared" si="2"/>
        <v>1.2389380530973382E-2</v>
      </c>
      <c r="N51" s="29">
        <f t="shared" si="3"/>
        <v>5.2567499820955321E-2</v>
      </c>
      <c r="O51" s="29">
        <f t="shared" si="4"/>
        <v>1.8199748968979801E-2</v>
      </c>
      <c r="P51" s="30">
        <f t="shared" si="5"/>
        <v>6.4635079663257544E-2</v>
      </c>
      <c r="Z51" s="3"/>
      <c r="AA51" s="3"/>
      <c r="AB51" s="3"/>
      <c r="AC51" s="3"/>
      <c r="AD51" s="3"/>
      <c r="AE51" s="7"/>
    </row>
    <row r="52" spans="2:31" x14ac:dyDescent="0.15">
      <c r="B52" s="16">
        <v>40179</v>
      </c>
      <c r="C52" s="23">
        <v>13316</v>
      </c>
      <c r="D52" s="23">
        <v>10137</v>
      </c>
      <c r="E52" s="23">
        <v>10596</v>
      </c>
      <c r="F52" s="23">
        <v>14820</v>
      </c>
      <c r="G52" s="23">
        <v>11381</v>
      </c>
      <c r="H52" s="24">
        <v>15385</v>
      </c>
      <c r="I52" s="2">
        <f t="shared" si="6"/>
        <v>48</v>
      </c>
      <c r="J52" s="16">
        <v>40179</v>
      </c>
      <c r="K52" s="29">
        <f t="shared" si="0"/>
        <v>5.5882797160549114E-3</v>
      </c>
      <c r="L52" s="29">
        <f t="shared" si="1"/>
        <v>-9.8638784770122001E-5</v>
      </c>
      <c r="M52" s="29">
        <f t="shared" si="2"/>
        <v>2.9137529137529095E-2</v>
      </c>
      <c r="N52" s="29">
        <f t="shared" si="3"/>
        <v>8.3690549091650634E-3</v>
      </c>
      <c r="O52" s="29">
        <f t="shared" si="4"/>
        <v>2.1132341287311007E-3</v>
      </c>
      <c r="P52" s="30">
        <f t="shared" si="5"/>
        <v>5.4241275650241949E-3</v>
      </c>
      <c r="Z52" s="3"/>
      <c r="AA52" s="3"/>
      <c r="AB52" s="3"/>
      <c r="AC52" s="3"/>
      <c r="AD52" s="3"/>
      <c r="AE52" s="7"/>
    </row>
    <row r="53" spans="2:31" x14ac:dyDescent="0.15">
      <c r="B53" s="16">
        <v>40186</v>
      </c>
      <c r="C53" s="23">
        <v>13634</v>
      </c>
      <c r="D53" s="23">
        <v>10101</v>
      </c>
      <c r="E53" s="23">
        <v>10615</v>
      </c>
      <c r="F53" s="23">
        <v>15263</v>
      </c>
      <c r="G53" s="23">
        <v>11547</v>
      </c>
      <c r="H53" s="24">
        <v>15664</v>
      </c>
      <c r="I53" s="2">
        <f t="shared" si="6"/>
        <v>49</v>
      </c>
      <c r="J53" s="16">
        <v>40186</v>
      </c>
      <c r="K53" s="29">
        <f t="shared" si="0"/>
        <v>2.3881045358966624E-2</v>
      </c>
      <c r="L53" s="29">
        <f t="shared" si="1"/>
        <v>-3.5513465522344356E-3</v>
      </c>
      <c r="M53" s="29">
        <f t="shared" si="2"/>
        <v>1.7931294828237299E-3</v>
      </c>
      <c r="N53" s="29">
        <f t="shared" si="3"/>
        <v>2.9892037786774628E-2</v>
      </c>
      <c r="O53" s="29">
        <f t="shared" si="4"/>
        <v>1.4585713030489389E-2</v>
      </c>
      <c r="P53" s="30">
        <f t="shared" si="5"/>
        <v>1.813454663633407E-2</v>
      </c>
      <c r="Z53" s="3"/>
      <c r="AA53" s="3"/>
      <c r="AB53" s="3"/>
      <c r="AC53" s="3"/>
      <c r="AD53" s="3"/>
      <c r="AE53" s="7"/>
    </row>
    <row r="54" spans="2:31" x14ac:dyDescent="0.15">
      <c r="B54" s="16">
        <v>40193</v>
      </c>
      <c r="C54" s="23">
        <v>13862</v>
      </c>
      <c r="D54" s="23">
        <v>10120</v>
      </c>
      <c r="E54" s="23">
        <v>10810</v>
      </c>
      <c r="F54" s="23">
        <v>15053</v>
      </c>
      <c r="G54" s="23">
        <v>11427</v>
      </c>
      <c r="H54" s="24">
        <v>15389</v>
      </c>
      <c r="I54" s="2">
        <f t="shared" si="6"/>
        <v>50</v>
      </c>
      <c r="J54" s="16">
        <v>40193</v>
      </c>
      <c r="K54" s="29">
        <f t="shared" si="0"/>
        <v>1.6722898635763483E-2</v>
      </c>
      <c r="L54" s="29">
        <f t="shared" si="1"/>
        <v>1.8810018810018203E-3</v>
      </c>
      <c r="M54" s="29">
        <f t="shared" si="2"/>
        <v>1.8370230805464072E-2</v>
      </c>
      <c r="N54" s="29">
        <f t="shared" si="3"/>
        <v>-1.3758763021686438E-2</v>
      </c>
      <c r="O54" s="29">
        <f t="shared" si="4"/>
        <v>-1.0392309690828827E-2</v>
      </c>
      <c r="P54" s="30">
        <f t="shared" si="5"/>
        <v>-1.75561797752809E-2</v>
      </c>
      <c r="Z54" s="3"/>
      <c r="AA54" s="3"/>
      <c r="AB54" s="3"/>
      <c r="AC54" s="3"/>
      <c r="AD54" s="3"/>
      <c r="AE54" s="7"/>
    </row>
    <row r="55" spans="2:31" x14ac:dyDescent="0.15">
      <c r="B55" s="16">
        <v>40200</v>
      </c>
      <c r="C55" s="23">
        <v>13367</v>
      </c>
      <c r="D55" s="23">
        <v>10121</v>
      </c>
      <c r="E55" s="23">
        <v>11053</v>
      </c>
      <c r="F55" s="23">
        <v>14328</v>
      </c>
      <c r="G55" s="23">
        <v>11154</v>
      </c>
      <c r="H55" s="24">
        <v>14809</v>
      </c>
      <c r="I55" s="2">
        <f t="shared" si="6"/>
        <v>51</v>
      </c>
      <c r="J55" s="16">
        <v>40200</v>
      </c>
      <c r="K55" s="29">
        <f t="shared" si="0"/>
        <v>-3.5709132881258099E-2</v>
      </c>
      <c r="L55" s="29">
        <f t="shared" si="1"/>
        <v>9.8814229249066798E-5</v>
      </c>
      <c r="M55" s="29">
        <f t="shared" si="2"/>
        <v>2.247918593894549E-2</v>
      </c>
      <c r="N55" s="29">
        <f t="shared" si="3"/>
        <v>-4.8163156845811517E-2</v>
      </c>
      <c r="O55" s="29">
        <f t="shared" si="4"/>
        <v>-2.3890784982935176E-2</v>
      </c>
      <c r="P55" s="30">
        <f t="shared" si="5"/>
        <v>-3.7689258561310002E-2</v>
      </c>
      <c r="Z55" s="3"/>
      <c r="AA55" s="3"/>
      <c r="AB55" s="3"/>
      <c r="AC55" s="3"/>
      <c r="AD55" s="3"/>
      <c r="AE55" s="7"/>
    </row>
    <row r="56" spans="2:31" x14ac:dyDescent="0.15">
      <c r="B56" s="16">
        <v>40207</v>
      </c>
      <c r="C56" s="23">
        <v>12863</v>
      </c>
      <c r="D56" s="23">
        <v>10131</v>
      </c>
      <c r="E56" s="23">
        <v>10801</v>
      </c>
      <c r="F56" s="23">
        <v>13747</v>
      </c>
      <c r="G56" s="23">
        <v>10995</v>
      </c>
      <c r="H56" s="24">
        <v>14387</v>
      </c>
      <c r="I56" s="2">
        <f t="shared" si="6"/>
        <v>52</v>
      </c>
      <c r="J56" s="16">
        <v>40207</v>
      </c>
      <c r="K56" s="29">
        <f t="shared" si="0"/>
        <v>-3.770479539163607E-2</v>
      </c>
      <c r="L56" s="29">
        <f t="shared" si="1"/>
        <v>9.8804465961865873E-4</v>
      </c>
      <c r="M56" s="29">
        <f t="shared" si="2"/>
        <v>-2.2799240025332512E-2</v>
      </c>
      <c r="N56" s="29">
        <f t="shared" si="3"/>
        <v>-4.0549972082635444E-2</v>
      </c>
      <c r="O56" s="29">
        <f t="shared" si="4"/>
        <v>-1.4254975793437374E-2</v>
      </c>
      <c r="P56" s="30">
        <f t="shared" si="5"/>
        <v>-2.8496184752515363E-2</v>
      </c>
      <c r="Z56" s="3"/>
      <c r="AA56" s="3"/>
      <c r="AB56" s="3"/>
      <c r="AC56" s="3"/>
      <c r="AD56" s="3"/>
      <c r="AE56" s="7"/>
    </row>
    <row r="57" spans="2:31" x14ac:dyDescent="0.15">
      <c r="B57" s="16">
        <v>40214</v>
      </c>
      <c r="C57" s="23">
        <v>12690</v>
      </c>
      <c r="D57" s="23">
        <v>10110</v>
      </c>
      <c r="E57" s="23">
        <v>10801</v>
      </c>
      <c r="F57" s="23">
        <v>13445</v>
      </c>
      <c r="G57" s="23">
        <v>10905</v>
      </c>
      <c r="H57" s="24">
        <v>14119</v>
      </c>
      <c r="I57" s="2">
        <f t="shared" si="6"/>
        <v>53</v>
      </c>
      <c r="J57" s="16">
        <v>40214</v>
      </c>
      <c r="K57" s="29">
        <f t="shared" si="0"/>
        <v>-1.3449428593640622E-2</v>
      </c>
      <c r="L57" s="29">
        <f t="shared" si="1"/>
        <v>-2.0728457210541507E-3</v>
      </c>
      <c r="M57" s="29">
        <f t="shared" si="2"/>
        <v>0</v>
      </c>
      <c r="N57" s="29">
        <f t="shared" si="3"/>
        <v>-2.1968429475521911E-2</v>
      </c>
      <c r="O57" s="29">
        <f t="shared" si="4"/>
        <v>-8.1855388813096841E-3</v>
      </c>
      <c r="P57" s="30">
        <f t="shared" si="5"/>
        <v>-1.8627927990547022E-2</v>
      </c>
      <c r="Z57" s="3"/>
      <c r="AA57" s="3"/>
      <c r="AB57" s="3"/>
      <c r="AC57" s="3"/>
      <c r="AD57" s="3"/>
      <c r="AE57" s="7"/>
    </row>
    <row r="58" spans="2:31" x14ac:dyDescent="0.15">
      <c r="B58" s="16">
        <v>40221</v>
      </c>
      <c r="C58" s="23">
        <v>12734</v>
      </c>
      <c r="D58" s="23">
        <v>10122</v>
      </c>
      <c r="E58" s="23">
        <v>10600</v>
      </c>
      <c r="F58" s="23">
        <v>13579</v>
      </c>
      <c r="G58" s="23">
        <v>10895</v>
      </c>
      <c r="H58" s="24">
        <v>14045</v>
      </c>
      <c r="I58" s="2">
        <f t="shared" si="6"/>
        <v>54</v>
      </c>
      <c r="J58" s="16">
        <v>40221</v>
      </c>
      <c r="K58" s="29">
        <f t="shared" si="0"/>
        <v>3.4672970843183659E-3</v>
      </c>
      <c r="L58" s="29">
        <f t="shared" si="1"/>
        <v>1.1869436201781269E-3</v>
      </c>
      <c r="M58" s="29">
        <f t="shared" si="2"/>
        <v>-1.8609388019627859E-2</v>
      </c>
      <c r="N58" s="29">
        <f t="shared" si="3"/>
        <v>9.9665303086649004E-3</v>
      </c>
      <c r="O58" s="29">
        <f t="shared" si="4"/>
        <v>-9.1701054562132178E-4</v>
      </c>
      <c r="P58" s="30">
        <f t="shared" si="5"/>
        <v>-5.2411643884128223E-3</v>
      </c>
      <c r="Z58" s="3"/>
      <c r="AA58" s="3"/>
      <c r="AB58" s="3"/>
      <c r="AC58" s="3"/>
      <c r="AD58" s="3"/>
      <c r="AE58" s="7"/>
    </row>
    <row r="59" spans="2:31" x14ac:dyDescent="0.15">
      <c r="B59" s="16">
        <v>40228</v>
      </c>
      <c r="C59" s="23">
        <v>12774</v>
      </c>
      <c r="D59" s="23">
        <v>10120</v>
      </c>
      <c r="E59" s="23">
        <v>10696</v>
      </c>
      <c r="F59" s="23">
        <v>14218</v>
      </c>
      <c r="G59" s="23">
        <v>11042</v>
      </c>
      <c r="H59" s="24">
        <v>14827</v>
      </c>
      <c r="I59" s="2">
        <f t="shared" si="6"/>
        <v>55</v>
      </c>
      <c r="J59" s="16">
        <v>40228</v>
      </c>
      <c r="K59" s="29">
        <f t="shared" si="0"/>
        <v>3.1411967959793508E-3</v>
      </c>
      <c r="L59" s="29">
        <f t="shared" si="1"/>
        <v>-1.9758940920766577E-4</v>
      </c>
      <c r="M59" s="29">
        <f t="shared" si="2"/>
        <v>9.0566037735848592E-3</v>
      </c>
      <c r="N59" s="29">
        <f t="shared" si="3"/>
        <v>4.7057957139700957E-2</v>
      </c>
      <c r="O59" s="29">
        <f t="shared" si="4"/>
        <v>1.3492427719137279E-2</v>
      </c>
      <c r="P59" s="30">
        <f t="shared" si="5"/>
        <v>5.5678177287290742E-2</v>
      </c>
      <c r="Z59" s="3"/>
      <c r="AA59" s="3"/>
      <c r="AB59" s="3"/>
      <c r="AC59" s="3"/>
      <c r="AD59" s="3"/>
      <c r="AE59" s="7"/>
    </row>
    <row r="60" spans="2:31" x14ac:dyDescent="0.15">
      <c r="B60" s="16">
        <v>40235</v>
      </c>
      <c r="C60" s="23">
        <v>12772</v>
      </c>
      <c r="D60" s="23">
        <v>10139</v>
      </c>
      <c r="E60" s="23">
        <v>10880</v>
      </c>
      <c r="F60" s="23">
        <v>13715</v>
      </c>
      <c r="G60" s="23">
        <v>10834</v>
      </c>
      <c r="H60" s="24">
        <v>14567</v>
      </c>
      <c r="I60" s="2">
        <f t="shared" si="6"/>
        <v>56</v>
      </c>
      <c r="J60" s="16">
        <v>40235</v>
      </c>
      <c r="K60" s="29">
        <f t="shared" si="0"/>
        <v>-1.565680288084792E-4</v>
      </c>
      <c r="L60" s="29">
        <f t="shared" si="1"/>
        <v>1.8774703557311589E-3</v>
      </c>
      <c r="M60" s="29">
        <f t="shared" si="2"/>
        <v>1.7202692595362779E-2</v>
      </c>
      <c r="N60" s="29">
        <f t="shared" si="3"/>
        <v>-3.5377690251793492E-2</v>
      </c>
      <c r="O60" s="29">
        <f t="shared" si="4"/>
        <v>-1.8837167179858727E-2</v>
      </c>
      <c r="P60" s="30">
        <f t="shared" si="5"/>
        <v>-1.7535576987927404E-2</v>
      </c>
      <c r="Z60" s="3"/>
      <c r="AA60" s="3"/>
      <c r="AB60" s="3"/>
      <c r="AC60" s="3"/>
      <c r="AD60" s="3"/>
      <c r="AE60" s="7"/>
    </row>
    <row r="61" spans="2:31" x14ac:dyDescent="0.15">
      <c r="B61" s="16">
        <v>40242</v>
      </c>
      <c r="C61" s="23">
        <v>13082</v>
      </c>
      <c r="D61" s="23">
        <v>10151</v>
      </c>
      <c r="E61" s="23">
        <v>10935</v>
      </c>
      <c r="F61" s="23">
        <v>14108</v>
      </c>
      <c r="G61" s="23">
        <v>10863</v>
      </c>
      <c r="H61" s="24">
        <v>14875</v>
      </c>
      <c r="I61" s="2">
        <f t="shared" si="6"/>
        <v>57</v>
      </c>
      <c r="J61" s="16">
        <v>40242</v>
      </c>
      <c r="K61" s="29">
        <f t="shared" si="0"/>
        <v>2.4271844660194164E-2</v>
      </c>
      <c r="L61" s="29">
        <f t="shared" si="1"/>
        <v>1.183548673439283E-3</v>
      </c>
      <c r="M61" s="29">
        <f t="shared" si="2"/>
        <v>5.0551470588235947E-3</v>
      </c>
      <c r="N61" s="29">
        <f t="shared" si="3"/>
        <v>2.8654757564710254E-2</v>
      </c>
      <c r="O61" s="29">
        <f t="shared" si="4"/>
        <v>2.6767583533320316E-3</v>
      </c>
      <c r="P61" s="30">
        <f t="shared" si="5"/>
        <v>2.1143680922633301E-2</v>
      </c>
      <c r="Z61" s="3"/>
      <c r="AA61" s="3"/>
      <c r="AB61" s="3"/>
      <c r="AC61" s="3"/>
      <c r="AD61" s="3"/>
      <c r="AE61" s="7"/>
    </row>
    <row r="62" spans="2:31" x14ac:dyDescent="0.15">
      <c r="B62" s="16">
        <v>40249</v>
      </c>
      <c r="C62" s="23">
        <v>13559</v>
      </c>
      <c r="D62" s="23">
        <v>10138</v>
      </c>
      <c r="E62" s="23">
        <v>10925</v>
      </c>
      <c r="F62" s="23">
        <v>14675</v>
      </c>
      <c r="G62" s="23">
        <v>11033</v>
      </c>
      <c r="H62" s="24">
        <v>15522</v>
      </c>
      <c r="I62" s="2">
        <f t="shared" si="6"/>
        <v>58</v>
      </c>
      <c r="J62" s="16">
        <v>40249</v>
      </c>
      <c r="K62" s="29">
        <f t="shared" si="0"/>
        <v>3.6462314630790305E-2</v>
      </c>
      <c r="L62" s="29">
        <f t="shared" si="1"/>
        <v>-1.280662003743438E-3</v>
      </c>
      <c r="M62" s="29">
        <f t="shared" si="2"/>
        <v>-9.1449474165528066E-4</v>
      </c>
      <c r="N62" s="29">
        <f t="shared" si="3"/>
        <v>4.0189963141479934E-2</v>
      </c>
      <c r="O62" s="29">
        <f t="shared" si="4"/>
        <v>1.5649452269170583E-2</v>
      </c>
      <c r="P62" s="30">
        <f t="shared" si="5"/>
        <v>4.3495798319327816E-2</v>
      </c>
      <c r="Z62" s="3"/>
      <c r="AA62" s="3"/>
      <c r="AB62" s="3"/>
      <c r="AC62" s="3"/>
      <c r="AD62" s="3"/>
      <c r="AE62" s="7"/>
    </row>
    <row r="63" spans="2:31" x14ac:dyDescent="0.15">
      <c r="B63" s="16">
        <v>40256</v>
      </c>
      <c r="C63" s="23">
        <v>13650</v>
      </c>
      <c r="D63" s="23">
        <v>10125</v>
      </c>
      <c r="E63" s="23">
        <v>11128</v>
      </c>
      <c r="F63" s="23">
        <v>14830</v>
      </c>
      <c r="G63" s="23">
        <v>11039</v>
      </c>
      <c r="H63" s="24">
        <v>15890</v>
      </c>
      <c r="I63" s="2">
        <f t="shared" si="6"/>
        <v>59</v>
      </c>
      <c r="J63" s="16">
        <v>40256</v>
      </c>
      <c r="K63" s="29">
        <f t="shared" si="0"/>
        <v>6.7114093959732557E-3</v>
      </c>
      <c r="L63" s="29">
        <f t="shared" si="1"/>
        <v>-1.2823042020122521E-3</v>
      </c>
      <c r="M63" s="29">
        <f t="shared" si="2"/>
        <v>1.8581235697940457E-2</v>
      </c>
      <c r="N63" s="29">
        <f t="shared" si="3"/>
        <v>1.0562180579216429E-2</v>
      </c>
      <c r="O63" s="29">
        <f t="shared" si="4"/>
        <v>5.4382307622580228E-4</v>
      </c>
      <c r="P63" s="30">
        <f t="shared" si="5"/>
        <v>2.3708285014817587E-2</v>
      </c>
      <c r="Z63" s="3"/>
      <c r="AA63" s="3"/>
      <c r="AB63" s="3"/>
      <c r="AC63" s="3"/>
      <c r="AD63" s="3"/>
      <c r="AE63" s="7"/>
    </row>
    <row r="64" spans="2:31" x14ac:dyDescent="0.15">
      <c r="B64" s="16">
        <v>40263</v>
      </c>
      <c r="C64" s="23">
        <v>13866</v>
      </c>
      <c r="D64" s="23">
        <v>10126</v>
      </c>
      <c r="E64" s="23">
        <v>11130</v>
      </c>
      <c r="F64" s="23">
        <v>15072</v>
      </c>
      <c r="G64" s="23">
        <v>11075</v>
      </c>
      <c r="H64" s="24">
        <v>16138</v>
      </c>
      <c r="I64" s="2">
        <f t="shared" si="6"/>
        <v>60</v>
      </c>
      <c r="J64" s="16">
        <v>40263</v>
      </c>
      <c r="K64" s="29">
        <f t="shared" si="0"/>
        <v>1.5824175824175724E-2</v>
      </c>
      <c r="L64" s="29">
        <f t="shared" si="1"/>
        <v>9.8765432098746331E-5</v>
      </c>
      <c r="M64" s="29">
        <f t="shared" si="2"/>
        <v>1.7972681524081047E-4</v>
      </c>
      <c r="N64" s="29">
        <f t="shared" si="3"/>
        <v>1.6318273769386327E-2</v>
      </c>
      <c r="O64" s="29">
        <f t="shared" si="4"/>
        <v>3.2611649605942539E-3</v>
      </c>
      <c r="P64" s="30">
        <f t="shared" si="5"/>
        <v>1.5607300188797968E-2</v>
      </c>
      <c r="Z64" s="3"/>
      <c r="AA64" s="3"/>
      <c r="AB64" s="3"/>
      <c r="AC64" s="3"/>
      <c r="AD64" s="3"/>
      <c r="AE64" s="7"/>
    </row>
    <row r="65" spans="2:31" x14ac:dyDescent="0.15">
      <c r="B65" s="16">
        <v>40270</v>
      </c>
      <c r="C65" s="23">
        <v>14327</v>
      </c>
      <c r="D65" s="23">
        <v>10139</v>
      </c>
      <c r="E65" s="23">
        <v>11447</v>
      </c>
      <c r="F65" s="23">
        <v>15578</v>
      </c>
      <c r="G65" s="23">
        <v>11428</v>
      </c>
      <c r="H65" s="24">
        <v>16462</v>
      </c>
      <c r="I65" s="2">
        <f t="shared" si="6"/>
        <v>61</v>
      </c>
      <c r="J65" s="16">
        <v>40270</v>
      </c>
      <c r="K65" s="29">
        <f t="shared" si="0"/>
        <v>3.3246790711091823E-2</v>
      </c>
      <c r="L65" s="29">
        <f t="shared" si="1"/>
        <v>1.2838238198695784E-3</v>
      </c>
      <c r="M65" s="29">
        <f t="shared" si="2"/>
        <v>2.8481581311770032E-2</v>
      </c>
      <c r="N65" s="29">
        <f t="shared" si="3"/>
        <v>3.357218683651797E-2</v>
      </c>
      <c r="O65" s="29">
        <f t="shared" si="4"/>
        <v>3.1873589164785443E-2</v>
      </c>
      <c r="P65" s="30">
        <f t="shared" si="5"/>
        <v>2.0076837278473203E-2</v>
      </c>
      <c r="Z65" s="3"/>
      <c r="AA65" s="3"/>
      <c r="AB65" s="3"/>
      <c r="AC65" s="3"/>
      <c r="AD65" s="3"/>
      <c r="AE65" s="7"/>
    </row>
    <row r="66" spans="2:31" x14ac:dyDescent="0.15">
      <c r="B66" s="16">
        <v>40277</v>
      </c>
      <c r="C66" s="23">
        <v>14218</v>
      </c>
      <c r="D66" s="23">
        <v>10136</v>
      </c>
      <c r="E66" s="23">
        <v>11448</v>
      </c>
      <c r="F66" s="23">
        <v>15537</v>
      </c>
      <c r="G66" s="23">
        <v>11296</v>
      </c>
      <c r="H66" s="24">
        <v>16597</v>
      </c>
      <c r="I66" s="2">
        <f t="shared" si="6"/>
        <v>62</v>
      </c>
      <c r="J66" s="16">
        <v>40277</v>
      </c>
      <c r="K66" s="29">
        <f t="shared" si="0"/>
        <v>-7.6080128428840377E-3</v>
      </c>
      <c r="L66" s="29">
        <f t="shared" si="1"/>
        <v>-2.9588716835982076E-4</v>
      </c>
      <c r="M66" s="29">
        <f t="shared" si="2"/>
        <v>8.7359133397413302E-5</v>
      </c>
      <c r="N66" s="29">
        <f t="shared" si="3"/>
        <v>-2.6319168057516995E-3</v>
      </c>
      <c r="O66" s="29">
        <f t="shared" si="4"/>
        <v>-1.1550577528876449E-2</v>
      </c>
      <c r="P66" s="30">
        <f t="shared" si="5"/>
        <v>8.2007046531404892E-3</v>
      </c>
      <c r="Z66" s="3"/>
      <c r="AA66" s="3"/>
      <c r="AB66" s="3"/>
      <c r="AC66" s="3"/>
      <c r="AD66" s="3"/>
      <c r="AE66" s="7"/>
    </row>
    <row r="67" spans="2:31" x14ac:dyDescent="0.15">
      <c r="B67" s="16">
        <v>40284</v>
      </c>
      <c r="C67" s="23">
        <v>14083</v>
      </c>
      <c r="D67" s="23">
        <v>10154</v>
      </c>
      <c r="E67" s="23">
        <v>11701</v>
      </c>
      <c r="F67" s="23">
        <v>15800</v>
      </c>
      <c r="G67" s="23">
        <v>11302</v>
      </c>
      <c r="H67" s="24">
        <v>16744</v>
      </c>
      <c r="I67" s="2">
        <f t="shared" si="6"/>
        <v>63</v>
      </c>
      <c r="J67" s="16">
        <v>40284</v>
      </c>
      <c r="K67" s="29">
        <f t="shared" si="0"/>
        <v>-9.4950063300042187E-3</v>
      </c>
      <c r="L67" s="29">
        <f t="shared" si="1"/>
        <v>1.7758484609313729E-3</v>
      </c>
      <c r="M67" s="29">
        <f t="shared" si="2"/>
        <v>2.2099930118798072E-2</v>
      </c>
      <c r="N67" s="29">
        <f t="shared" si="3"/>
        <v>1.6927334749308187E-2</v>
      </c>
      <c r="O67" s="29">
        <f t="shared" si="4"/>
        <v>5.3116147308784889E-4</v>
      </c>
      <c r="P67" s="30">
        <f t="shared" si="5"/>
        <v>8.8570223534374382E-3</v>
      </c>
      <c r="Z67" s="3"/>
      <c r="AA67" s="3"/>
      <c r="AB67" s="3"/>
      <c r="AC67" s="3"/>
      <c r="AD67" s="3"/>
      <c r="AE67" s="7"/>
    </row>
    <row r="68" spans="2:31" x14ac:dyDescent="0.15">
      <c r="B68" s="16">
        <v>40291</v>
      </c>
      <c r="C68" s="23">
        <v>13852</v>
      </c>
      <c r="D68" s="23">
        <v>10174</v>
      </c>
      <c r="E68" s="23">
        <v>11807</v>
      </c>
      <c r="F68" s="23">
        <v>15593</v>
      </c>
      <c r="G68" s="23">
        <v>11219</v>
      </c>
      <c r="H68" s="24">
        <v>16983</v>
      </c>
      <c r="I68" s="2">
        <f t="shared" si="6"/>
        <v>64</v>
      </c>
      <c r="J68" s="16">
        <v>40291</v>
      </c>
      <c r="K68" s="29">
        <f t="shared" si="0"/>
        <v>-1.6402755094795163E-2</v>
      </c>
      <c r="L68" s="29">
        <f t="shared" si="1"/>
        <v>1.9696671262556809E-3</v>
      </c>
      <c r="M68" s="29">
        <f t="shared" si="2"/>
        <v>9.0590547816424838E-3</v>
      </c>
      <c r="N68" s="29">
        <f t="shared" si="3"/>
        <v>-1.3101265822784813E-2</v>
      </c>
      <c r="O68" s="29">
        <f t="shared" si="4"/>
        <v>-7.3438329499203592E-3</v>
      </c>
      <c r="P68" s="30">
        <f t="shared" si="5"/>
        <v>1.4273769708552209E-2</v>
      </c>
      <c r="Z68" s="3"/>
      <c r="AA68" s="3"/>
      <c r="AB68" s="3"/>
      <c r="AC68" s="3"/>
      <c r="AD68" s="3"/>
      <c r="AE68" s="7"/>
    </row>
    <row r="69" spans="2:31" x14ac:dyDescent="0.15">
      <c r="B69" s="16">
        <v>40298</v>
      </c>
      <c r="C69" s="23">
        <v>14022</v>
      </c>
      <c r="D69" s="23">
        <v>10193</v>
      </c>
      <c r="E69" s="23">
        <v>12049</v>
      </c>
      <c r="F69" s="23">
        <v>15617</v>
      </c>
      <c r="G69" s="23">
        <v>11302</v>
      </c>
      <c r="H69" s="24">
        <v>17432</v>
      </c>
      <c r="I69" s="2">
        <f t="shared" si="6"/>
        <v>65</v>
      </c>
      <c r="J69" s="16">
        <v>40298</v>
      </c>
      <c r="K69" s="29">
        <f t="shared" ref="K69:K132" si="7">C69/C68-1</f>
        <v>1.2272596015015846E-2</v>
      </c>
      <c r="L69" s="29">
        <f t="shared" ref="L69:L132" si="8">D69/D68-1</f>
        <v>1.8675054059367202E-3</v>
      </c>
      <c r="M69" s="29">
        <f t="shared" ref="M69:M132" si="9">E69/E68-1</f>
        <v>2.0496315744897187E-2</v>
      </c>
      <c r="N69" s="29">
        <f t="shared" ref="N69:N132" si="10">F69/F68-1</f>
        <v>1.5391521836720656E-3</v>
      </c>
      <c r="O69" s="29">
        <f t="shared" ref="O69:O132" si="11">G69/G68-1</f>
        <v>7.3981638292182073E-3</v>
      </c>
      <c r="P69" s="30">
        <f t="shared" ref="P69:P132" si="12">H69/H68-1</f>
        <v>2.6438202908791064E-2</v>
      </c>
      <c r="Z69" s="3"/>
      <c r="AA69" s="3"/>
      <c r="AB69" s="3"/>
      <c r="AC69" s="3"/>
      <c r="AD69" s="3"/>
      <c r="AE69" s="7"/>
    </row>
    <row r="70" spans="2:31" x14ac:dyDescent="0.15">
      <c r="B70" s="16">
        <v>40305</v>
      </c>
      <c r="C70" s="23">
        <v>13159</v>
      </c>
      <c r="D70" s="23">
        <v>10198</v>
      </c>
      <c r="E70" s="23">
        <v>11760</v>
      </c>
      <c r="F70" s="23">
        <v>14022</v>
      </c>
      <c r="G70" s="23">
        <v>10763</v>
      </c>
      <c r="H70" s="24">
        <v>15808</v>
      </c>
      <c r="I70" s="2">
        <f t="shared" si="6"/>
        <v>66</v>
      </c>
      <c r="J70" s="16">
        <v>40305</v>
      </c>
      <c r="K70" s="29">
        <f t="shared" si="7"/>
        <v>-6.1546141777207297E-2</v>
      </c>
      <c r="L70" s="29">
        <f t="shared" si="8"/>
        <v>4.905327185322772E-4</v>
      </c>
      <c r="M70" s="29">
        <f t="shared" si="9"/>
        <v>-2.3985392978670417E-2</v>
      </c>
      <c r="N70" s="29">
        <f t="shared" si="10"/>
        <v>-0.10213229173336746</v>
      </c>
      <c r="O70" s="29">
        <f t="shared" si="11"/>
        <v>-4.7690674216952722E-2</v>
      </c>
      <c r="P70" s="30">
        <f t="shared" si="12"/>
        <v>-9.3162000917852206E-2</v>
      </c>
      <c r="Z70" s="3"/>
      <c r="AA70" s="3"/>
      <c r="AB70" s="3"/>
      <c r="AC70" s="3"/>
      <c r="AD70" s="3"/>
      <c r="AE70" s="7"/>
    </row>
    <row r="71" spans="2:31" x14ac:dyDescent="0.15">
      <c r="B71" s="16">
        <v>40312</v>
      </c>
      <c r="C71" s="23">
        <v>13264</v>
      </c>
      <c r="D71" s="23">
        <v>10187</v>
      </c>
      <c r="E71" s="23">
        <v>11795</v>
      </c>
      <c r="F71" s="23">
        <v>14644</v>
      </c>
      <c r="G71" s="23">
        <v>10914</v>
      </c>
      <c r="H71" s="24">
        <v>16637</v>
      </c>
      <c r="I71" s="2">
        <f t="shared" ref="I71:I134" si="13">I70+1</f>
        <v>67</v>
      </c>
      <c r="J71" s="16">
        <v>40312</v>
      </c>
      <c r="K71" s="29">
        <f t="shared" si="7"/>
        <v>7.9793297363022209E-3</v>
      </c>
      <c r="L71" s="29">
        <f t="shared" si="8"/>
        <v>-1.0786428711512253E-3</v>
      </c>
      <c r="M71" s="29">
        <f t="shared" si="9"/>
        <v>2.9761904761904656E-3</v>
      </c>
      <c r="N71" s="29">
        <f t="shared" si="10"/>
        <v>4.4358864641278029E-2</v>
      </c>
      <c r="O71" s="29">
        <f t="shared" si="11"/>
        <v>1.4029545665706689E-2</v>
      </c>
      <c r="P71" s="30">
        <f t="shared" si="12"/>
        <v>5.2441801619433237E-2</v>
      </c>
      <c r="Z71" s="3"/>
      <c r="AA71" s="3"/>
      <c r="AB71" s="3"/>
      <c r="AC71" s="3"/>
      <c r="AD71" s="3"/>
      <c r="AE71" s="7"/>
    </row>
    <row r="72" spans="2:31" x14ac:dyDescent="0.15">
      <c r="B72" s="16">
        <v>40319</v>
      </c>
      <c r="C72" s="23">
        <v>12396</v>
      </c>
      <c r="D72" s="23">
        <v>10224</v>
      </c>
      <c r="E72" s="23">
        <v>11134</v>
      </c>
      <c r="F72" s="23">
        <v>13085</v>
      </c>
      <c r="G72" s="23">
        <v>10642</v>
      </c>
      <c r="H72" s="24">
        <v>14521</v>
      </c>
      <c r="I72" s="2">
        <f t="shared" si="13"/>
        <v>68</v>
      </c>
      <c r="J72" s="16">
        <v>40319</v>
      </c>
      <c r="K72" s="29">
        <f t="shared" si="7"/>
        <v>-6.544028950542824E-2</v>
      </c>
      <c r="L72" s="29">
        <f t="shared" si="8"/>
        <v>3.6320801020908178E-3</v>
      </c>
      <c r="M72" s="29">
        <f t="shared" si="9"/>
        <v>-5.6040695209834679E-2</v>
      </c>
      <c r="N72" s="29">
        <f t="shared" si="10"/>
        <v>-0.10645998361103526</v>
      </c>
      <c r="O72" s="29">
        <f t="shared" si="11"/>
        <v>-2.4922118380062308E-2</v>
      </c>
      <c r="P72" s="30">
        <f t="shared" si="12"/>
        <v>-0.12718639177736368</v>
      </c>
      <c r="Z72" s="3"/>
      <c r="AA72" s="3"/>
      <c r="AB72" s="3"/>
      <c r="AC72" s="3"/>
      <c r="AD72" s="3"/>
      <c r="AE72" s="7"/>
    </row>
    <row r="73" spans="2:31" x14ac:dyDescent="0.15">
      <c r="B73" s="16">
        <v>40326</v>
      </c>
      <c r="C73" s="23">
        <v>12386</v>
      </c>
      <c r="D73" s="23">
        <v>10220</v>
      </c>
      <c r="E73" s="23">
        <v>11067</v>
      </c>
      <c r="F73" s="23">
        <v>13635</v>
      </c>
      <c r="G73" s="23">
        <v>10697</v>
      </c>
      <c r="H73" s="24">
        <v>15406</v>
      </c>
      <c r="I73" s="2">
        <f t="shared" si="13"/>
        <v>69</v>
      </c>
      <c r="J73" s="16">
        <v>40326</v>
      </c>
      <c r="K73" s="29">
        <f t="shared" si="7"/>
        <v>-8.067118425298947E-4</v>
      </c>
      <c r="L73" s="29">
        <f t="shared" si="8"/>
        <v>-3.9123630672921461E-4</v>
      </c>
      <c r="M73" s="29">
        <f t="shared" si="9"/>
        <v>-6.0176037363032231E-3</v>
      </c>
      <c r="N73" s="29">
        <f t="shared" si="10"/>
        <v>4.2032862055789044E-2</v>
      </c>
      <c r="O73" s="29">
        <f t="shared" si="11"/>
        <v>5.1682014658898101E-3</v>
      </c>
      <c r="P73" s="30">
        <f t="shared" si="12"/>
        <v>6.094621582535642E-2</v>
      </c>
      <c r="Z73" s="3"/>
      <c r="AA73" s="3"/>
      <c r="AB73" s="3"/>
      <c r="AC73" s="3"/>
      <c r="AD73" s="3"/>
      <c r="AE73" s="7"/>
    </row>
    <row r="74" spans="2:31" x14ac:dyDescent="0.15">
      <c r="B74" s="16">
        <v>40333</v>
      </c>
      <c r="C74" s="23">
        <v>12558</v>
      </c>
      <c r="D74" s="23">
        <v>10233</v>
      </c>
      <c r="E74" s="23">
        <v>11107</v>
      </c>
      <c r="F74" s="23">
        <v>13916</v>
      </c>
      <c r="G74" s="23">
        <v>10783</v>
      </c>
      <c r="H74" s="24">
        <v>15671</v>
      </c>
      <c r="I74" s="2">
        <f t="shared" si="13"/>
        <v>70</v>
      </c>
      <c r="J74" s="16">
        <v>40333</v>
      </c>
      <c r="K74" s="29">
        <f t="shared" si="7"/>
        <v>1.3886646213466802E-2</v>
      </c>
      <c r="L74" s="29">
        <f t="shared" si="8"/>
        <v>1.2720156555772189E-3</v>
      </c>
      <c r="M74" s="29">
        <f t="shared" si="9"/>
        <v>3.6143489653925887E-3</v>
      </c>
      <c r="N74" s="29">
        <f t="shared" si="10"/>
        <v>2.0608727539420668E-2</v>
      </c>
      <c r="O74" s="29">
        <f t="shared" si="11"/>
        <v>8.039637281480827E-3</v>
      </c>
      <c r="P74" s="30">
        <f t="shared" si="12"/>
        <v>1.7201090484227022E-2</v>
      </c>
      <c r="Z74" s="3"/>
      <c r="AA74" s="3"/>
      <c r="AB74" s="3"/>
      <c r="AC74" s="3"/>
      <c r="AD74" s="3"/>
      <c r="AE74" s="7"/>
    </row>
    <row r="75" spans="2:31" x14ac:dyDescent="0.15">
      <c r="B75" s="16">
        <v>40340</v>
      </c>
      <c r="C75" s="23">
        <v>12303</v>
      </c>
      <c r="D75" s="23">
        <v>10246</v>
      </c>
      <c r="E75" s="23">
        <v>10985</v>
      </c>
      <c r="F75" s="23">
        <v>13590</v>
      </c>
      <c r="G75" s="23">
        <v>10672</v>
      </c>
      <c r="H75" s="24">
        <v>15502</v>
      </c>
      <c r="I75" s="2">
        <f t="shared" si="13"/>
        <v>71</v>
      </c>
      <c r="J75" s="16">
        <v>40340</v>
      </c>
      <c r="K75" s="29">
        <f t="shared" si="7"/>
        <v>-2.0305781175346427E-2</v>
      </c>
      <c r="L75" s="29">
        <f t="shared" si="8"/>
        <v>1.2703996872862611E-3</v>
      </c>
      <c r="M75" s="29">
        <f t="shared" si="9"/>
        <v>-1.0984064103718327E-2</v>
      </c>
      <c r="N75" s="29">
        <f t="shared" si="10"/>
        <v>-2.3426271917217578E-2</v>
      </c>
      <c r="O75" s="29">
        <f t="shared" si="11"/>
        <v>-1.0293981266808916E-2</v>
      </c>
      <c r="P75" s="30">
        <f t="shared" si="12"/>
        <v>-1.078425116457149E-2</v>
      </c>
      <c r="Z75" s="3"/>
      <c r="AA75" s="3"/>
      <c r="AB75" s="3"/>
      <c r="AC75" s="3"/>
      <c r="AD75" s="3"/>
      <c r="AE75" s="7"/>
    </row>
    <row r="76" spans="2:31" x14ac:dyDescent="0.15">
      <c r="B76" s="16">
        <v>40347</v>
      </c>
      <c r="C76" s="23">
        <v>12667</v>
      </c>
      <c r="D76" s="23">
        <v>10259</v>
      </c>
      <c r="E76" s="23">
        <v>10868</v>
      </c>
      <c r="F76" s="23">
        <v>13939</v>
      </c>
      <c r="G76" s="23">
        <v>10703</v>
      </c>
      <c r="H76" s="24">
        <v>15879</v>
      </c>
      <c r="I76" s="2">
        <f t="shared" si="13"/>
        <v>72</v>
      </c>
      <c r="J76" s="16">
        <v>40347</v>
      </c>
      <c r="K76" s="29">
        <f t="shared" si="7"/>
        <v>2.9586279769161949E-2</v>
      </c>
      <c r="L76" s="29">
        <f t="shared" si="8"/>
        <v>1.2687878196369073E-3</v>
      </c>
      <c r="M76" s="29">
        <f t="shared" si="9"/>
        <v>-1.0650887573964485E-2</v>
      </c>
      <c r="N76" s="29">
        <f t="shared" si="10"/>
        <v>2.568064753495225E-2</v>
      </c>
      <c r="O76" s="29">
        <f t="shared" si="11"/>
        <v>2.9047976011993271E-3</v>
      </c>
      <c r="P76" s="30">
        <f t="shared" si="12"/>
        <v>2.431944265256103E-2</v>
      </c>
      <c r="Z76" s="3"/>
      <c r="AA76" s="3"/>
      <c r="AB76" s="3"/>
      <c r="AC76" s="3"/>
      <c r="AD76" s="3"/>
      <c r="AE76" s="7"/>
    </row>
    <row r="77" spans="2:31" x14ac:dyDescent="0.15">
      <c r="B77" s="16">
        <v>40354</v>
      </c>
      <c r="C77" s="23">
        <v>12340</v>
      </c>
      <c r="D77" s="23">
        <v>10296</v>
      </c>
      <c r="E77" s="23">
        <v>10940</v>
      </c>
      <c r="F77" s="23">
        <v>13316</v>
      </c>
      <c r="G77" s="23">
        <v>10569</v>
      </c>
      <c r="H77" s="24">
        <v>15054</v>
      </c>
      <c r="I77" s="2">
        <f t="shared" si="13"/>
        <v>73</v>
      </c>
      <c r="J77" s="16">
        <v>40354</v>
      </c>
      <c r="K77" s="29">
        <f t="shared" si="7"/>
        <v>-2.5815110128680874E-2</v>
      </c>
      <c r="L77" s="29">
        <f t="shared" si="8"/>
        <v>3.6065893361925117E-3</v>
      </c>
      <c r="M77" s="29">
        <f t="shared" si="9"/>
        <v>6.6249539933751489E-3</v>
      </c>
      <c r="N77" s="29">
        <f t="shared" si="10"/>
        <v>-4.469474137312579E-2</v>
      </c>
      <c r="O77" s="29">
        <f t="shared" si="11"/>
        <v>-1.251985424647295E-2</v>
      </c>
      <c r="P77" s="30">
        <f t="shared" si="12"/>
        <v>-5.1955412809370882E-2</v>
      </c>
      <c r="Z77" s="3"/>
      <c r="AA77" s="3"/>
      <c r="AB77" s="3"/>
      <c r="AC77" s="3"/>
      <c r="AD77" s="3"/>
      <c r="AE77" s="7"/>
    </row>
    <row r="78" spans="2:31" x14ac:dyDescent="0.15">
      <c r="B78" s="16">
        <v>40361</v>
      </c>
      <c r="C78" s="23">
        <v>11671</v>
      </c>
      <c r="D78" s="23">
        <v>10340</v>
      </c>
      <c r="E78" s="23">
        <v>10855</v>
      </c>
      <c r="F78" s="23">
        <v>12513</v>
      </c>
      <c r="G78" s="23">
        <v>10495</v>
      </c>
      <c r="H78" s="24">
        <v>14337</v>
      </c>
      <c r="I78" s="2">
        <f t="shared" si="13"/>
        <v>74</v>
      </c>
      <c r="J78" s="16">
        <v>40361</v>
      </c>
      <c r="K78" s="29">
        <f t="shared" si="7"/>
        <v>-5.4213938411669327E-2</v>
      </c>
      <c r="L78" s="29">
        <f t="shared" si="8"/>
        <v>4.2735042735042583E-3</v>
      </c>
      <c r="M78" s="29">
        <f t="shared" si="9"/>
        <v>-7.7696526508226338E-3</v>
      </c>
      <c r="N78" s="29">
        <f t="shared" si="10"/>
        <v>-6.0303394412736577E-2</v>
      </c>
      <c r="O78" s="29">
        <f t="shared" si="11"/>
        <v>-7.0016084776232113E-3</v>
      </c>
      <c r="P78" s="30">
        <f t="shared" si="12"/>
        <v>-4.762853726584293E-2</v>
      </c>
      <c r="Z78" s="3"/>
      <c r="AA78" s="3"/>
      <c r="AB78" s="3"/>
      <c r="AC78" s="3"/>
      <c r="AD78" s="3"/>
      <c r="AE78" s="7"/>
    </row>
    <row r="79" spans="2:31" x14ac:dyDescent="0.15">
      <c r="B79" s="16">
        <v>40368</v>
      </c>
      <c r="C79" s="23">
        <v>12150</v>
      </c>
      <c r="D79" s="23">
        <v>10295</v>
      </c>
      <c r="E79" s="23">
        <v>10879</v>
      </c>
      <c r="F79" s="23">
        <v>13206</v>
      </c>
      <c r="G79" s="23">
        <v>10636</v>
      </c>
      <c r="H79" s="24">
        <v>14847</v>
      </c>
      <c r="I79" s="2">
        <f t="shared" si="13"/>
        <v>75</v>
      </c>
      <c r="J79" s="16">
        <v>40368</v>
      </c>
      <c r="K79" s="29">
        <f t="shared" si="7"/>
        <v>4.1041898723331416E-2</v>
      </c>
      <c r="L79" s="29">
        <f t="shared" si="8"/>
        <v>-4.352030947775587E-3</v>
      </c>
      <c r="M79" s="29">
        <f t="shared" si="9"/>
        <v>2.2109626900046475E-3</v>
      </c>
      <c r="N79" s="29">
        <f t="shared" si="10"/>
        <v>5.5382402301606293E-2</v>
      </c>
      <c r="O79" s="29">
        <f t="shared" si="11"/>
        <v>1.3434969032872779E-2</v>
      </c>
      <c r="P79" s="30">
        <f t="shared" si="12"/>
        <v>3.5572295459301184E-2</v>
      </c>
      <c r="Z79" s="3"/>
      <c r="AA79" s="3"/>
      <c r="AB79" s="3"/>
      <c r="AC79" s="3"/>
      <c r="AD79" s="3"/>
      <c r="AE79" s="7"/>
    </row>
    <row r="80" spans="2:31" x14ac:dyDescent="0.15">
      <c r="B80" s="16">
        <v>40375</v>
      </c>
      <c r="C80" s="23">
        <v>11923</v>
      </c>
      <c r="D80" s="23">
        <v>10336</v>
      </c>
      <c r="E80" s="23">
        <v>10914</v>
      </c>
      <c r="F80" s="23">
        <v>13424</v>
      </c>
      <c r="G80" s="23">
        <v>10620</v>
      </c>
      <c r="H80" s="24">
        <v>15058</v>
      </c>
      <c r="I80" s="2">
        <f t="shared" si="13"/>
        <v>76</v>
      </c>
      <c r="J80" s="16">
        <v>40375</v>
      </c>
      <c r="K80" s="29">
        <f t="shared" si="7"/>
        <v>-1.8683127572016511E-2</v>
      </c>
      <c r="L80" s="29">
        <f t="shared" si="8"/>
        <v>3.9825157843613734E-3</v>
      </c>
      <c r="M80" s="29">
        <f t="shared" si="9"/>
        <v>3.217207463921401E-3</v>
      </c>
      <c r="N80" s="29">
        <f t="shared" si="10"/>
        <v>1.6507648038770251E-2</v>
      </c>
      <c r="O80" s="29">
        <f t="shared" si="11"/>
        <v>-1.5043249341857301E-3</v>
      </c>
      <c r="P80" s="30">
        <f t="shared" si="12"/>
        <v>1.4211625244157089E-2</v>
      </c>
      <c r="Z80" s="3"/>
      <c r="AA80" s="3"/>
      <c r="AB80" s="3"/>
      <c r="AC80" s="3"/>
      <c r="AD80" s="3"/>
      <c r="AE80" s="7"/>
    </row>
    <row r="81" spans="2:31" x14ac:dyDescent="0.15">
      <c r="B81" s="16">
        <v>40382</v>
      </c>
      <c r="C81" s="23">
        <v>11952</v>
      </c>
      <c r="D81" s="23">
        <v>10344</v>
      </c>
      <c r="E81" s="23">
        <v>11121</v>
      </c>
      <c r="F81" s="23">
        <v>13376</v>
      </c>
      <c r="G81" s="23">
        <v>10602</v>
      </c>
      <c r="H81" s="24">
        <v>15259</v>
      </c>
      <c r="I81" s="2">
        <f t="shared" si="13"/>
        <v>77</v>
      </c>
      <c r="J81" s="16">
        <v>40382</v>
      </c>
      <c r="K81" s="29">
        <f t="shared" si="7"/>
        <v>2.4322737566049302E-3</v>
      </c>
      <c r="L81" s="29">
        <f t="shared" si="8"/>
        <v>7.7399380804954454E-4</v>
      </c>
      <c r="M81" s="29">
        <f t="shared" si="9"/>
        <v>1.8966465090709095E-2</v>
      </c>
      <c r="N81" s="29">
        <f t="shared" si="10"/>
        <v>-3.5756853396901045E-3</v>
      </c>
      <c r="O81" s="29">
        <f t="shared" si="11"/>
        <v>-1.6949152542372614E-3</v>
      </c>
      <c r="P81" s="30">
        <f t="shared" si="12"/>
        <v>1.3348386239872445E-2</v>
      </c>
      <c r="Z81" s="3"/>
      <c r="AA81" s="3"/>
      <c r="AB81" s="3"/>
      <c r="AC81" s="3"/>
      <c r="AD81" s="3"/>
      <c r="AE81" s="7"/>
    </row>
    <row r="82" spans="2:31" x14ac:dyDescent="0.15">
      <c r="B82" s="16">
        <v>40389</v>
      </c>
      <c r="C82" s="23">
        <v>12083</v>
      </c>
      <c r="D82" s="23">
        <v>10356</v>
      </c>
      <c r="E82" s="23">
        <v>11236</v>
      </c>
      <c r="F82" s="23">
        <v>13476</v>
      </c>
      <c r="G82" s="23">
        <v>10613</v>
      </c>
      <c r="H82" s="24">
        <v>15523</v>
      </c>
      <c r="I82" s="2">
        <f t="shared" si="13"/>
        <v>78</v>
      </c>
      <c r="J82" s="16">
        <v>40389</v>
      </c>
      <c r="K82" s="29">
        <f t="shared" si="7"/>
        <v>1.0960508701472582E-2</v>
      </c>
      <c r="L82" s="29">
        <f t="shared" si="8"/>
        <v>1.1600928074246841E-3</v>
      </c>
      <c r="M82" s="29">
        <f t="shared" si="9"/>
        <v>1.0340796690945009E-2</v>
      </c>
      <c r="N82" s="29">
        <f t="shared" si="10"/>
        <v>7.4760765550239139E-3</v>
      </c>
      <c r="O82" s="29">
        <f t="shared" si="11"/>
        <v>1.0375400867761453E-3</v>
      </c>
      <c r="P82" s="30">
        <f t="shared" si="12"/>
        <v>1.7301264827314977E-2</v>
      </c>
      <c r="Z82" s="3"/>
      <c r="AA82" s="3"/>
      <c r="AB82" s="3"/>
      <c r="AC82" s="3"/>
      <c r="AD82" s="3"/>
      <c r="AE82" s="7"/>
    </row>
    <row r="83" spans="2:31" x14ac:dyDescent="0.15">
      <c r="B83" s="16">
        <v>40396</v>
      </c>
      <c r="C83" s="23">
        <v>12216</v>
      </c>
      <c r="D83" s="23">
        <v>10368</v>
      </c>
      <c r="E83" s="23">
        <v>11227</v>
      </c>
      <c r="F83" s="23">
        <v>13696</v>
      </c>
      <c r="G83" s="23">
        <v>10671</v>
      </c>
      <c r="H83" s="24">
        <v>15728</v>
      </c>
      <c r="I83" s="2">
        <f t="shared" si="13"/>
        <v>79</v>
      </c>
      <c r="J83" s="16">
        <v>40396</v>
      </c>
      <c r="K83" s="29">
        <f t="shared" si="7"/>
        <v>1.100720019862611E-2</v>
      </c>
      <c r="L83" s="29">
        <f t="shared" si="8"/>
        <v>1.1587485515642815E-3</v>
      </c>
      <c r="M83" s="29">
        <f t="shared" si="9"/>
        <v>-8.00996796012865E-4</v>
      </c>
      <c r="N83" s="29">
        <f t="shared" si="10"/>
        <v>1.6325319085782164E-2</v>
      </c>
      <c r="O83" s="29">
        <f t="shared" si="11"/>
        <v>5.4649957599171017E-3</v>
      </c>
      <c r="P83" s="30">
        <f t="shared" si="12"/>
        <v>1.3206210139792507E-2</v>
      </c>
      <c r="Z83" s="3"/>
      <c r="AA83" s="3"/>
      <c r="AB83" s="3"/>
      <c r="AC83" s="3"/>
      <c r="AD83" s="3"/>
      <c r="AE83" s="7"/>
    </row>
    <row r="84" spans="2:31" x14ac:dyDescent="0.15">
      <c r="B84" s="16">
        <v>40403</v>
      </c>
      <c r="C84" s="23">
        <v>11725</v>
      </c>
      <c r="D84" s="23">
        <v>10414</v>
      </c>
      <c r="E84" s="23">
        <v>10943</v>
      </c>
      <c r="F84" s="23">
        <v>13158</v>
      </c>
      <c r="G84" s="23">
        <v>10604</v>
      </c>
      <c r="H84" s="24">
        <v>15133</v>
      </c>
      <c r="I84" s="2">
        <f t="shared" si="13"/>
        <v>80</v>
      </c>
      <c r="J84" s="16">
        <v>40403</v>
      </c>
      <c r="K84" s="29">
        <f t="shared" si="7"/>
        <v>-4.0193189259986939E-2</v>
      </c>
      <c r="L84" s="29">
        <f t="shared" si="8"/>
        <v>4.4367283950617065E-3</v>
      </c>
      <c r="M84" s="29">
        <f t="shared" si="9"/>
        <v>-2.5296161040349152E-2</v>
      </c>
      <c r="N84" s="29">
        <f t="shared" si="10"/>
        <v>-3.9281542056074814E-2</v>
      </c>
      <c r="O84" s="29">
        <f t="shared" si="11"/>
        <v>-6.2786992784181761E-3</v>
      </c>
      <c r="P84" s="30">
        <f t="shared" si="12"/>
        <v>-3.7830620549338723E-2</v>
      </c>
      <c r="Z84" s="3"/>
      <c r="AA84" s="3"/>
      <c r="AB84" s="3"/>
      <c r="AC84" s="3"/>
      <c r="AD84" s="3"/>
      <c r="AE84" s="7"/>
    </row>
    <row r="85" spans="2:31" x14ac:dyDescent="0.15">
      <c r="B85" s="16">
        <v>40410</v>
      </c>
      <c r="C85" s="23">
        <v>11624</v>
      </c>
      <c r="D85" s="23">
        <v>10446</v>
      </c>
      <c r="E85" s="23">
        <v>11010</v>
      </c>
      <c r="F85" s="23">
        <v>12989</v>
      </c>
      <c r="G85" s="23">
        <v>10577</v>
      </c>
      <c r="H85" s="24">
        <v>15061</v>
      </c>
      <c r="I85" s="2">
        <f t="shared" si="13"/>
        <v>81</v>
      </c>
      <c r="J85" s="16">
        <v>40410</v>
      </c>
      <c r="K85" s="29">
        <f t="shared" si="7"/>
        <v>-8.6140724946695002E-3</v>
      </c>
      <c r="L85" s="29">
        <f t="shared" si="8"/>
        <v>3.0727866333781773E-3</v>
      </c>
      <c r="M85" s="29">
        <f t="shared" si="9"/>
        <v>6.122635474732796E-3</v>
      </c>
      <c r="N85" s="29">
        <f t="shared" si="10"/>
        <v>-1.2843897248821956E-2</v>
      </c>
      <c r="O85" s="29">
        <f t="shared" si="11"/>
        <v>-2.5462089777442687E-3</v>
      </c>
      <c r="P85" s="30">
        <f t="shared" si="12"/>
        <v>-4.7578140487676279E-3</v>
      </c>
      <c r="Z85" s="3"/>
      <c r="AA85" s="3"/>
      <c r="AB85" s="3"/>
      <c r="AC85" s="3"/>
      <c r="AD85" s="3"/>
      <c r="AE85" s="7"/>
    </row>
    <row r="86" spans="2:31" x14ac:dyDescent="0.15">
      <c r="B86" s="16">
        <v>40417</v>
      </c>
      <c r="C86" s="23">
        <v>11390</v>
      </c>
      <c r="D86" s="23">
        <v>10395</v>
      </c>
      <c r="E86" s="23">
        <v>11058</v>
      </c>
      <c r="F86" s="23">
        <v>12504</v>
      </c>
      <c r="G86" s="23">
        <v>10465</v>
      </c>
      <c r="H86" s="24">
        <v>14801</v>
      </c>
      <c r="I86" s="2">
        <f t="shared" si="13"/>
        <v>82</v>
      </c>
      <c r="J86" s="16">
        <v>40417</v>
      </c>
      <c r="K86" s="29">
        <f t="shared" si="7"/>
        <v>-2.0130763936682672E-2</v>
      </c>
      <c r="L86" s="29">
        <f t="shared" si="8"/>
        <v>-4.8822515795520216E-3</v>
      </c>
      <c r="M86" s="29">
        <f t="shared" si="9"/>
        <v>4.3596730245232251E-3</v>
      </c>
      <c r="N86" s="29">
        <f t="shared" si="10"/>
        <v>-3.7339287089075412E-2</v>
      </c>
      <c r="O86" s="29">
        <f t="shared" si="11"/>
        <v>-1.0589013898080757E-2</v>
      </c>
      <c r="P86" s="30">
        <f t="shared" si="12"/>
        <v>-1.7263129938251076E-2</v>
      </c>
      <c r="Z86" s="3"/>
      <c r="AA86" s="3"/>
      <c r="AB86" s="3"/>
      <c r="AC86" s="3"/>
      <c r="AD86" s="3"/>
      <c r="AE86" s="7"/>
    </row>
    <row r="87" spans="2:31" x14ac:dyDescent="0.15">
      <c r="B87" s="16">
        <v>40424</v>
      </c>
      <c r="C87" s="23">
        <v>11545</v>
      </c>
      <c r="D87" s="23">
        <v>10328</v>
      </c>
      <c r="E87" s="23">
        <v>11272</v>
      </c>
      <c r="F87" s="23">
        <v>13042</v>
      </c>
      <c r="G87" s="23">
        <v>10453</v>
      </c>
      <c r="H87" s="24">
        <v>15644</v>
      </c>
      <c r="I87" s="2">
        <f t="shared" si="13"/>
        <v>83</v>
      </c>
      <c r="J87" s="16">
        <v>40424</v>
      </c>
      <c r="K87" s="29">
        <f t="shared" si="7"/>
        <v>1.3608428446005183E-2</v>
      </c>
      <c r="L87" s="29">
        <f t="shared" si="8"/>
        <v>-6.4454064454064763E-3</v>
      </c>
      <c r="M87" s="29">
        <f t="shared" si="9"/>
        <v>1.9352504973774609E-2</v>
      </c>
      <c r="N87" s="29">
        <f t="shared" si="10"/>
        <v>4.3026231605886034E-2</v>
      </c>
      <c r="O87" s="29">
        <f t="shared" si="11"/>
        <v>-1.1466794075489783E-3</v>
      </c>
      <c r="P87" s="30">
        <f t="shared" si="12"/>
        <v>5.6955611107357695E-2</v>
      </c>
      <c r="Z87" s="3"/>
      <c r="AA87" s="3"/>
      <c r="AB87" s="3"/>
      <c r="AC87" s="3"/>
      <c r="AD87" s="3"/>
      <c r="AE87" s="7"/>
    </row>
    <row r="88" spans="2:31" x14ac:dyDescent="0.15">
      <c r="B88" s="16">
        <v>40431</v>
      </c>
      <c r="C88" s="23">
        <v>11703</v>
      </c>
      <c r="D88" s="23">
        <v>10304</v>
      </c>
      <c r="E88" s="23">
        <v>11125</v>
      </c>
      <c r="F88" s="23">
        <v>13202</v>
      </c>
      <c r="G88" s="23">
        <v>10338</v>
      </c>
      <c r="H88" s="24">
        <v>15600</v>
      </c>
      <c r="I88" s="2">
        <f t="shared" si="13"/>
        <v>84</v>
      </c>
      <c r="J88" s="16">
        <v>40431</v>
      </c>
      <c r="K88" s="29">
        <f t="shared" si="7"/>
        <v>1.368557817236904E-2</v>
      </c>
      <c r="L88" s="29">
        <f t="shared" si="8"/>
        <v>-2.3237800154918276E-3</v>
      </c>
      <c r="M88" s="29">
        <f t="shared" si="9"/>
        <v>-1.304116394606103E-2</v>
      </c>
      <c r="N88" s="29">
        <f t="shared" si="10"/>
        <v>1.2268057046465275E-2</v>
      </c>
      <c r="O88" s="29">
        <f t="shared" si="11"/>
        <v>-1.1001626327370118E-2</v>
      </c>
      <c r="P88" s="30">
        <f t="shared" si="12"/>
        <v>-2.8125799028381193E-3</v>
      </c>
      <c r="Z88" s="3"/>
      <c r="AA88" s="3"/>
      <c r="AB88" s="3"/>
      <c r="AC88" s="3"/>
      <c r="AD88" s="3"/>
      <c r="AE88" s="7"/>
    </row>
    <row r="89" spans="2:31" x14ac:dyDescent="0.15">
      <c r="B89" s="16">
        <v>40438</v>
      </c>
      <c r="C89" s="23">
        <v>12192</v>
      </c>
      <c r="D89" s="23">
        <v>10346</v>
      </c>
      <c r="E89" s="23">
        <v>11197</v>
      </c>
      <c r="F89" s="23">
        <v>13750</v>
      </c>
      <c r="G89" s="23">
        <v>10650</v>
      </c>
      <c r="H89" s="24">
        <v>16152</v>
      </c>
      <c r="I89" s="2">
        <f t="shared" si="13"/>
        <v>85</v>
      </c>
      <c r="J89" s="16">
        <v>40438</v>
      </c>
      <c r="K89" s="29">
        <f t="shared" si="7"/>
        <v>4.1784157908228758E-2</v>
      </c>
      <c r="L89" s="29">
        <f t="shared" si="8"/>
        <v>4.0760869565217295E-3</v>
      </c>
      <c r="M89" s="29">
        <f t="shared" si="9"/>
        <v>6.4719101123595912E-3</v>
      </c>
      <c r="N89" s="29">
        <f t="shared" si="10"/>
        <v>4.1508862293591964E-2</v>
      </c>
      <c r="O89" s="29">
        <f t="shared" si="11"/>
        <v>3.0179918746372714E-2</v>
      </c>
      <c r="P89" s="30">
        <f t="shared" si="12"/>
        <v>3.5384615384615348E-2</v>
      </c>
      <c r="Z89" s="3"/>
      <c r="AA89" s="3"/>
      <c r="AB89" s="3"/>
      <c r="AC89" s="3"/>
      <c r="AD89" s="3"/>
      <c r="AE89" s="7"/>
    </row>
    <row r="90" spans="2:31" x14ac:dyDescent="0.15">
      <c r="B90" s="16">
        <v>40445</v>
      </c>
      <c r="C90" s="23">
        <v>11992</v>
      </c>
      <c r="D90" s="23">
        <v>10395</v>
      </c>
      <c r="E90" s="23">
        <v>11342</v>
      </c>
      <c r="F90" s="23">
        <v>13590</v>
      </c>
      <c r="G90" s="23">
        <v>10667</v>
      </c>
      <c r="H90" s="24">
        <v>15723</v>
      </c>
      <c r="I90" s="2">
        <f t="shared" si="13"/>
        <v>86</v>
      </c>
      <c r="J90" s="16">
        <v>40445</v>
      </c>
      <c r="K90" s="29">
        <f t="shared" si="7"/>
        <v>-1.6404199475065662E-2</v>
      </c>
      <c r="L90" s="29">
        <f t="shared" si="8"/>
        <v>4.7361299052774974E-3</v>
      </c>
      <c r="M90" s="29">
        <f t="shared" si="9"/>
        <v>1.2949897293917934E-2</v>
      </c>
      <c r="N90" s="29">
        <f t="shared" si="10"/>
        <v>-1.1636363636363667E-2</v>
      </c>
      <c r="O90" s="29">
        <f t="shared" si="11"/>
        <v>1.5962441314554265E-3</v>
      </c>
      <c r="P90" s="30">
        <f t="shared" si="12"/>
        <v>-2.6560178306092141E-2</v>
      </c>
      <c r="Z90" s="3"/>
      <c r="AA90" s="3"/>
      <c r="AB90" s="3"/>
      <c r="AC90" s="3"/>
      <c r="AD90" s="3"/>
      <c r="AE90" s="7"/>
    </row>
    <row r="91" spans="2:31" x14ac:dyDescent="0.15">
      <c r="B91" s="16">
        <v>40452</v>
      </c>
      <c r="C91" s="23">
        <v>11984</v>
      </c>
      <c r="D91" s="23">
        <v>10415</v>
      </c>
      <c r="E91" s="23">
        <v>11689</v>
      </c>
      <c r="F91" s="23">
        <v>13667</v>
      </c>
      <c r="G91" s="23">
        <v>10698</v>
      </c>
      <c r="H91" s="24">
        <v>15877</v>
      </c>
      <c r="I91" s="2">
        <f t="shared" si="13"/>
        <v>87</v>
      </c>
      <c r="J91" s="16">
        <v>40452</v>
      </c>
      <c r="K91" s="29">
        <f t="shared" si="7"/>
        <v>-6.6711140760511434E-4</v>
      </c>
      <c r="L91" s="29">
        <f t="shared" si="8"/>
        <v>1.9240019240018835E-3</v>
      </c>
      <c r="M91" s="29">
        <f t="shared" si="9"/>
        <v>3.0594251454769905E-2</v>
      </c>
      <c r="N91" s="29">
        <f t="shared" si="10"/>
        <v>5.6659308314936929E-3</v>
      </c>
      <c r="O91" s="29">
        <f t="shared" si="11"/>
        <v>2.9061591825254585E-3</v>
      </c>
      <c r="P91" s="30">
        <f t="shared" si="12"/>
        <v>9.7945684665776689E-3</v>
      </c>
      <c r="Z91" s="3"/>
      <c r="AA91" s="3"/>
      <c r="AB91" s="3"/>
      <c r="AC91" s="3"/>
      <c r="AD91" s="3"/>
      <c r="AE91" s="7"/>
    </row>
    <row r="92" spans="2:31" x14ac:dyDescent="0.15">
      <c r="B92" s="16">
        <v>40459</v>
      </c>
      <c r="C92" s="23">
        <v>12218</v>
      </c>
      <c r="D92" s="23">
        <v>10436</v>
      </c>
      <c r="E92" s="23">
        <v>11784</v>
      </c>
      <c r="F92" s="23">
        <v>13773</v>
      </c>
      <c r="G92" s="23">
        <v>10696</v>
      </c>
      <c r="H92" s="24">
        <v>16144</v>
      </c>
      <c r="I92" s="2">
        <f t="shared" si="13"/>
        <v>88</v>
      </c>
      <c r="J92" s="16">
        <v>40459</v>
      </c>
      <c r="K92" s="29">
        <f t="shared" si="7"/>
        <v>1.9526034712950668E-2</v>
      </c>
      <c r="L92" s="29">
        <f t="shared" si="8"/>
        <v>2.0163226116178823E-3</v>
      </c>
      <c r="M92" s="29">
        <f t="shared" si="9"/>
        <v>8.1272991701599739E-3</v>
      </c>
      <c r="N92" s="29">
        <f t="shared" si="10"/>
        <v>7.7559083924783057E-3</v>
      </c>
      <c r="O92" s="29">
        <f t="shared" si="11"/>
        <v>-1.8695083193120965E-4</v>
      </c>
      <c r="P92" s="30">
        <f t="shared" si="12"/>
        <v>1.6816778988473891E-2</v>
      </c>
      <c r="Z92" s="3"/>
      <c r="AA92" s="3"/>
      <c r="AB92" s="3"/>
      <c r="AC92" s="3"/>
      <c r="AD92" s="3"/>
      <c r="AE92" s="7"/>
    </row>
    <row r="93" spans="2:31" x14ac:dyDescent="0.15">
      <c r="B93" s="16">
        <v>40466</v>
      </c>
      <c r="C93" s="23">
        <v>12107</v>
      </c>
      <c r="D93" s="23">
        <v>10417</v>
      </c>
      <c r="E93" s="23">
        <v>11772</v>
      </c>
      <c r="F93" s="23">
        <v>13861</v>
      </c>
      <c r="G93" s="23">
        <v>10626</v>
      </c>
      <c r="H93" s="24">
        <v>16213</v>
      </c>
      <c r="I93" s="2">
        <f t="shared" si="13"/>
        <v>89</v>
      </c>
      <c r="J93" s="16">
        <v>40466</v>
      </c>
      <c r="K93" s="29">
        <f t="shared" si="7"/>
        <v>-9.0849566213783151E-3</v>
      </c>
      <c r="L93" s="29">
        <f t="shared" si="8"/>
        <v>-1.820620927558414E-3</v>
      </c>
      <c r="M93" s="29">
        <f t="shared" si="9"/>
        <v>-1.0183299389001643E-3</v>
      </c>
      <c r="N93" s="29">
        <f t="shared" si="10"/>
        <v>6.3893124228562304E-3</v>
      </c>
      <c r="O93" s="29">
        <f t="shared" si="11"/>
        <v>-6.5445026178010401E-3</v>
      </c>
      <c r="P93" s="30">
        <f t="shared" si="12"/>
        <v>4.2740336967295178E-3</v>
      </c>
      <c r="Z93" s="3"/>
      <c r="AA93" s="3"/>
      <c r="AB93" s="3"/>
      <c r="AC93" s="3"/>
      <c r="AD93" s="3"/>
      <c r="AE93" s="7"/>
    </row>
    <row r="94" spans="2:31" x14ac:dyDescent="0.15">
      <c r="B94" s="16">
        <v>40473</v>
      </c>
      <c r="C94" s="23">
        <v>12006</v>
      </c>
      <c r="D94" s="23">
        <v>10407</v>
      </c>
      <c r="E94" s="23">
        <v>11708</v>
      </c>
      <c r="F94" s="23">
        <v>13801</v>
      </c>
      <c r="G94" s="23">
        <v>10479</v>
      </c>
      <c r="H94" s="24">
        <v>16249</v>
      </c>
      <c r="I94" s="2">
        <f t="shared" si="13"/>
        <v>90</v>
      </c>
      <c r="J94" s="16">
        <v>40473</v>
      </c>
      <c r="K94" s="29">
        <f t="shared" si="7"/>
        <v>-8.3422813248533734E-3</v>
      </c>
      <c r="L94" s="29">
        <f t="shared" si="8"/>
        <v>-9.5996928098296408E-4</v>
      </c>
      <c r="M94" s="29">
        <f t="shared" si="9"/>
        <v>-5.4366292898403445E-3</v>
      </c>
      <c r="N94" s="29">
        <f t="shared" si="10"/>
        <v>-4.328692013563229E-3</v>
      </c>
      <c r="O94" s="29">
        <f t="shared" si="11"/>
        <v>-1.3833992094861691E-2</v>
      </c>
      <c r="P94" s="30">
        <f t="shared" si="12"/>
        <v>2.2204403873435918E-3</v>
      </c>
      <c r="Z94" s="3"/>
      <c r="AA94" s="3"/>
      <c r="AB94" s="3"/>
      <c r="AC94" s="3"/>
      <c r="AD94" s="3"/>
      <c r="AE94" s="7"/>
    </row>
    <row r="95" spans="2:31" x14ac:dyDescent="0.15">
      <c r="B95" s="16">
        <v>40480</v>
      </c>
      <c r="C95" s="23">
        <v>11719</v>
      </c>
      <c r="D95" s="23">
        <v>10385</v>
      </c>
      <c r="E95" s="23">
        <v>11936</v>
      </c>
      <c r="F95" s="23">
        <v>13744</v>
      </c>
      <c r="G95" s="23">
        <v>10397</v>
      </c>
      <c r="H95" s="24">
        <v>16049</v>
      </c>
      <c r="I95" s="2">
        <f t="shared" si="13"/>
        <v>91</v>
      </c>
      <c r="J95" s="16">
        <v>40480</v>
      </c>
      <c r="K95" s="29">
        <f t="shared" si="7"/>
        <v>-2.390471430951191E-2</v>
      </c>
      <c r="L95" s="29">
        <f t="shared" si="8"/>
        <v>-2.1139617565100188E-3</v>
      </c>
      <c r="M95" s="29">
        <f t="shared" si="9"/>
        <v>1.9473864024598608E-2</v>
      </c>
      <c r="N95" s="29">
        <f t="shared" si="10"/>
        <v>-4.1301354974276894E-3</v>
      </c>
      <c r="O95" s="29">
        <f t="shared" si="11"/>
        <v>-7.825174157839454E-3</v>
      </c>
      <c r="P95" s="30">
        <f t="shared" si="12"/>
        <v>-1.2308449750753847E-2</v>
      </c>
      <c r="Z95" s="3"/>
      <c r="AA95" s="3"/>
      <c r="AB95" s="3"/>
      <c r="AC95" s="3"/>
      <c r="AD95" s="3"/>
      <c r="AE95" s="7"/>
    </row>
    <row r="96" spans="2:31" x14ac:dyDescent="0.15">
      <c r="B96" s="16">
        <v>40487</v>
      </c>
      <c r="C96" s="23">
        <v>12263</v>
      </c>
      <c r="D96" s="23">
        <v>10384</v>
      </c>
      <c r="E96" s="23">
        <v>12301</v>
      </c>
      <c r="F96" s="23">
        <v>14271</v>
      </c>
      <c r="G96" s="23">
        <v>10586</v>
      </c>
      <c r="H96" s="24">
        <v>16610</v>
      </c>
      <c r="I96" s="2">
        <f t="shared" si="13"/>
        <v>92</v>
      </c>
      <c r="J96" s="16">
        <v>40487</v>
      </c>
      <c r="K96" s="29">
        <f t="shared" si="7"/>
        <v>4.6420343032681943E-2</v>
      </c>
      <c r="L96" s="29">
        <f t="shared" si="8"/>
        <v>-9.6292729898861396E-5</v>
      </c>
      <c r="M96" s="29">
        <f t="shared" si="9"/>
        <v>3.0579758713136673E-2</v>
      </c>
      <c r="N96" s="29">
        <f t="shared" si="10"/>
        <v>3.8344004656577502E-2</v>
      </c>
      <c r="O96" s="29">
        <f t="shared" si="11"/>
        <v>1.8178320669423931E-2</v>
      </c>
      <c r="P96" s="30">
        <f t="shared" si="12"/>
        <v>3.4955448937628475E-2</v>
      </c>
      <c r="Z96" s="3"/>
      <c r="AA96" s="3"/>
      <c r="AB96" s="3"/>
      <c r="AC96" s="3"/>
      <c r="AD96" s="3"/>
      <c r="AE96" s="7"/>
    </row>
    <row r="97" spans="2:31" x14ac:dyDescent="0.15">
      <c r="B97" s="16">
        <v>40494</v>
      </c>
      <c r="C97" s="23">
        <v>12386</v>
      </c>
      <c r="D97" s="23">
        <v>10346</v>
      </c>
      <c r="E97" s="23">
        <v>12295</v>
      </c>
      <c r="F97" s="23">
        <v>14301</v>
      </c>
      <c r="G97" s="23">
        <v>10490</v>
      </c>
      <c r="H97" s="24">
        <v>16327</v>
      </c>
      <c r="I97" s="2">
        <f t="shared" si="13"/>
        <v>93</v>
      </c>
      <c r="J97" s="16">
        <v>40494</v>
      </c>
      <c r="K97" s="29">
        <f t="shared" si="7"/>
        <v>1.0030172062301279E-2</v>
      </c>
      <c r="L97" s="29">
        <f t="shared" si="8"/>
        <v>-3.6594761171032664E-3</v>
      </c>
      <c r="M97" s="29">
        <f t="shared" si="9"/>
        <v>-4.8776522233962005E-4</v>
      </c>
      <c r="N97" s="29">
        <f t="shared" si="10"/>
        <v>2.1021652301871363E-3</v>
      </c>
      <c r="O97" s="29">
        <f t="shared" si="11"/>
        <v>-9.0685811449083831E-3</v>
      </c>
      <c r="P97" s="30">
        <f t="shared" si="12"/>
        <v>-1.7037928958458792E-2</v>
      </c>
      <c r="Z97" s="3"/>
      <c r="AA97" s="3"/>
      <c r="AB97" s="3"/>
      <c r="AC97" s="3"/>
      <c r="AD97" s="3"/>
      <c r="AE97" s="7"/>
    </row>
    <row r="98" spans="2:31" x14ac:dyDescent="0.15">
      <c r="B98" s="16">
        <v>40501</v>
      </c>
      <c r="C98" s="23">
        <v>12764</v>
      </c>
      <c r="D98" s="23">
        <v>10318</v>
      </c>
      <c r="E98" s="23">
        <v>12476</v>
      </c>
      <c r="F98" s="23">
        <v>14362</v>
      </c>
      <c r="G98" s="23">
        <v>10526</v>
      </c>
      <c r="H98" s="24">
        <v>16102</v>
      </c>
      <c r="I98" s="2">
        <f t="shared" si="13"/>
        <v>94</v>
      </c>
      <c r="J98" s="16">
        <v>40501</v>
      </c>
      <c r="K98" s="29">
        <f t="shared" si="7"/>
        <v>3.0518327143549184E-2</v>
      </c>
      <c r="L98" s="29">
        <f t="shared" si="8"/>
        <v>-2.7063599458727605E-3</v>
      </c>
      <c r="M98" s="29">
        <f t="shared" si="9"/>
        <v>1.4721431476209856E-2</v>
      </c>
      <c r="N98" s="29">
        <f t="shared" si="10"/>
        <v>4.2654359834977118E-3</v>
      </c>
      <c r="O98" s="29">
        <f t="shared" si="11"/>
        <v>3.4318398474737499E-3</v>
      </c>
      <c r="P98" s="30">
        <f t="shared" si="12"/>
        <v>-1.3780853800453241E-2</v>
      </c>
      <c r="Z98" s="3"/>
      <c r="AA98" s="3"/>
      <c r="AB98" s="3"/>
      <c r="AC98" s="3"/>
      <c r="AD98" s="3"/>
      <c r="AE98" s="7"/>
    </row>
    <row r="99" spans="2:31" x14ac:dyDescent="0.15">
      <c r="B99" s="16">
        <v>40508</v>
      </c>
      <c r="C99" s="23">
        <v>12783</v>
      </c>
      <c r="D99" s="23">
        <v>10269</v>
      </c>
      <c r="E99" s="23">
        <v>12694</v>
      </c>
      <c r="F99" s="23">
        <v>14221</v>
      </c>
      <c r="G99" s="23">
        <v>10398</v>
      </c>
      <c r="H99" s="24">
        <v>16231</v>
      </c>
      <c r="I99" s="2">
        <f t="shared" si="13"/>
        <v>95</v>
      </c>
      <c r="J99" s="16">
        <v>40508</v>
      </c>
      <c r="K99" s="29">
        <f t="shared" si="7"/>
        <v>1.4885615794422158E-3</v>
      </c>
      <c r="L99" s="29">
        <f t="shared" si="8"/>
        <v>-4.7489823609226933E-3</v>
      </c>
      <c r="M99" s="29">
        <f t="shared" si="9"/>
        <v>1.7473549214491735E-2</v>
      </c>
      <c r="N99" s="29">
        <f t="shared" si="10"/>
        <v>-9.8175741540175165E-3</v>
      </c>
      <c r="O99" s="29">
        <f t="shared" si="11"/>
        <v>-1.2160364810944291E-2</v>
      </c>
      <c r="P99" s="30">
        <f t="shared" si="12"/>
        <v>8.0114271519065028E-3</v>
      </c>
      <c r="Z99" s="3"/>
      <c r="AA99" s="3"/>
      <c r="AB99" s="3"/>
      <c r="AC99" s="3"/>
      <c r="AD99" s="3"/>
      <c r="AE99" s="7"/>
    </row>
    <row r="100" spans="2:31" x14ac:dyDescent="0.15">
      <c r="B100" s="16">
        <v>40515</v>
      </c>
      <c r="C100" s="23">
        <v>12956</v>
      </c>
      <c r="D100" s="23">
        <v>10258</v>
      </c>
      <c r="E100" s="23">
        <v>13078</v>
      </c>
      <c r="F100" s="23">
        <v>14419</v>
      </c>
      <c r="G100" s="23">
        <v>10315</v>
      </c>
      <c r="H100" s="24">
        <v>16438</v>
      </c>
      <c r="I100" s="2">
        <f t="shared" si="13"/>
        <v>96</v>
      </c>
      <c r="J100" s="16">
        <v>40515</v>
      </c>
      <c r="K100" s="29">
        <f t="shared" si="7"/>
        <v>1.3533599311585709E-2</v>
      </c>
      <c r="L100" s="29">
        <f t="shared" si="8"/>
        <v>-1.0711851202648282E-3</v>
      </c>
      <c r="M100" s="29">
        <f t="shared" si="9"/>
        <v>3.0250512052938383E-2</v>
      </c>
      <c r="N100" s="29">
        <f t="shared" si="10"/>
        <v>1.3923071513958218E-2</v>
      </c>
      <c r="O100" s="29">
        <f t="shared" si="11"/>
        <v>-7.9823042892863683E-3</v>
      </c>
      <c r="P100" s="30">
        <f t="shared" si="12"/>
        <v>1.2753373174789084E-2</v>
      </c>
      <c r="Z100" s="3"/>
      <c r="AA100" s="3"/>
      <c r="AB100" s="3"/>
      <c r="AC100" s="3"/>
      <c r="AD100" s="3"/>
      <c r="AE100" s="7"/>
    </row>
    <row r="101" spans="2:31" x14ac:dyDescent="0.15">
      <c r="B101" s="16">
        <v>40522</v>
      </c>
      <c r="C101" s="23">
        <v>12995</v>
      </c>
      <c r="D101" s="23">
        <v>10234</v>
      </c>
      <c r="E101" s="23">
        <v>13230</v>
      </c>
      <c r="F101" s="23">
        <v>14590</v>
      </c>
      <c r="G101" s="23">
        <v>10268</v>
      </c>
      <c r="H101" s="24">
        <v>16330</v>
      </c>
      <c r="I101" s="2">
        <f t="shared" si="13"/>
        <v>97</v>
      </c>
      <c r="J101" s="16">
        <v>40522</v>
      </c>
      <c r="K101" s="29">
        <f t="shared" si="7"/>
        <v>3.0101883297313226E-3</v>
      </c>
      <c r="L101" s="29">
        <f t="shared" si="8"/>
        <v>-2.3396373562097894E-3</v>
      </c>
      <c r="M101" s="29">
        <f t="shared" si="9"/>
        <v>1.1622572258755071E-2</v>
      </c>
      <c r="N101" s="29">
        <f t="shared" si="10"/>
        <v>1.1859352243567489E-2</v>
      </c>
      <c r="O101" s="29">
        <f t="shared" si="11"/>
        <v>-4.5564711585069917E-3</v>
      </c>
      <c r="P101" s="30">
        <f t="shared" si="12"/>
        <v>-6.5701423530842851E-3</v>
      </c>
      <c r="Z101" s="3"/>
      <c r="AA101" s="3"/>
      <c r="AB101" s="3"/>
      <c r="AC101" s="3"/>
      <c r="AD101" s="3"/>
      <c r="AE101" s="7"/>
    </row>
    <row r="102" spans="2:31" x14ac:dyDescent="0.15">
      <c r="B102" s="16">
        <v>40529</v>
      </c>
      <c r="C102" s="23">
        <v>13108</v>
      </c>
      <c r="D102" s="23">
        <v>10264</v>
      </c>
      <c r="E102" s="23">
        <v>13314</v>
      </c>
      <c r="F102" s="23">
        <v>14747</v>
      </c>
      <c r="G102" s="23">
        <v>10235</v>
      </c>
      <c r="H102" s="24">
        <v>16309</v>
      </c>
      <c r="I102" s="2">
        <f t="shared" si="13"/>
        <v>98</v>
      </c>
      <c r="J102" s="16">
        <v>40529</v>
      </c>
      <c r="K102" s="29">
        <f t="shared" si="7"/>
        <v>8.6956521739129933E-3</v>
      </c>
      <c r="L102" s="29">
        <f t="shared" si="8"/>
        <v>2.9314051201876357E-3</v>
      </c>
      <c r="M102" s="29">
        <f t="shared" si="9"/>
        <v>6.3492063492063266E-3</v>
      </c>
      <c r="N102" s="29">
        <f t="shared" si="10"/>
        <v>1.0760795065113182E-2</v>
      </c>
      <c r="O102" s="29">
        <f t="shared" si="11"/>
        <v>-3.2138683287884495E-3</v>
      </c>
      <c r="P102" s="30">
        <f t="shared" si="12"/>
        <v>-1.2859767299449043E-3</v>
      </c>
      <c r="Z102" s="3"/>
      <c r="AA102" s="3"/>
      <c r="AB102" s="3"/>
      <c r="AC102" s="3"/>
      <c r="AD102" s="3"/>
      <c r="AE102" s="7"/>
    </row>
    <row r="103" spans="2:31" x14ac:dyDescent="0.15">
      <c r="B103" s="16">
        <v>40536</v>
      </c>
      <c r="C103" s="23">
        <v>13078</v>
      </c>
      <c r="D103" s="23">
        <v>10288</v>
      </c>
      <c r="E103" s="23">
        <v>13925</v>
      </c>
      <c r="F103" s="23">
        <v>14726</v>
      </c>
      <c r="G103" s="23">
        <v>10114</v>
      </c>
      <c r="H103" s="24">
        <v>16536</v>
      </c>
      <c r="I103" s="2">
        <f t="shared" si="13"/>
        <v>99</v>
      </c>
      <c r="J103" s="16">
        <v>40536</v>
      </c>
      <c r="K103" s="29">
        <f t="shared" si="7"/>
        <v>-2.2886786695147654E-3</v>
      </c>
      <c r="L103" s="29">
        <f t="shared" si="8"/>
        <v>2.3382696804363778E-3</v>
      </c>
      <c r="M103" s="29">
        <f t="shared" si="9"/>
        <v>4.5891542736968605E-2</v>
      </c>
      <c r="N103" s="29">
        <f t="shared" si="10"/>
        <v>-1.4240184444294091E-3</v>
      </c>
      <c r="O103" s="29">
        <f t="shared" si="11"/>
        <v>-1.1822178798241323E-2</v>
      </c>
      <c r="P103" s="30">
        <f t="shared" si="12"/>
        <v>1.3918695198969822E-2</v>
      </c>
      <c r="Z103" s="3"/>
      <c r="AA103" s="3"/>
      <c r="AB103" s="3"/>
      <c r="AC103" s="3"/>
      <c r="AD103" s="3"/>
      <c r="AE103" s="7"/>
    </row>
    <row r="104" spans="2:31" x14ac:dyDescent="0.15">
      <c r="B104" s="16">
        <v>40543</v>
      </c>
      <c r="C104" s="23">
        <v>13021</v>
      </c>
      <c r="D104" s="23">
        <v>10326</v>
      </c>
      <c r="E104" s="23">
        <v>14062</v>
      </c>
      <c r="F104" s="23">
        <v>14497</v>
      </c>
      <c r="G104" s="23">
        <v>9960</v>
      </c>
      <c r="H104" s="24">
        <v>16494</v>
      </c>
      <c r="I104" s="2">
        <f t="shared" si="13"/>
        <v>100</v>
      </c>
      <c r="J104" s="16">
        <v>40543</v>
      </c>
      <c r="K104" s="29">
        <f t="shared" si="7"/>
        <v>-4.3584645970331515E-3</v>
      </c>
      <c r="L104" s="29">
        <f t="shared" si="8"/>
        <v>3.6936236391913457E-3</v>
      </c>
      <c r="M104" s="29">
        <f t="shared" si="9"/>
        <v>9.8384201077199585E-3</v>
      </c>
      <c r="N104" s="29">
        <f t="shared" si="10"/>
        <v>-1.5550726606002985E-2</v>
      </c>
      <c r="O104" s="29">
        <f t="shared" si="11"/>
        <v>-1.5226418825390553E-2</v>
      </c>
      <c r="P104" s="30">
        <f t="shared" si="12"/>
        <v>-2.539912917271403E-3</v>
      </c>
      <c r="Z104" s="3"/>
      <c r="AA104" s="3"/>
      <c r="AB104" s="3"/>
      <c r="AC104" s="3"/>
      <c r="AD104" s="3"/>
      <c r="AE104" s="7"/>
    </row>
    <row r="105" spans="2:31" x14ac:dyDescent="0.15">
      <c r="B105" s="16">
        <v>40550</v>
      </c>
      <c r="C105" s="23">
        <v>13421</v>
      </c>
      <c r="D105" s="23">
        <v>10277</v>
      </c>
      <c r="E105" s="23">
        <v>14095</v>
      </c>
      <c r="F105" s="23">
        <v>14840</v>
      </c>
      <c r="G105" s="23">
        <v>10099</v>
      </c>
      <c r="H105" s="24">
        <v>16692</v>
      </c>
      <c r="I105" s="2">
        <f t="shared" si="13"/>
        <v>101</v>
      </c>
      <c r="J105" s="16">
        <v>40550</v>
      </c>
      <c r="K105" s="29">
        <f t="shared" si="7"/>
        <v>3.0719606789033183E-2</v>
      </c>
      <c r="L105" s="29">
        <f t="shared" si="8"/>
        <v>-4.7453031183420924E-3</v>
      </c>
      <c r="M105" s="29">
        <f t="shared" si="9"/>
        <v>2.3467501066705143E-3</v>
      </c>
      <c r="N105" s="29">
        <f t="shared" si="10"/>
        <v>2.3660067600193235E-2</v>
      </c>
      <c r="O105" s="29">
        <f t="shared" si="11"/>
        <v>1.3955823293172687E-2</v>
      </c>
      <c r="P105" s="30">
        <f t="shared" si="12"/>
        <v>1.2004365223717617E-2</v>
      </c>
      <c r="Z105" s="3"/>
      <c r="AA105" s="3"/>
      <c r="AB105" s="3"/>
      <c r="AC105" s="3"/>
      <c r="AD105" s="3"/>
      <c r="AE105" s="7"/>
    </row>
    <row r="106" spans="2:31" x14ac:dyDescent="0.15">
      <c r="B106" s="16">
        <v>40557</v>
      </c>
      <c r="C106" s="23">
        <v>13363</v>
      </c>
      <c r="D106" s="23">
        <v>10261</v>
      </c>
      <c r="E106" s="23">
        <v>14255</v>
      </c>
      <c r="F106" s="23">
        <v>14995</v>
      </c>
      <c r="G106" s="23">
        <v>10191</v>
      </c>
      <c r="H106" s="24">
        <v>16772</v>
      </c>
      <c r="I106" s="2">
        <f t="shared" si="13"/>
        <v>102</v>
      </c>
      <c r="J106" s="16">
        <v>40557</v>
      </c>
      <c r="K106" s="29">
        <f t="shared" si="7"/>
        <v>-4.3215855748454102E-3</v>
      </c>
      <c r="L106" s="29">
        <f t="shared" si="8"/>
        <v>-1.5568745742920997E-3</v>
      </c>
      <c r="M106" s="29">
        <f t="shared" si="9"/>
        <v>1.1351543100390105E-2</v>
      </c>
      <c r="N106" s="29">
        <f t="shared" si="10"/>
        <v>1.0444743935309919E-2</v>
      </c>
      <c r="O106" s="29">
        <f t="shared" si="11"/>
        <v>9.1098128527578037E-3</v>
      </c>
      <c r="P106" s="30">
        <f t="shared" si="12"/>
        <v>4.7927150730888712E-3</v>
      </c>
      <c r="Z106" s="3"/>
      <c r="AA106" s="3"/>
      <c r="AB106" s="3"/>
      <c r="AC106" s="3"/>
      <c r="AD106" s="3"/>
      <c r="AE106" s="7"/>
    </row>
    <row r="107" spans="2:31" x14ac:dyDescent="0.15">
      <c r="B107" s="16">
        <v>40564</v>
      </c>
      <c r="C107" s="23">
        <v>13076</v>
      </c>
      <c r="D107" s="23">
        <v>10264</v>
      </c>
      <c r="E107" s="23">
        <v>13772</v>
      </c>
      <c r="F107" s="23">
        <v>14962</v>
      </c>
      <c r="G107" s="23">
        <v>10215</v>
      </c>
      <c r="H107" s="24">
        <v>16721</v>
      </c>
      <c r="I107" s="2">
        <f t="shared" si="13"/>
        <v>103</v>
      </c>
      <c r="J107" s="16">
        <v>40564</v>
      </c>
      <c r="K107" s="29">
        <f t="shared" si="7"/>
        <v>-2.1477213200628564E-2</v>
      </c>
      <c r="L107" s="29">
        <f t="shared" si="8"/>
        <v>2.9236916479868924E-4</v>
      </c>
      <c r="M107" s="29">
        <f t="shared" si="9"/>
        <v>-3.3882848123465426E-2</v>
      </c>
      <c r="N107" s="29">
        <f t="shared" si="10"/>
        <v>-2.2007335778593262E-3</v>
      </c>
      <c r="O107" s="29">
        <f t="shared" si="11"/>
        <v>2.3550191345305116E-3</v>
      </c>
      <c r="P107" s="30">
        <f t="shared" si="12"/>
        <v>-3.040782256141239E-3</v>
      </c>
      <c r="Z107" s="3"/>
      <c r="AA107" s="3"/>
      <c r="AB107" s="3"/>
      <c r="AC107" s="3"/>
      <c r="AD107" s="3"/>
      <c r="AE107" s="7"/>
    </row>
    <row r="108" spans="2:31" x14ac:dyDescent="0.15">
      <c r="B108" s="16">
        <v>40571</v>
      </c>
      <c r="C108" s="23">
        <v>13185</v>
      </c>
      <c r="D108" s="23">
        <v>10267</v>
      </c>
      <c r="E108" s="23">
        <v>13887</v>
      </c>
      <c r="F108" s="23">
        <v>15207</v>
      </c>
      <c r="G108" s="23">
        <v>10274</v>
      </c>
      <c r="H108" s="24">
        <v>17130</v>
      </c>
      <c r="I108" s="2">
        <f t="shared" si="13"/>
        <v>104</v>
      </c>
      <c r="J108" s="16">
        <v>40571</v>
      </c>
      <c r="K108" s="29">
        <f t="shared" si="7"/>
        <v>8.335882532884753E-3</v>
      </c>
      <c r="L108" s="29">
        <f t="shared" si="8"/>
        <v>2.9228371005451947E-4</v>
      </c>
      <c r="M108" s="29">
        <f t="shared" si="9"/>
        <v>8.3502759221609768E-3</v>
      </c>
      <c r="N108" s="29">
        <f t="shared" si="10"/>
        <v>1.6374816201042641E-2</v>
      </c>
      <c r="O108" s="29">
        <f t="shared" si="11"/>
        <v>5.775819872736232E-3</v>
      </c>
      <c r="P108" s="30">
        <f t="shared" si="12"/>
        <v>2.4460259553854335E-2</v>
      </c>
      <c r="Z108" s="3"/>
      <c r="AA108" s="3"/>
      <c r="AB108" s="3"/>
      <c r="AC108" s="3"/>
      <c r="AD108" s="3"/>
      <c r="AE108" s="7"/>
    </row>
    <row r="109" spans="2:31" x14ac:dyDescent="0.15">
      <c r="B109" s="16">
        <v>40578</v>
      </c>
      <c r="C109" s="23">
        <v>13411</v>
      </c>
      <c r="D109" s="23">
        <v>10230</v>
      </c>
      <c r="E109" s="23">
        <v>13826</v>
      </c>
      <c r="F109" s="23">
        <v>15108</v>
      </c>
      <c r="G109" s="23">
        <v>10104</v>
      </c>
      <c r="H109" s="24">
        <v>17023</v>
      </c>
      <c r="I109" s="2">
        <f t="shared" si="13"/>
        <v>105</v>
      </c>
      <c r="J109" s="16">
        <v>40578</v>
      </c>
      <c r="K109" s="29">
        <f t="shared" si="7"/>
        <v>1.7140690178232942E-2</v>
      </c>
      <c r="L109" s="29">
        <f t="shared" si="8"/>
        <v>-3.6037790980811835E-3</v>
      </c>
      <c r="M109" s="29">
        <f t="shared" si="9"/>
        <v>-4.3925973932454898E-3</v>
      </c>
      <c r="N109" s="29">
        <f t="shared" si="10"/>
        <v>-6.5101597948313827E-3</v>
      </c>
      <c r="O109" s="29">
        <f t="shared" si="11"/>
        <v>-1.6546622542339851E-2</v>
      </c>
      <c r="P109" s="30">
        <f t="shared" si="12"/>
        <v>-6.2463514302393275E-3</v>
      </c>
      <c r="Z109" s="3"/>
      <c r="AA109" s="3"/>
      <c r="AB109" s="3"/>
      <c r="AC109" s="3"/>
      <c r="AD109" s="3"/>
      <c r="AE109" s="7"/>
    </row>
    <row r="110" spans="2:31" x14ac:dyDescent="0.15">
      <c r="B110" s="16">
        <v>40585</v>
      </c>
      <c r="C110" s="23">
        <v>13494</v>
      </c>
      <c r="D110" s="23">
        <v>10213</v>
      </c>
      <c r="E110" s="23">
        <v>13639</v>
      </c>
      <c r="F110" s="23">
        <v>15406</v>
      </c>
      <c r="G110" s="23">
        <v>10178</v>
      </c>
      <c r="H110" s="24">
        <v>17287</v>
      </c>
      <c r="I110" s="2">
        <f t="shared" si="13"/>
        <v>106</v>
      </c>
      <c r="J110" s="16">
        <v>40585</v>
      </c>
      <c r="K110" s="29">
        <f t="shared" si="7"/>
        <v>6.1889493699203157E-3</v>
      </c>
      <c r="L110" s="29">
        <f t="shared" si="8"/>
        <v>-1.6617790811339628E-3</v>
      </c>
      <c r="M110" s="29">
        <f t="shared" si="9"/>
        <v>-1.3525242297121376E-2</v>
      </c>
      <c r="N110" s="29">
        <f t="shared" si="10"/>
        <v>1.9724649192480737E-2</v>
      </c>
      <c r="O110" s="29">
        <f t="shared" si="11"/>
        <v>7.3238321456847721E-3</v>
      </c>
      <c r="P110" s="30">
        <f t="shared" si="12"/>
        <v>1.5508429771485588E-2</v>
      </c>
      <c r="Z110" s="3"/>
      <c r="AA110" s="3"/>
      <c r="AB110" s="3"/>
      <c r="AC110" s="3"/>
      <c r="AD110" s="3"/>
      <c r="AE110" s="7"/>
    </row>
    <row r="111" spans="2:31" x14ac:dyDescent="0.15">
      <c r="B111" s="16">
        <v>40592</v>
      </c>
      <c r="C111" s="23">
        <v>13791</v>
      </c>
      <c r="D111" s="23">
        <v>10212</v>
      </c>
      <c r="E111" s="23">
        <v>13781</v>
      </c>
      <c r="F111" s="23">
        <v>15777</v>
      </c>
      <c r="G111" s="23">
        <v>10299</v>
      </c>
      <c r="H111" s="24">
        <v>17653</v>
      </c>
      <c r="I111" s="2">
        <f t="shared" si="13"/>
        <v>107</v>
      </c>
      <c r="J111" s="16">
        <v>40592</v>
      </c>
      <c r="K111" s="29">
        <f t="shared" si="7"/>
        <v>2.2009782125389066E-2</v>
      </c>
      <c r="L111" s="29">
        <f t="shared" si="8"/>
        <v>-9.7914422794498357E-5</v>
      </c>
      <c r="M111" s="29">
        <f t="shared" si="9"/>
        <v>1.0411320478040942E-2</v>
      </c>
      <c r="N111" s="29">
        <f t="shared" si="10"/>
        <v>2.4081526677917742E-2</v>
      </c>
      <c r="O111" s="29">
        <f t="shared" si="11"/>
        <v>1.1888386716447208E-2</v>
      </c>
      <c r="P111" s="30">
        <f t="shared" si="12"/>
        <v>2.1171978943715031E-2</v>
      </c>
      <c r="Z111" s="3"/>
      <c r="AA111" s="3"/>
      <c r="AB111" s="3"/>
      <c r="AC111" s="3"/>
      <c r="AD111" s="3"/>
      <c r="AE111" s="7"/>
    </row>
    <row r="112" spans="2:31" x14ac:dyDescent="0.15">
      <c r="B112" s="16">
        <v>40599</v>
      </c>
      <c r="C112" s="23">
        <v>13389</v>
      </c>
      <c r="D112" s="23">
        <v>10248</v>
      </c>
      <c r="E112" s="23">
        <v>13833</v>
      </c>
      <c r="F112" s="23">
        <v>15141</v>
      </c>
      <c r="G112" s="23">
        <v>10230</v>
      </c>
      <c r="H112" s="24">
        <v>17046</v>
      </c>
      <c r="I112" s="2">
        <f t="shared" si="13"/>
        <v>108</v>
      </c>
      <c r="J112" s="16">
        <v>40599</v>
      </c>
      <c r="K112" s="29">
        <f t="shared" si="7"/>
        <v>-2.914944529040675E-2</v>
      </c>
      <c r="L112" s="29">
        <f t="shared" si="8"/>
        <v>3.5252643948295859E-3</v>
      </c>
      <c r="M112" s="29">
        <f t="shared" si="9"/>
        <v>3.7733110804731851E-3</v>
      </c>
      <c r="N112" s="29">
        <f t="shared" si="10"/>
        <v>-4.0311846358623282E-2</v>
      </c>
      <c r="O112" s="29">
        <f t="shared" si="11"/>
        <v>-6.6996795805418508E-3</v>
      </c>
      <c r="P112" s="30">
        <f t="shared" si="12"/>
        <v>-3.4385090352914482E-2</v>
      </c>
      <c r="Z112" s="3"/>
      <c r="AA112" s="3"/>
      <c r="AB112" s="3"/>
      <c r="AC112" s="3"/>
      <c r="AD112" s="3"/>
      <c r="AE112" s="7"/>
    </row>
    <row r="113" spans="2:31" x14ac:dyDescent="0.15">
      <c r="B113" s="16">
        <v>40606</v>
      </c>
      <c r="C113" s="23">
        <v>13603</v>
      </c>
      <c r="D113" s="23">
        <v>10229</v>
      </c>
      <c r="E113" s="23">
        <v>13905</v>
      </c>
      <c r="F113" s="23">
        <v>15522</v>
      </c>
      <c r="G113" s="23">
        <v>10284</v>
      </c>
      <c r="H113" s="24">
        <v>17464</v>
      </c>
      <c r="I113" s="2">
        <f t="shared" si="13"/>
        <v>109</v>
      </c>
      <c r="J113" s="16">
        <v>40606</v>
      </c>
      <c r="K113" s="29">
        <f t="shared" si="7"/>
        <v>1.5983269848383053E-2</v>
      </c>
      <c r="L113" s="29">
        <f t="shared" si="8"/>
        <v>-1.8540202966432773E-3</v>
      </c>
      <c r="M113" s="29">
        <f t="shared" si="9"/>
        <v>5.2049446974626878E-3</v>
      </c>
      <c r="N113" s="29">
        <f t="shared" si="10"/>
        <v>2.5163463443629963E-2</v>
      </c>
      <c r="O113" s="29">
        <f t="shared" si="11"/>
        <v>5.278592375366653E-3</v>
      </c>
      <c r="P113" s="30">
        <f t="shared" si="12"/>
        <v>2.452188196644367E-2</v>
      </c>
      <c r="Z113" s="3"/>
      <c r="AA113" s="3"/>
      <c r="AB113" s="3"/>
      <c r="AC113" s="3"/>
      <c r="AD113" s="3"/>
      <c r="AE113" s="7"/>
    </row>
    <row r="114" spans="2:31" x14ac:dyDescent="0.15">
      <c r="B114" s="16">
        <v>40613</v>
      </c>
      <c r="C114" s="23">
        <v>13039</v>
      </c>
      <c r="D114" s="23">
        <v>10250</v>
      </c>
      <c r="E114" s="23">
        <v>13555</v>
      </c>
      <c r="F114" s="23">
        <v>15192</v>
      </c>
      <c r="G114" s="23">
        <v>10338</v>
      </c>
      <c r="H114" s="24">
        <v>17287</v>
      </c>
      <c r="I114" s="2">
        <f t="shared" si="13"/>
        <v>110</v>
      </c>
      <c r="J114" s="16">
        <v>40613</v>
      </c>
      <c r="K114" s="29">
        <f t="shared" si="7"/>
        <v>-4.1461442328898035E-2</v>
      </c>
      <c r="L114" s="29">
        <f t="shared" si="8"/>
        <v>2.0529866067064972E-3</v>
      </c>
      <c r="M114" s="29">
        <f t="shared" si="9"/>
        <v>-2.5170801869831005E-2</v>
      </c>
      <c r="N114" s="29">
        <f t="shared" si="10"/>
        <v>-2.126014688828759E-2</v>
      </c>
      <c r="O114" s="29">
        <f t="shared" si="11"/>
        <v>5.2508751458575365E-3</v>
      </c>
      <c r="P114" s="30">
        <f t="shared" si="12"/>
        <v>-1.0135135135135087E-2</v>
      </c>
      <c r="Z114" s="3"/>
      <c r="AA114" s="3"/>
      <c r="AB114" s="3"/>
      <c r="AC114" s="3"/>
      <c r="AD114" s="3"/>
      <c r="AE114" s="7"/>
    </row>
    <row r="115" spans="2:31" x14ac:dyDescent="0.15">
      <c r="B115" s="16">
        <v>40620</v>
      </c>
      <c r="C115" s="23">
        <v>11709</v>
      </c>
      <c r="D115" s="23">
        <v>10253</v>
      </c>
      <c r="E115" s="23">
        <v>12968</v>
      </c>
      <c r="F115" s="23">
        <v>14600</v>
      </c>
      <c r="G115" s="23">
        <v>10289</v>
      </c>
      <c r="H115" s="24">
        <v>16606</v>
      </c>
      <c r="I115" s="2">
        <f t="shared" si="13"/>
        <v>111</v>
      </c>
      <c r="J115" s="16">
        <v>40620</v>
      </c>
      <c r="K115" s="29">
        <f t="shared" si="7"/>
        <v>-0.10200168724595449</v>
      </c>
      <c r="L115" s="29">
        <f t="shared" si="8"/>
        <v>2.9268292682926855E-4</v>
      </c>
      <c r="M115" s="29">
        <f t="shared" si="9"/>
        <v>-4.3305053485798606E-2</v>
      </c>
      <c r="N115" s="29">
        <f t="shared" si="10"/>
        <v>-3.8967877830437092E-2</v>
      </c>
      <c r="O115" s="29">
        <f t="shared" si="11"/>
        <v>-4.7397949313213728E-3</v>
      </c>
      <c r="P115" s="30">
        <f t="shared" si="12"/>
        <v>-3.9393764100190909E-2</v>
      </c>
      <c r="Z115" s="3"/>
      <c r="AA115" s="3"/>
      <c r="AB115" s="3"/>
      <c r="AC115" s="3"/>
      <c r="AD115" s="3"/>
      <c r="AE115" s="7"/>
    </row>
    <row r="116" spans="2:31" x14ac:dyDescent="0.15">
      <c r="B116" s="16">
        <v>40627</v>
      </c>
      <c r="C116" s="23">
        <v>12125</v>
      </c>
      <c r="D116" s="23">
        <v>10261</v>
      </c>
      <c r="E116" s="23">
        <v>13196</v>
      </c>
      <c r="F116" s="23">
        <v>15054</v>
      </c>
      <c r="G116" s="23">
        <v>10257</v>
      </c>
      <c r="H116" s="24">
        <v>16932</v>
      </c>
      <c r="I116" s="2">
        <f t="shared" si="13"/>
        <v>112</v>
      </c>
      <c r="J116" s="16">
        <v>40627</v>
      </c>
      <c r="K116" s="29">
        <f t="shared" si="7"/>
        <v>3.5528226150824072E-2</v>
      </c>
      <c r="L116" s="29">
        <f t="shared" si="8"/>
        <v>7.8025943626247596E-4</v>
      </c>
      <c r="M116" s="29">
        <f t="shared" si="9"/>
        <v>1.7581739666872265E-2</v>
      </c>
      <c r="N116" s="29">
        <f t="shared" si="10"/>
        <v>3.1095890410958837E-2</v>
      </c>
      <c r="O116" s="29">
        <f t="shared" si="11"/>
        <v>-3.110117601321849E-3</v>
      </c>
      <c r="P116" s="30">
        <f t="shared" si="12"/>
        <v>1.9631458508972743E-2</v>
      </c>
      <c r="Z116" s="3"/>
      <c r="AA116" s="3"/>
      <c r="AB116" s="3"/>
      <c r="AC116" s="3"/>
      <c r="AD116" s="3"/>
      <c r="AE116" s="7"/>
    </row>
    <row r="117" spans="2:31" x14ac:dyDescent="0.15">
      <c r="B117" s="16">
        <v>40634</v>
      </c>
      <c r="C117" s="23">
        <v>12451</v>
      </c>
      <c r="D117" s="23">
        <v>10231</v>
      </c>
      <c r="E117" s="23">
        <v>13431</v>
      </c>
      <c r="F117" s="23">
        <v>15684</v>
      </c>
      <c r="G117" s="23">
        <v>10520</v>
      </c>
      <c r="H117" s="24">
        <v>17811</v>
      </c>
      <c r="I117" s="2">
        <f t="shared" si="13"/>
        <v>113</v>
      </c>
      <c r="J117" s="16">
        <v>40634</v>
      </c>
      <c r="K117" s="29">
        <f t="shared" si="7"/>
        <v>2.6886597938144297E-2</v>
      </c>
      <c r="L117" s="29">
        <f t="shared" si="8"/>
        <v>-2.9236916479875585E-3</v>
      </c>
      <c r="M117" s="29">
        <f t="shared" si="9"/>
        <v>1.7808426795998811E-2</v>
      </c>
      <c r="N117" s="29">
        <f t="shared" si="10"/>
        <v>4.184934236747706E-2</v>
      </c>
      <c r="O117" s="29">
        <f t="shared" si="11"/>
        <v>2.564102564102555E-2</v>
      </c>
      <c r="P117" s="30">
        <f t="shared" si="12"/>
        <v>5.191353649893693E-2</v>
      </c>
      <c r="Z117" s="3"/>
      <c r="AA117" s="3"/>
      <c r="AB117" s="3"/>
      <c r="AC117" s="3"/>
      <c r="AD117" s="3"/>
      <c r="AE117" s="7"/>
    </row>
    <row r="118" spans="2:31" x14ac:dyDescent="0.15">
      <c r="B118" s="16">
        <v>40641</v>
      </c>
      <c r="C118" s="23">
        <v>12528</v>
      </c>
      <c r="D118" s="23">
        <v>10194</v>
      </c>
      <c r="E118" s="23">
        <v>13208</v>
      </c>
      <c r="F118" s="23">
        <v>16246</v>
      </c>
      <c r="G118" s="23">
        <v>10788</v>
      </c>
      <c r="H118" s="24">
        <v>18089</v>
      </c>
      <c r="I118" s="2">
        <f t="shared" si="13"/>
        <v>114</v>
      </c>
      <c r="J118" s="16">
        <v>40641</v>
      </c>
      <c r="K118" s="29">
        <f t="shared" si="7"/>
        <v>6.184242229539727E-3</v>
      </c>
      <c r="L118" s="29">
        <f t="shared" si="8"/>
        <v>-3.6164597791027431E-3</v>
      </c>
      <c r="M118" s="29">
        <f t="shared" si="9"/>
        <v>-1.6603380239743837E-2</v>
      </c>
      <c r="N118" s="29">
        <f t="shared" si="10"/>
        <v>3.5832695740882325E-2</v>
      </c>
      <c r="O118" s="29">
        <f t="shared" si="11"/>
        <v>2.5475285171102646E-2</v>
      </c>
      <c r="P118" s="30">
        <f t="shared" si="12"/>
        <v>1.5608331929706454E-2</v>
      </c>
      <c r="Z118" s="3"/>
      <c r="AA118" s="3"/>
      <c r="AB118" s="3"/>
      <c r="AC118" s="3"/>
      <c r="AD118" s="3"/>
      <c r="AE118" s="7"/>
    </row>
    <row r="119" spans="2:31" x14ac:dyDescent="0.15">
      <c r="B119" s="16">
        <v>40648</v>
      </c>
      <c r="C119" s="23">
        <v>12293</v>
      </c>
      <c r="D119" s="23">
        <v>10215</v>
      </c>
      <c r="E119" s="23">
        <v>13218</v>
      </c>
      <c r="F119" s="23">
        <v>15816</v>
      </c>
      <c r="G119" s="23">
        <v>10696</v>
      </c>
      <c r="H119" s="24">
        <v>17867</v>
      </c>
      <c r="I119" s="2">
        <f t="shared" si="13"/>
        <v>115</v>
      </c>
      <c r="J119" s="16">
        <v>40648</v>
      </c>
      <c r="K119" s="29">
        <f t="shared" si="7"/>
        <v>-1.8757982120051087E-2</v>
      </c>
      <c r="L119" s="29">
        <f t="shared" si="8"/>
        <v>2.0600353148911843E-3</v>
      </c>
      <c r="M119" s="29">
        <f t="shared" si="9"/>
        <v>7.5711689884916389E-4</v>
      </c>
      <c r="N119" s="29">
        <f t="shared" si="10"/>
        <v>-2.6468053674750691E-2</v>
      </c>
      <c r="O119" s="29">
        <f t="shared" si="11"/>
        <v>-8.5279940674823917E-3</v>
      </c>
      <c r="P119" s="30">
        <f t="shared" si="12"/>
        <v>-1.227265188788762E-2</v>
      </c>
      <c r="Z119" s="3"/>
      <c r="AA119" s="3"/>
      <c r="AB119" s="3"/>
      <c r="AC119" s="3"/>
      <c r="AD119" s="3"/>
      <c r="AE119" s="7"/>
    </row>
    <row r="120" spans="2:31" x14ac:dyDescent="0.15">
      <c r="B120" s="16">
        <v>40655</v>
      </c>
      <c r="C120" s="23">
        <v>12413</v>
      </c>
      <c r="D120" s="23">
        <v>10263</v>
      </c>
      <c r="E120" s="23">
        <v>13377</v>
      </c>
      <c r="F120" s="23">
        <v>15736</v>
      </c>
      <c r="G120" s="23">
        <v>10521</v>
      </c>
      <c r="H120" s="24">
        <v>17968</v>
      </c>
      <c r="I120" s="2">
        <f t="shared" si="13"/>
        <v>116</v>
      </c>
      <c r="J120" s="16">
        <v>40655</v>
      </c>
      <c r="K120" s="29">
        <f t="shared" si="7"/>
        <v>9.761652973236723E-3</v>
      </c>
      <c r="L120" s="29">
        <f t="shared" si="8"/>
        <v>4.6989720998531492E-3</v>
      </c>
      <c r="M120" s="29">
        <f t="shared" si="9"/>
        <v>1.2029051293690474E-2</v>
      </c>
      <c r="N120" s="29">
        <f t="shared" si="10"/>
        <v>-5.0581689428427223E-3</v>
      </c>
      <c r="O120" s="29">
        <f t="shared" si="11"/>
        <v>-1.63612565445026E-2</v>
      </c>
      <c r="P120" s="30">
        <f t="shared" si="12"/>
        <v>5.6528796104551304E-3</v>
      </c>
      <c r="Z120" s="3"/>
      <c r="AA120" s="3"/>
      <c r="AB120" s="3"/>
      <c r="AC120" s="3"/>
      <c r="AD120" s="3"/>
      <c r="AE120" s="7"/>
    </row>
    <row r="121" spans="2:31" x14ac:dyDescent="0.15">
      <c r="B121" s="16">
        <v>40662</v>
      </c>
      <c r="C121" s="23">
        <v>12631</v>
      </c>
      <c r="D121" s="23">
        <v>10271</v>
      </c>
      <c r="E121" s="23">
        <v>13556</v>
      </c>
      <c r="F121" s="23">
        <v>16047</v>
      </c>
      <c r="G121" s="23">
        <v>10676</v>
      </c>
      <c r="H121" s="24">
        <v>18398</v>
      </c>
      <c r="I121" s="2">
        <f t="shared" si="13"/>
        <v>117</v>
      </c>
      <c r="J121" s="16">
        <v>40662</v>
      </c>
      <c r="K121" s="29">
        <f t="shared" si="7"/>
        <v>1.7562233142673023E-2</v>
      </c>
      <c r="L121" s="29">
        <f t="shared" si="8"/>
        <v>7.7949917178221639E-4</v>
      </c>
      <c r="M121" s="29">
        <f t="shared" si="9"/>
        <v>1.3381176646482862E-2</v>
      </c>
      <c r="N121" s="29">
        <f t="shared" si="10"/>
        <v>1.9763599389933884E-2</v>
      </c>
      <c r="O121" s="29">
        <f t="shared" si="11"/>
        <v>1.4732439882140458E-2</v>
      </c>
      <c r="P121" s="30">
        <f t="shared" si="12"/>
        <v>2.393143365983974E-2</v>
      </c>
      <c r="Z121" s="3"/>
      <c r="AA121" s="3"/>
      <c r="AB121" s="3"/>
      <c r="AC121" s="3"/>
      <c r="AD121" s="3"/>
      <c r="AE121" s="7"/>
    </row>
    <row r="122" spans="2:31" x14ac:dyDescent="0.15">
      <c r="B122" s="16">
        <v>40669</v>
      </c>
      <c r="C122" s="23">
        <v>12635</v>
      </c>
      <c r="D122" s="23">
        <v>10309</v>
      </c>
      <c r="E122" s="23">
        <v>13637</v>
      </c>
      <c r="F122" s="23">
        <v>15355</v>
      </c>
      <c r="G122" s="23">
        <v>10416</v>
      </c>
      <c r="H122" s="24">
        <v>17823</v>
      </c>
      <c r="I122" s="2">
        <f t="shared" si="13"/>
        <v>118</v>
      </c>
      <c r="J122" s="16">
        <v>40669</v>
      </c>
      <c r="K122" s="29">
        <f t="shared" si="7"/>
        <v>3.1668118122074596E-4</v>
      </c>
      <c r="L122" s="29">
        <f t="shared" si="8"/>
        <v>3.6997371239411159E-3</v>
      </c>
      <c r="M122" s="29">
        <f t="shared" si="9"/>
        <v>5.9752139274122928E-3</v>
      </c>
      <c r="N122" s="29">
        <f t="shared" si="10"/>
        <v>-4.3123325232130583E-2</v>
      </c>
      <c r="O122" s="29">
        <f t="shared" si="11"/>
        <v>-2.435369052079428E-2</v>
      </c>
      <c r="P122" s="30">
        <f t="shared" si="12"/>
        <v>-3.1253397108381376E-2</v>
      </c>
      <c r="Z122" s="3"/>
      <c r="AA122" s="3"/>
      <c r="AB122" s="3"/>
      <c r="AC122" s="3"/>
      <c r="AD122" s="3"/>
      <c r="AE122" s="7"/>
    </row>
    <row r="123" spans="2:31" x14ac:dyDescent="0.15">
      <c r="B123" s="16">
        <v>40676</v>
      </c>
      <c r="C123" s="23">
        <v>12372</v>
      </c>
      <c r="D123" s="23">
        <v>10331</v>
      </c>
      <c r="E123" s="23">
        <v>13323</v>
      </c>
      <c r="F123" s="23">
        <v>15505</v>
      </c>
      <c r="G123" s="23">
        <v>10404</v>
      </c>
      <c r="H123" s="24">
        <v>17929</v>
      </c>
      <c r="I123" s="2">
        <f t="shared" si="13"/>
        <v>119</v>
      </c>
      <c r="J123" s="16">
        <v>40676</v>
      </c>
      <c r="K123" s="29">
        <f t="shared" si="7"/>
        <v>-2.0815195884447912E-2</v>
      </c>
      <c r="L123" s="29">
        <f t="shared" si="8"/>
        <v>2.1340576195556515E-3</v>
      </c>
      <c r="M123" s="29">
        <f t="shared" si="9"/>
        <v>-2.3025592139033546E-2</v>
      </c>
      <c r="N123" s="29">
        <f t="shared" si="10"/>
        <v>9.7688049495279206E-3</v>
      </c>
      <c r="O123" s="29">
        <f t="shared" si="11"/>
        <v>-1.1520737327188613E-3</v>
      </c>
      <c r="P123" s="30">
        <f t="shared" si="12"/>
        <v>5.9473713740672007E-3</v>
      </c>
      <c r="Z123" s="3"/>
      <c r="AA123" s="3"/>
      <c r="AB123" s="3"/>
      <c r="AC123" s="3"/>
      <c r="AD123" s="3"/>
      <c r="AE123" s="7"/>
    </row>
    <row r="124" spans="2:31" x14ac:dyDescent="0.15">
      <c r="B124" s="16">
        <v>40683</v>
      </c>
      <c r="C124" s="23">
        <v>12314</v>
      </c>
      <c r="D124" s="23">
        <v>10314</v>
      </c>
      <c r="E124" s="23">
        <v>13378</v>
      </c>
      <c r="F124" s="23">
        <v>15652</v>
      </c>
      <c r="G124" s="23">
        <v>10525</v>
      </c>
      <c r="H124" s="24">
        <v>18216</v>
      </c>
      <c r="I124" s="2">
        <f t="shared" si="13"/>
        <v>120</v>
      </c>
      <c r="J124" s="16">
        <v>40683</v>
      </c>
      <c r="K124" s="29">
        <f t="shared" si="7"/>
        <v>-4.688005172971188E-3</v>
      </c>
      <c r="L124" s="29">
        <f t="shared" si="8"/>
        <v>-1.6455328622592136E-3</v>
      </c>
      <c r="M124" s="29">
        <f t="shared" si="9"/>
        <v>4.1281993544997064E-3</v>
      </c>
      <c r="N124" s="29">
        <f t="shared" si="10"/>
        <v>9.4808126410834692E-3</v>
      </c>
      <c r="O124" s="29">
        <f t="shared" si="11"/>
        <v>1.1630142252979647E-2</v>
      </c>
      <c r="P124" s="30">
        <f t="shared" si="12"/>
        <v>1.6007585476044417E-2</v>
      </c>
      <c r="Z124" s="3"/>
      <c r="AA124" s="3"/>
      <c r="AB124" s="3"/>
      <c r="AC124" s="3"/>
      <c r="AD124" s="3"/>
      <c r="AE124" s="7"/>
    </row>
    <row r="125" spans="2:31" x14ac:dyDescent="0.15">
      <c r="B125" s="16">
        <v>40690</v>
      </c>
      <c r="C125" s="23">
        <v>12204</v>
      </c>
      <c r="D125" s="23">
        <v>10326</v>
      </c>
      <c r="E125" s="23">
        <v>13407</v>
      </c>
      <c r="F125" s="23">
        <v>15322</v>
      </c>
      <c r="G125" s="23">
        <v>10468</v>
      </c>
      <c r="H125" s="24">
        <v>18053</v>
      </c>
      <c r="I125" s="2">
        <f t="shared" si="13"/>
        <v>121</v>
      </c>
      <c r="J125" s="16">
        <v>40690</v>
      </c>
      <c r="K125" s="29">
        <f t="shared" si="7"/>
        <v>-8.9329218775378028E-3</v>
      </c>
      <c r="L125" s="29">
        <f t="shared" si="8"/>
        <v>1.1634671320535084E-3</v>
      </c>
      <c r="M125" s="29">
        <f t="shared" si="9"/>
        <v>2.1677380774405286E-3</v>
      </c>
      <c r="N125" s="29">
        <f t="shared" si="10"/>
        <v>-2.1083567595195474E-2</v>
      </c>
      <c r="O125" s="29">
        <f t="shared" si="11"/>
        <v>-5.415676959619975E-3</v>
      </c>
      <c r="P125" s="30">
        <f t="shared" si="12"/>
        <v>-8.9481774264382752E-3</v>
      </c>
      <c r="Z125" s="3"/>
      <c r="AA125" s="3"/>
      <c r="AB125" s="3"/>
      <c r="AC125" s="3"/>
      <c r="AD125" s="3"/>
      <c r="AE125" s="7"/>
    </row>
    <row r="126" spans="2:31" x14ac:dyDescent="0.15">
      <c r="B126" s="16">
        <v>40697</v>
      </c>
      <c r="C126" s="23">
        <v>12166</v>
      </c>
      <c r="D126" s="23">
        <v>10326</v>
      </c>
      <c r="E126" s="23">
        <v>13401</v>
      </c>
      <c r="F126" s="23">
        <v>15240</v>
      </c>
      <c r="G126" s="23">
        <v>10569</v>
      </c>
      <c r="H126" s="24">
        <v>17907</v>
      </c>
      <c r="I126" s="2">
        <f t="shared" si="13"/>
        <v>122</v>
      </c>
      <c r="J126" s="16">
        <v>40697</v>
      </c>
      <c r="K126" s="29">
        <f t="shared" si="7"/>
        <v>-3.1137332022287412E-3</v>
      </c>
      <c r="L126" s="29">
        <f t="shared" si="8"/>
        <v>0</v>
      </c>
      <c r="M126" s="29">
        <f t="shared" si="9"/>
        <v>-4.4752741105391625E-4</v>
      </c>
      <c r="N126" s="29">
        <f t="shared" si="10"/>
        <v>-5.3517817517295674E-3</v>
      </c>
      <c r="O126" s="29">
        <f t="shared" si="11"/>
        <v>9.648452426442411E-3</v>
      </c>
      <c r="P126" s="30">
        <f t="shared" si="12"/>
        <v>-8.0872985099429417E-3</v>
      </c>
      <c r="Z126" s="3"/>
      <c r="AA126" s="3"/>
      <c r="AB126" s="3"/>
      <c r="AC126" s="3"/>
      <c r="AD126" s="3"/>
      <c r="AE126" s="7"/>
    </row>
    <row r="127" spans="2:31" x14ac:dyDescent="0.15">
      <c r="B127" s="16">
        <v>40704</v>
      </c>
      <c r="C127" s="23">
        <v>12186</v>
      </c>
      <c r="D127" s="23">
        <v>10314</v>
      </c>
      <c r="E127" s="23">
        <v>13069</v>
      </c>
      <c r="F127" s="23">
        <v>14925</v>
      </c>
      <c r="G127" s="23">
        <v>10503</v>
      </c>
      <c r="H127" s="24">
        <v>17619</v>
      </c>
      <c r="I127" s="2">
        <f t="shared" si="13"/>
        <v>123</v>
      </c>
      <c r="J127" s="16">
        <v>40704</v>
      </c>
      <c r="K127" s="29">
        <f t="shared" si="7"/>
        <v>1.6439256945586234E-3</v>
      </c>
      <c r="L127" s="29">
        <f t="shared" si="8"/>
        <v>-1.1621150493899002E-3</v>
      </c>
      <c r="M127" s="29">
        <f t="shared" si="9"/>
        <v>-2.4774270576822577E-2</v>
      </c>
      <c r="N127" s="29">
        <f t="shared" si="10"/>
        <v>-2.066929133858264E-2</v>
      </c>
      <c r="O127" s="29">
        <f t="shared" si="11"/>
        <v>-6.2446778313937079E-3</v>
      </c>
      <c r="P127" s="30">
        <f t="shared" si="12"/>
        <v>-1.6083095995979235E-2</v>
      </c>
      <c r="Z127" s="3"/>
      <c r="AA127" s="3"/>
      <c r="AB127" s="3"/>
      <c r="AC127" s="3"/>
      <c r="AD127" s="3"/>
      <c r="AE127" s="7"/>
    </row>
    <row r="128" spans="2:31" x14ac:dyDescent="0.15">
      <c r="B128" s="16">
        <v>40711</v>
      </c>
      <c r="C128" s="23">
        <v>11974</v>
      </c>
      <c r="D128" s="23">
        <v>10322</v>
      </c>
      <c r="E128" s="23">
        <v>12973</v>
      </c>
      <c r="F128" s="23">
        <v>14586</v>
      </c>
      <c r="G128" s="23">
        <v>10439</v>
      </c>
      <c r="H128" s="24">
        <v>17451</v>
      </c>
      <c r="I128" s="2">
        <f t="shared" si="13"/>
        <v>124</v>
      </c>
      <c r="J128" s="16">
        <v>40711</v>
      </c>
      <c r="K128" s="29">
        <f t="shared" si="7"/>
        <v>-1.7397012965698289E-2</v>
      </c>
      <c r="L128" s="29">
        <f t="shared" si="8"/>
        <v>7.756447547022649E-4</v>
      </c>
      <c r="M128" s="29">
        <f t="shared" si="9"/>
        <v>-7.3456270563929671E-3</v>
      </c>
      <c r="N128" s="29">
        <f t="shared" si="10"/>
        <v>-2.2713567839195981E-2</v>
      </c>
      <c r="O128" s="29">
        <f t="shared" si="11"/>
        <v>-6.0934970960677681E-3</v>
      </c>
      <c r="P128" s="30">
        <f t="shared" si="12"/>
        <v>-9.5351609058402786E-3</v>
      </c>
      <c r="Z128" s="3"/>
      <c r="AA128" s="3"/>
      <c r="AB128" s="3"/>
      <c r="AC128" s="3"/>
      <c r="AD128" s="3"/>
      <c r="AE128" s="7"/>
    </row>
    <row r="129" spans="2:31" x14ac:dyDescent="0.15">
      <c r="B129" s="16">
        <v>40718</v>
      </c>
      <c r="C129" s="23">
        <v>12392</v>
      </c>
      <c r="D129" s="23">
        <v>10341</v>
      </c>
      <c r="E129" s="23">
        <v>12946</v>
      </c>
      <c r="F129" s="23">
        <v>14650</v>
      </c>
      <c r="G129" s="23">
        <v>10439</v>
      </c>
      <c r="H129" s="24">
        <v>17424</v>
      </c>
      <c r="I129" s="2">
        <f t="shared" si="13"/>
        <v>125</v>
      </c>
      <c r="J129" s="16">
        <v>40718</v>
      </c>
      <c r="K129" s="29">
        <f t="shared" si="7"/>
        <v>3.4908969433773196E-2</v>
      </c>
      <c r="L129" s="29">
        <f t="shared" si="8"/>
        <v>1.8407285409804963E-3</v>
      </c>
      <c r="M129" s="29">
        <f t="shared" si="9"/>
        <v>-2.0812456640715293E-3</v>
      </c>
      <c r="N129" s="29">
        <f t="shared" si="10"/>
        <v>4.3877690936513503E-3</v>
      </c>
      <c r="O129" s="29">
        <f t="shared" si="11"/>
        <v>0</v>
      </c>
      <c r="P129" s="30">
        <f t="shared" si="12"/>
        <v>-1.5471892728210479E-3</v>
      </c>
      <c r="Z129" s="3"/>
      <c r="AA129" s="3"/>
      <c r="AB129" s="3"/>
      <c r="AC129" s="3"/>
      <c r="AD129" s="3"/>
      <c r="AE129" s="7"/>
    </row>
    <row r="130" spans="2:31" x14ac:dyDescent="0.15">
      <c r="B130" s="16">
        <v>40725</v>
      </c>
      <c r="C130" s="23">
        <v>12639</v>
      </c>
      <c r="D130" s="23">
        <v>10327</v>
      </c>
      <c r="E130" s="23">
        <v>13130</v>
      </c>
      <c r="F130" s="23">
        <v>15254</v>
      </c>
      <c r="G130" s="23">
        <v>10488</v>
      </c>
      <c r="H130" s="24">
        <v>17920</v>
      </c>
      <c r="I130" s="2">
        <f t="shared" si="13"/>
        <v>126</v>
      </c>
      <c r="J130" s="16">
        <v>40725</v>
      </c>
      <c r="K130" s="29">
        <f t="shared" si="7"/>
        <v>1.9932214331827014E-2</v>
      </c>
      <c r="L130" s="29">
        <f t="shared" si="8"/>
        <v>-1.353834252006525E-3</v>
      </c>
      <c r="M130" s="29">
        <f t="shared" si="9"/>
        <v>1.4212884288583361E-2</v>
      </c>
      <c r="N130" s="29">
        <f t="shared" si="10"/>
        <v>4.1228668941979629E-2</v>
      </c>
      <c r="O130" s="29">
        <f t="shared" si="11"/>
        <v>4.69393620078562E-3</v>
      </c>
      <c r="P130" s="30">
        <f t="shared" si="12"/>
        <v>2.846648301193766E-2</v>
      </c>
      <c r="Z130" s="3"/>
      <c r="AA130" s="3"/>
      <c r="AB130" s="3"/>
      <c r="AC130" s="3"/>
      <c r="AD130" s="3"/>
      <c r="AE130" s="7"/>
    </row>
    <row r="131" spans="2:31" x14ac:dyDescent="0.15">
      <c r="B131" s="16">
        <v>40732</v>
      </c>
      <c r="C131" s="23">
        <v>12989</v>
      </c>
      <c r="D131" s="23">
        <v>10304</v>
      </c>
      <c r="E131" s="23">
        <v>13016</v>
      </c>
      <c r="F131" s="23">
        <v>15590</v>
      </c>
      <c r="G131" s="23">
        <v>10501</v>
      </c>
      <c r="H131" s="24">
        <v>18536</v>
      </c>
      <c r="I131" s="2">
        <f t="shared" si="13"/>
        <v>127</v>
      </c>
      <c r="J131" s="16">
        <v>40732</v>
      </c>
      <c r="K131" s="29">
        <f t="shared" si="7"/>
        <v>2.7692064245589121E-2</v>
      </c>
      <c r="L131" s="29">
        <f t="shared" si="8"/>
        <v>-2.2271714922048602E-3</v>
      </c>
      <c r="M131" s="29">
        <f t="shared" si="9"/>
        <v>-8.682406702208656E-3</v>
      </c>
      <c r="N131" s="29">
        <f t="shared" si="10"/>
        <v>2.2027009309033785E-2</v>
      </c>
      <c r="O131" s="29">
        <f t="shared" si="11"/>
        <v>1.2395118230359436E-3</v>
      </c>
      <c r="P131" s="30">
        <f t="shared" si="12"/>
        <v>3.4375000000000044E-2</v>
      </c>
      <c r="Z131" s="3"/>
      <c r="AA131" s="3"/>
      <c r="AB131" s="3"/>
      <c r="AC131" s="3"/>
      <c r="AD131" s="3"/>
      <c r="AE131" s="7"/>
    </row>
    <row r="132" spans="2:31" x14ac:dyDescent="0.15">
      <c r="B132" s="16">
        <v>40739</v>
      </c>
      <c r="C132" s="23">
        <v>12774</v>
      </c>
      <c r="D132" s="23">
        <v>10355</v>
      </c>
      <c r="E132" s="23">
        <v>12893</v>
      </c>
      <c r="F132" s="23">
        <v>14660</v>
      </c>
      <c r="G132" s="23">
        <v>10204</v>
      </c>
      <c r="H132" s="24">
        <v>17509</v>
      </c>
      <c r="I132" s="2">
        <f t="shared" si="13"/>
        <v>128</v>
      </c>
      <c r="J132" s="16">
        <v>40739</v>
      </c>
      <c r="K132" s="29">
        <f t="shared" si="7"/>
        <v>-1.655246747247674E-2</v>
      </c>
      <c r="L132" s="29">
        <f t="shared" si="8"/>
        <v>4.9495341614906874E-3</v>
      </c>
      <c r="M132" s="29">
        <f t="shared" si="9"/>
        <v>-9.4499078057774799E-3</v>
      </c>
      <c r="N132" s="29">
        <f t="shared" si="10"/>
        <v>-5.9653624118024329E-2</v>
      </c>
      <c r="O132" s="29">
        <f t="shared" si="11"/>
        <v>-2.8283020664698566E-2</v>
      </c>
      <c r="P132" s="30">
        <f t="shared" si="12"/>
        <v>-5.5405697022011258E-2</v>
      </c>
      <c r="Z132" s="3"/>
      <c r="AA132" s="3"/>
      <c r="AB132" s="3"/>
      <c r="AC132" s="3"/>
      <c r="AD132" s="3"/>
      <c r="AE132" s="7"/>
    </row>
    <row r="133" spans="2:31" x14ac:dyDescent="0.15">
      <c r="B133" s="16">
        <v>40746</v>
      </c>
      <c r="C133" s="23">
        <v>12975</v>
      </c>
      <c r="D133" s="23">
        <v>10353</v>
      </c>
      <c r="E133" s="23">
        <v>12841</v>
      </c>
      <c r="F133" s="23">
        <v>14953</v>
      </c>
      <c r="G133" s="23">
        <v>10236</v>
      </c>
      <c r="H133" s="24">
        <v>17874</v>
      </c>
      <c r="I133" s="2">
        <f t="shared" si="13"/>
        <v>129</v>
      </c>
      <c r="J133" s="16">
        <v>40746</v>
      </c>
      <c r="K133" s="29">
        <f t="shared" ref="K133:K196" si="14">C133/C132-1</f>
        <v>1.5735086895255934E-2</v>
      </c>
      <c r="L133" s="29">
        <f t="shared" ref="L133:L196" si="15">D133/D132-1</f>
        <v>-1.9314340898113347E-4</v>
      </c>
      <c r="M133" s="29">
        <f t="shared" ref="M133:M196" si="16">E133/E132-1</f>
        <v>-4.0331963080741939E-3</v>
      </c>
      <c r="N133" s="29">
        <f t="shared" ref="N133:N196" si="17">F133/F132-1</f>
        <v>1.9986357435197721E-2</v>
      </c>
      <c r="O133" s="29">
        <f t="shared" ref="O133:O196" si="18">G133/G132-1</f>
        <v>3.1360250882006557E-3</v>
      </c>
      <c r="P133" s="30">
        <f t="shared" ref="P133:P196" si="19">H133/H132-1</f>
        <v>2.0846421840196472E-2</v>
      </c>
      <c r="Z133" s="3"/>
      <c r="AA133" s="3"/>
      <c r="AB133" s="3"/>
      <c r="AC133" s="3"/>
      <c r="AD133" s="3"/>
      <c r="AE133" s="7"/>
    </row>
    <row r="134" spans="2:31" x14ac:dyDescent="0.15">
      <c r="B134" s="16">
        <v>40753</v>
      </c>
      <c r="C134" s="23">
        <v>12590</v>
      </c>
      <c r="D134" s="23">
        <v>10364</v>
      </c>
      <c r="E134" s="23">
        <v>12751</v>
      </c>
      <c r="F134" s="23">
        <v>14426</v>
      </c>
      <c r="G134" s="23">
        <v>10141</v>
      </c>
      <c r="H134" s="24">
        <v>17329</v>
      </c>
      <c r="I134" s="2">
        <f t="shared" si="13"/>
        <v>130</v>
      </c>
      <c r="J134" s="16">
        <v>40753</v>
      </c>
      <c r="K134" s="29">
        <f t="shared" si="14"/>
        <v>-2.967244701348748E-2</v>
      </c>
      <c r="L134" s="29">
        <f t="shared" si="15"/>
        <v>1.0624939631025399E-3</v>
      </c>
      <c r="M134" s="29">
        <f t="shared" si="16"/>
        <v>-7.0087999376995391E-3</v>
      </c>
      <c r="N134" s="29">
        <f t="shared" si="17"/>
        <v>-3.5243763793218807E-2</v>
      </c>
      <c r="O134" s="29">
        <f t="shared" si="18"/>
        <v>-9.2809691285657969E-3</v>
      </c>
      <c r="P134" s="30">
        <f t="shared" si="19"/>
        <v>-3.04912162918205E-2</v>
      </c>
      <c r="Z134" s="3"/>
      <c r="AA134" s="3"/>
      <c r="AB134" s="3"/>
      <c r="AC134" s="3"/>
      <c r="AD134" s="3"/>
      <c r="AE134" s="7"/>
    </row>
    <row r="135" spans="2:31" x14ac:dyDescent="0.15">
      <c r="B135" s="16">
        <v>40760</v>
      </c>
      <c r="C135" s="23">
        <v>11903</v>
      </c>
      <c r="D135" s="23">
        <v>10409</v>
      </c>
      <c r="E135" s="23">
        <v>12576</v>
      </c>
      <c r="F135" s="23">
        <v>13415</v>
      </c>
      <c r="G135" s="23">
        <v>10335</v>
      </c>
      <c r="H135" s="24">
        <v>16063</v>
      </c>
      <c r="I135" s="2">
        <f t="shared" ref="I135:I198" si="20">I134+1</f>
        <v>131</v>
      </c>
      <c r="J135" s="16">
        <v>40760</v>
      </c>
      <c r="K135" s="29">
        <f t="shared" si="14"/>
        <v>-5.456711675933279E-2</v>
      </c>
      <c r="L135" s="29">
        <f t="shared" si="15"/>
        <v>4.3419529139328006E-3</v>
      </c>
      <c r="M135" s="29">
        <f t="shared" si="16"/>
        <v>-1.3724413771468935E-2</v>
      </c>
      <c r="N135" s="29">
        <f t="shared" si="17"/>
        <v>-7.0081796755857462E-2</v>
      </c>
      <c r="O135" s="29">
        <f t="shared" si="18"/>
        <v>1.9130263287644222E-2</v>
      </c>
      <c r="P135" s="30">
        <f t="shared" si="19"/>
        <v>-7.3056725719891524E-2</v>
      </c>
      <c r="Z135" s="3"/>
      <c r="AA135" s="3"/>
      <c r="AB135" s="3"/>
      <c r="AC135" s="3"/>
      <c r="AD135" s="3"/>
      <c r="AE135" s="7"/>
    </row>
    <row r="136" spans="2:31" x14ac:dyDescent="0.15">
      <c r="B136" s="16">
        <v>40767</v>
      </c>
      <c r="C136" s="23">
        <v>11476</v>
      </c>
      <c r="D136" s="23">
        <v>10373</v>
      </c>
      <c r="E136" s="23">
        <v>12081</v>
      </c>
      <c r="F136" s="23">
        <v>12648</v>
      </c>
      <c r="G136" s="23">
        <v>10229</v>
      </c>
      <c r="H136" s="24">
        <v>15369</v>
      </c>
      <c r="I136" s="2">
        <f t="shared" si="20"/>
        <v>132</v>
      </c>
      <c r="J136" s="16">
        <v>40767</v>
      </c>
      <c r="K136" s="29">
        <f t="shared" si="14"/>
        <v>-3.5873309249768948E-2</v>
      </c>
      <c r="L136" s="29">
        <f t="shared" si="15"/>
        <v>-3.4585454894802137E-3</v>
      </c>
      <c r="M136" s="29">
        <f t="shared" si="16"/>
        <v>-3.9360687022900742E-2</v>
      </c>
      <c r="N136" s="29">
        <f t="shared" si="17"/>
        <v>-5.7174804323518402E-2</v>
      </c>
      <c r="O136" s="29">
        <f t="shared" si="18"/>
        <v>-1.025641025641022E-2</v>
      </c>
      <c r="P136" s="30">
        <f t="shared" si="19"/>
        <v>-4.3204880781921196E-2</v>
      </c>
      <c r="Z136" s="3"/>
      <c r="AA136" s="3"/>
      <c r="AB136" s="3"/>
      <c r="AC136" s="3"/>
      <c r="AD136" s="3"/>
      <c r="AE136" s="7"/>
    </row>
    <row r="137" spans="2:31" x14ac:dyDescent="0.15">
      <c r="B137" s="16">
        <v>40774</v>
      </c>
      <c r="C137" s="23">
        <v>11161</v>
      </c>
      <c r="D137" s="23">
        <v>10411</v>
      </c>
      <c r="E137" s="23">
        <v>12678</v>
      </c>
      <c r="F137" s="23">
        <v>12412</v>
      </c>
      <c r="G137" s="23">
        <v>10377</v>
      </c>
      <c r="H137" s="24">
        <v>15356</v>
      </c>
      <c r="I137" s="2">
        <f t="shared" si="20"/>
        <v>133</v>
      </c>
      <c r="J137" s="16">
        <v>40774</v>
      </c>
      <c r="K137" s="29">
        <f t="shared" si="14"/>
        <v>-2.7448588358312986E-2</v>
      </c>
      <c r="L137" s="29">
        <f t="shared" si="15"/>
        <v>3.6633567916706244E-3</v>
      </c>
      <c r="M137" s="29">
        <f t="shared" si="16"/>
        <v>4.9416439036503501E-2</v>
      </c>
      <c r="N137" s="29">
        <f t="shared" si="17"/>
        <v>-1.8659076533839358E-2</v>
      </c>
      <c r="O137" s="29">
        <f t="shared" si="18"/>
        <v>1.4468667513930944E-2</v>
      </c>
      <c r="P137" s="30">
        <f t="shared" si="19"/>
        <v>-8.458585464246049E-4</v>
      </c>
      <c r="Z137" s="3"/>
      <c r="AA137" s="3"/>
      <c r="AB137" s="3"/>
      <c r="AC137" s="3"/>
      <c r="AD137" s="3"/>
      <c r="AE137" s="7"/>
    </row>
    <row r="138" spans="2:31" x14ac:dyDescent="0.15">
      <c r="B138" s="16">
        <v>40781</v>
      </c>
      <c r="C138" s="23">
        <v>11260</v>
      </c>
      <c r="D138" s="23">
        <v>10381</v>
      </c>
      <c r="E138" s="23">
        <v>12525</v>
      </c>
      <c r="F138" s="23">
        <v>12650</v>
      </c>
      <c r="G138" s="23">
        <v>10422</v>
      </c>
      <c r="H138" s="24">
        <v>15497</v>
      </c>
      <c r="I138" s="2">
        <f t="shared" si="20"/>
        <v>134</v>
      </c>
      <c r="J138" s="16">
        <v>40781</v>
      </c>
      <c r="K138" s="29">
        <f t="shared" si="14"/>
        <v>8.8701729235731719E-3</v>
      </c>
      <c r="L138" s="29">
        <f t="shared" si="15"/>
        <v>-2.8815675727595913E-3</v>
      </c>
      <c r="M138" s="29">
        <f t="shared" si="16"/>
        <v>-1.2068149550402252E-2</v>
      </c>
      <c r="N138" s="29">
        <f t="shared" si="17"/>
        <v>1.917499194328065E-2</v>
      </c>
      <c r="O138" s="29">
        <f t="shared" si="18"/>
        <v>4.3365134431916363E-3</v>
      </c>
      <c r="P138" s="30">
        <f t="shared" si="19"/>
        <v>9.18207866631926E-3</v>
      </c>
      <c r="Z138" s="3"/>
      <c r="AA138" s="3"/>
      <c r="AB138" s="3"/>
      <c r="AC138" s="3"/>
      <c r="AD138" s="3"/>
      <c r="AE138" s="7"/>
    </row>
    <row r="139" spans="2:31" x14ac:dyDescent="0.15">
      <c r="B139" s="16">
        <v>40788</v>
      </c>
      <c r="C139" s="23">
        <v>11458</v>
      </c>
      <c r="D139" s="23">
        <v>10383</v>
      </c>
      <c r="E139" s="23">
        <v>12645</v>
      </c>
      <c r="F139" s="23">
        <v>13096</v>
      </c>
      <c r="G139" s="23">
        <v>10317</v>
      </c>
      <c r="H139" s="24">
        <v>16079</v>
      </c>
      <c r="I139" s="2">
        <f t="shared" si="20"/>
        <v>135</v>
      </c>
      <c r="J139" s="16">
        <v>40788</v>
      </c>
      <c r="K139" s="29">
        <f t="shared" si="14"/>
        <v>1.7584369449378245E-2</v>
      </c>
      <c r="L139" s="29">
        <f t="shared" si="15"/>
        <v>1.926596666987912E-4</v>
      </c>
      <c r="M139" s="29">
        <f t="shared" si="16"/>
        <v>9.5808383233533245E-3</v>
      </c>
      <c r="N139" s="29">
        <f t="shared" si="17"/>
        <v>3.5256916996047494E-2</v>
      </c>
      <c r="O139" s="29">
        <f t="shared" si="18"/>
        <v>-1.0074841681059321E-2</v>
      </c>
      <c r="P139" s="30">
        <f t="shared" si="19"/>
        <v>3.7555655933406484E-2</v>
      </c>
      <c r="Z139" s="3"/>
      <c r="AA139" s="3"/>
      <c r="AB139" s="3"/>
      <c r="AC139" s="3"/>
      <c r="AD139" s="3"/>
      <c r="AE139" s="7"/>
    </row>
    <row r="140" spans="2:31" x14ac:dyDescent="0.15">
      <c r="B140" s="16">
        <v>40795</v>
      </c>
      <c r="C140" s="23">
        <v>11179</v>
      </c>
      <c r="D140" s="23">
        <v>10420</v>
      </c>
      <c r="E140" s="23">
        <v>12428</v>
      </c>
      <c r="F140" s="23">
        <v>12810</v>
      </c>
      <c r="G140" s="23">
        <v>10332</v>
      </c>
      <c r="H140" s="24">
        <v>15988</v>
      </c>
      <c r="I140" s="2">
        <f t="shared" si="20"/>
        <v>136</v>
      </c>
      <c r="J140" s="16">
        <v>40795</v>
      </c>
      <c r="K140" s="29">
        <f t="shared" si="14"/>
        <v>-2.4349799266887739E-2</v>
      </c>
      <c r="L140" s="29">
        <f t="shared" si="15"/>
        <v>3.563517287874518E-3</v>
      </c>
      <c r="M140" s="29">
        <f t="shared" si="16"/>
        <v>-1.7160933175168092E-2</v>
      </c>
      <c r="N140" s="29">
        <f t="shared" si="17"/>
        <v>-2.1838729383017674E-2</v>
      </c>
      <c r="O140" s="29">
        <f t="shared" si="18"/>
        <v>1.4539110206455153E-3</v>
      </c>
      <c r="P140" s="30">
        <f t="shared" si="19"/>
        <v>-5.659555942533756E-3</v>
      </c>
      <c r="Z140" s="3"/>
      <c r="AA140" s="3"/>
      <c r="AB140" s="3"/>
      <c r="AC140" s="3"/>
      <c r="AD140" s="3"/>
      <c r="AE140" s="7"/>
    </row>
    <row r="141" spans="2:31" x14ac:dyDescent="0.15">
      <c r="B141" s="16">
        <v>40802</v>
      </c>
      <c r="C141" s="23">
        <v>11343</v>
      </c>
      <c r="D141" s="23">
        <v>10427</v>
      </c>
      <c r="E141" s="23">
        <v>11985</v>
      </c>
      <c r="F141" s="23">
        <v>12716</v>
      </c>
      <c r="G141" s="23">
        <v>10135</v>
      </c>
      <c r="H141" s="24">
        <v>15506</v>
      </c>
      <c r="I141" s="2">
        <f t="shared" si="20"/>
        <v>137</v>
      </c>
      <c r="J141" s="16">
        <v>40802</v>
      </c>
      <c r="K141" s="29">
        <f t="shared" si="14"/>
        <v>1.4670364075498599E-2</v>
      </c>
      <c r="L141" s="29">
        <f t="shared" si="15"/>
        <v>6.7178502879072788E-4</v>
      </c>
      <c r="M141" s="29">
        <f t="shared" si="16"/>
        <v>-3.5645317026070211E-2</v>
      </c>
      <c r="N141" s="29">
        <f t="shared" si="17"/>
        <v>-7.3380171740827782E-3</v>
      </c>
      <c r="O141" s="29">
        <f t="shared" si="18"/>
        <v>-1.9066976384049528E-2</v>
      </c>
      <c r="P141" s="30">
        <f t="shared" si="19"/>
        <v>-3.014761070803107E-2</v>
      </c>
      <c r="Z141" s="3"/>
      <c r="AA141" s="3"/>
      <c r="AB141" s="3"/>
      <c r="AC141" s="3"/>
      <c r="AD141" s="3"/>
      <c r="AE141" s="7"/>
    </row>
    <row r="142" spans="2:31" x14ac:dyDescent="0.15">
      <c r="B142" s="16">
        <v>40809</v>
      </c>
      <c r="C142" s="23">
        <v>10953</v>
      </c>
      <c r="D142" s="23">
        <v>10453</v>
      </c>
      <c r="E142" s="23">
        <v>11937</v>
      </c>
      <c r="F142" s="23">
        <v>12252</v>
      </c>
      <c r="G142" s="23">
        <v>10061</v>
      </c>
      <c r="H142" s="24">
        <v>14766</v>
      </c>
      <c r="I142" s="2">
        <f t="shared" si="20"/>
        <v>138</v>
      </c>
      <c r="J142" s="16">
        <v>40809</v>
      </c>
      <c r="K142" s="29">
        <f t="shared" si="14"/>
        <v>-3.4382438508331115E-2</v>
      </c>
      <c r="L142" s="29">
        <f t="shared" si="15"/>
        <v>2.4935264217895714E-3</v>
      </c>
      <c r="M142" s="29">
        <f t="shared" si="16"/>
        <v>-4.0050062578222967E-3</v>
      </c>
      <c r="N142" s="29">
        <f t="shared" si="17"/>
        <v>-3.6489462094998482E-2</v>
      </c>
      <c r="O142" s="29">
        <f t="shared" si="18"/>
        <v>-7.301430685742516E-3</v>
      </c>
      <c r="P142" s="30">
        <f t="shared" si="19"/>
        <v>-4.772346188572163E-2</v>
      </c>
      <c r="Z142" s="3"/>
      <c r="AA142" s="3"/>
      <c r="AB142" s="3"/>
      <c r="AC142" s="3"/>
      <c r="AD142" s="3"/>
      <c r="AE142" s="7"/>
    </row>
    <row r="143" spans="2:31" x14ac:dyDescent="0.15">
      <c r="B143" s="16">
        <v>40816</v>
      </c>
      <c r="C143" s="23">
        <v>11218</v>
      </c>
      <c r="D143" s="23">
        <v>10422</v>
      </c>
      <c r="E143" s="23">
        <v>11992</v>
      </c>
      <c r="F143" s="23">
        <v>12185</v>
      </c>
      <c r="G143" s="23">
        <v>10038</v>
      </c>
      <c r="H143" s="24">
        <v>14618</v>
      </c>
      <c r="I143" s="2">
        <f t="shared" si="20"/>
        <v>139</v>
      </c>
      <c r="J143" s="16">
        <v>40816</v>
      </c>
      <c r="K143" s="29">
        <f t="shared" si="14"/>
        <v>2.4194284670866484E-2</v>
      </c>
      <c r="L143" s="29">
        <f t="shared" si="15"/>
        <v>-2.9656557925954452E-3</v>
      </c>
      <c r="M143" s="29">
        <f t="shared" si="16"/>
        <v>4.6075228281812208E-3</v>
      </c>
      <c r="N143" s="29">
        <f t="shared" si="17"/>
        <v>-5.4684949396016647E-3</v>
      </c>
      <c r="O143" s="29">
        <f t="shared" si="18"/>
        <v>-2.2860550641089494E-3</v>
      </c>
      <c r="P143" s="30">
        <f t="shared" si="19"/>
        <v>-1.0023025870242397E-2</v>
      </c>
      <c r="Z143" s="3"/>
      <c r="AA143" s="3"/>
      <c r="AB143" s="3"/>
      <c r="AC143" s="3"/>
      <c r="AD143" s="3"/>
      <c r="AE143" s="7"/>
    </row>
    <row r="144" spans="2:31" x14ac:dyDescent="0.15">
      <c r="B144" s="16">
        <v>40823</v>
      </c>
      <c r="C144" s="23">
        <v>11092</v>
      </c>
      <c r="D144" s="23">
        <v>10443</v>
      </c>
      <c r="E144" s="23">
        <v>11398</v>
      </c>
      <c r="F144" s="23">
        <v>12203</v>
      </c>
      <c r="G144" s="23">
        <v>10000</v>
      </c>
      <c r="H144" s="24">
        <v>14402</v>
      </c>
      <c r="I144" s="2">
        <f t="shared" si="20"/>
        <v>140</v>
      </c>
      <c r="J144" s="16">
        <v>40823</v>
      </c>
      <c r="K144" s="29">
        <f t="shared" si="14"/>
        <v>-1.1231948653949053E-2</v>
      </c>
      <c r="L144" s="29">
        <f t="shared" si="15"/>
        <v>2.014968336211842E-3</v>
      </c>
      <c r="M144" s="29">
        <f t="shared" si="16"/>
        <v>-4.9533022014676464E-2</v>
      </c>
      <c r="N144" s="29">
        <f t="shared" si="17"/>
        <v>1.4772260976609886E-3</v>
      </c>
      <c r="O144" s="29">
        <f t="shared" si="18"/>
        <v>-3.7856146642757382E-3</v>
      </c>
      <c r="P144" s="30">
        <f t="shared" si="19"/>
        <v>-1.4776303187850615E-2</v>
      </c>
      <c r="Z144" s="3"/>
      <c r="AA144" s="3"/>
      <c r="AB144" s="3"/>
      <c r="AC144" s="3"/>
      <c r="AD144" s="3"/>
      <c r="AE144" s="7"/>
    </row>
    <row r="145" spans="2:31" x14ac:dyDescent="0.15">
      <c r="B145" s="16">
        <v>40830</v>
      </c>
      <c r="C145" s="23">
        <v>11282</v>
      </c>
      <c r="D145" s="23">
        <v>10420</v>
      </c>
      <c r="E145" s="23">
        <v>11690</v>
      </c>
      <c r="F145" s="23">
        <v>12752</v>
      </c>
      <c r="G145" s="23">
        <v>10076</v>
      </c>
      <c r="H145" s="24">
        <v>14812</v>
      </c>
      <c r="I145" s="2">
        <f t="shared" si="20"/>
        <v>141</v>
      </c>
      <c r="J145" s="16">
        <v>40830</v>
      </c>
      <c r="K145" s="29">
        <f t="shared" si="14"/>
        <v>1.7129462675802287E-2</v>
      </c>
      <c r="L145" s="29">
        <f t="shared" si="15"/>
        <v>-2.2024322512688155E-3</v>
      </c>
      <c r="M145" s="29">
        <f t="shared" si="16"/>
        <v>2.561852956659072E-2</v>
      </c>
      <c r="N145" s="29">
        <f t="shared" si="17"/>
        <v>4.4988937146603236E-2</v>
      </c>
      <c r="O145" s="29">
        <f t="shared" si="18"/>
        <v>7.6000000000000512E-3</v>
      </c>
      <c r="P145" s="30">
        <f t="shared" si="19"/>
        <v>2.8468268296069965E-2</v>
      </c>
      <c r="Z145" s="3"/>
      <c r="AA145" s="3"/>
      <c r="AB145" s="3"/>
      <c r="AC145" s="3"/>
      <c r="AD145" s="3"/>
      <c r="AE145" s="7"/>
    </row>
    <row r="146" spans="2:31" x14ac:dyDescent="0.15">
      <c r="B146" s="16">
        <v>40837</v>
      </c>
      <c r="C146" s="23">
        <v>11187</v>
      </c>
      <c r="D146" s="23">
        <v>10412</v>
      </c>
      <c r="E146" s="23">
        <v>11394</v>
      </c>
      <c r="F146" s="23">
        <v>12738</v>
      </c>
      <c r="G146" s="23">
        <v>10045</v>
      </c>
      <c r="H146" s="24">
        <v>14946</v>
      </c>
      <c r="I146" s="2">
        <f t="shared" si="20"/>
        <v>142</v>
      </c>
      <c r="J146" s="16">
        <v>40837</v>
      </c>
      <c r="K146" s="29">
        <f t="shared" si="14"/>
        <v>-8.4204928204218987E-3</v>
      </c>
      <c r="L146" s="29">
        <f t="shared" si="15"/>
        <v>-7.6775431861808574E-4</v>
      </c>
      <c r="M146" s="29">
        <f t="shared" si="16"/>
        <v>-2.5320786997433675E-2</v>
      </c>
      <c r="N146" s="29">
        <f t="shared" si="17"/>
        <v>-1.0978670012546932E-3</v>
      </c>
      <c r="O146" s="29">
        <f t="shared" si="18"/>
        <v>-3.0766177054386556E-3</v>
      </c>
      <c r="P146" s="30">
        <f t="shared" si="19"/>
        <v>9.0467188765865902E-3</v>
      </c>
      <c r="Z146" s="3"/>
      <c r="AA146" s="3"/>
      <c r="AB146" s="3"/>
      <c r="AC146" s="3"/>
      <c r="AD146" s="3"/>
      <c r="AE146" s="7"/>
    </row>
    <row r="147" spans="2:31" x14ac:dyDescent="0.15">
      <c r="B147" s="16">
        <v>40844</v>
      </c>
      <c r="C147" s="23">
        <v>11662</v>
      </c>
      <c r="D147" s="23">
        <v>10402</v>
      </c>
      <c r="E147" s="23">
        <v>11818</v>
      </c>
      <c r="F147" s="23">
        <v>13538</v>
      </c>
      <c r="G147" s="23">
        <v>10089</v>
      </c>
      <c r="H147" s="24">
        <v>16034</v>
      </c>
      <c r="I147" s="2">
        <f t="shared" si="20"/>
        <v>143</v>
      </c>
      <c r="J147" s="16">
        <v>40844</v>
      </c>
      <c r="K147" s="29">
        <f t="shared" si="14"/>
        <v>4.2459998212210692E-2</v>
      </c>
      <c r="L147" s="29">
        <f t="shared" si="15"/>
        <v>-9.6043027276215831E-4</v>
      </c>
      <c r="M147" s="29">
        <f t="shared" si="16"/>
        <v>3.7212568018255121E-2</v>
      </c>
      <c r="N147" s="29">
        <f t="shared" si="17"/>
        <v>6.2804207881928198E-2</v>
      </c>
      <c r="O147" s="29">
        <f t="shared" si="18"/>
        <v>4.3802887008461688E-3</v>
      </c>
      <c r="P147" s="30">
        <f t="shared" si="19"/>
        <v>7.2795396761675457E-2</v>
      </c>
      <c r="Z147" s="3"/>
      <c r="AA147" s="3"/>
      <c r="AB147" s="3"/>
      <c r="AC147" s="3"/>
      <c r="AD147" s="3"/>
      <c r="AE147" s="7"/>
    </row>
    <row r="148" spans="2:31" x14ac:dyDescent="0.15">
      <c r="B148" s="16">
        <v>40851</v>
      </c>
      <c r="C148" s="23">
        <v>11339</v>
      </c>
      <c r="D148" s="23">
        <v>10433</v>
      </c>
      <c r="E148" s="23">
        <v>11626</v>
      </c>
      <c r="F148" s="23">
        <v>13460</v>
      </c>
      <c r="G148" s="23">
        <v>10292</v>
      </c>
      <c r="H148" s="24">
        <v>16090</v>
      </c>
      <c r="I148" s="2">
        <f t="shared" si="20"/>
        <v>144</v>
      </c>
      <c r="J148" s="16">
        <v>40851</v>
      </c>
      <c r="K148" s="29">
        <f t="shared" si="14"/>
        <v>-2.7696793002915499E-2</v>
      </c>
      <c r="L148" s="29">
        <f t="shared" si="15"/>
        <v>2.9801961161315393E-3</v>
      </c>
      <c r="M148" s="29">
        <f t="shared" si="16"/>
        <v>-1.6246403790827535E-2</v>
      </c>
      <c r="N148" s="29">
        <f t="shared" si="17"/>
        <v>-5.7615600531836231E-3</v>
      </c>
      <c r="O148" s="29">
        <f t="shared" si="18"/>
        <v>2.0120923778372379E-2</v>
      </c>
      <c r="P148" s="30">
        <f t="shared" si="19"/>
        <v>3.492578271173663E-3</v>
      </c>
      <c r="Z148" s="3"/>
      <c r="AA148" s="3"/>
      <c r="AB148" s="3"/>
      <c r="AC148" s="3"/>
      <c r="AD148" s="3"/>
      <c r="AE148" s="7"/>
    </row>
    <row r="149" spans="2:31" x14ac:dyDescent="0.15">
      <c r="B149" s="16">
        <v>40858</v>
      </c>
      <c r="C149" s="23">
        <v>10965</v>
      </c>
      <c r="D149" s="23">
        <v>10448</v>
      </c>
      <c r="E149" s="23">
        <v>11105</v>
      </c>
      <c r="F149" s="23">
        <v>13050</v>
      </c>
      <c r="G149" s="23">
        <v>10115</v>
      </c>
      <c r="H149" s="24">
        <v>15458</v>
      </c>
      <c r="I149" s="2">
        <f t="shared" si="20"/>
        <v>145</v>
      </c>
      <c r="J149" s="16">
        <v>40858</v>
      </c>
      <c r="K149" s="29">
        <f t="shared" si="14"/>
        <v>-3.2983508245877036E-2</v>
      </c>
      <c r="L149" s="29">
        <f t="shared" si="15"/>
        <v>1.4377456148759737E-3</v>
      </c>
      <c r="M149" s="29">
        <f t="shared" si="16"/>
        <v>-4.4813349389299817E-2</v>
      </c>
      <c r="N149" s="29">
        <f t="shared" si="17"/>
        <v>-3.046062407132244E-2</v>
      </c>
      <c r="O149" s="29">
        <f t="shared" si="18"/>
        <v>-1.7197823552273617E-2</v>
      </c>
      <c r="P149" s="30">
        <f t="shared" si="19"/>
        <v>-3.9279055313859557E-2</v>
      </c>
      <c r="Z149" s="3"/>
      <c r="AA149" s="3"/>
      <c r="AB149" s="3"/>
      <c r="AC149" s="3"/>
      <c r="AD149" s="3"/>
      <c r="AE149" s="7"/>
    </row>
    <row r="150" spans="2:31" x14ac:dyDescent="0.15">
      <c r="B150" s="16">
        <v>40865</v>
      </c>
      <c r="C150" s="23">
        <v>10793</v>
      </c>
      <c r="D150" s="23">
        <v>10455</v>
      </c>
      <c r="E150" s="23">
        <v>10812</v>
      </c>
      <c r="F150" s="23">
        <v>12731</v>
      </c>
      <c r="G150" s="23">
        <v>9964</v>
      </c>
      <c r="H150" s="24">
        <v>15067</v>
      </c>
      <c r="I150" s="2">
        <f t="shared" si="20"/>
        <v>146</v>
      </c>
      <c r="J150" s="16">
        <v>40865</v>
      </c>
      <c r="K150" s="29">
        <f t="shared" si="14"/>
        <v>-1.5686274509803977E-2</v>
      </c>
      <c r="L150" s="29">
        <f t="shared" si="15"/>
        <v>6.699846860642733E-4</v>
      </c>
      <c r="M150" s="29">
        <f t="shared" si="16"/>
        <v>-2.638451148131471E-2</v>
      </c>
      <c r="N150" s="29">
        <f t="shared" si="17"/>
        <v>-2.4444444444444491E-2</v>
      </c>
      <c r="O150" s="29">
        <f t="shared" si="18"/>
        <v>-1.4928324270884863E-2</v>
      </c>
      <c r="P150" s="30">
        <f t="shared" si="19"/>
        <v>-2.5294345969724463E-2</v>
      </c>
      <c r="Z150" s="3"/>
      <c r="AA150" s="3"/>
      <c r="AB150" s="3"/>
      <c r="AC150" s="3"/>
      <c r="AD150" s="3"/>
      <c r="AE150" s="7"/>
    </row>
    <row r="151" spans="2:31" x14ac:dyDescent="0.15">
      <c r="B151" s="16">
        <v>40872</v>
      </c>
      <c r="C151" s="23">
        <v>10512</v>
      </c>
      <c r="D151" s="23">
        <v>10413</v>
      </c>
      <c r="E151" s="23">
        <v>10626</v>
      </c>
      <c r="F151" s="23">
        <v>12089</v>
      </c>
      <c r="G151" s="23">
        <v>9900</v>
      </c>
      <c r="H151" s="24">
        <v>14405</v>
      </c>
      <c r="I151" s="2">
        <f t="shared" si="20"/>
        <v>147</v>
      </c>
      <c r="J151" s="16">
        <v>40872</v>
      </c>
      <c r="K151" s="29">
        <f t="shared" si="14"/>
        <v>-2.6035393310478994E-2</v>
      </c>
      <c r="L151" s="29">
        <f t="shared" si="15"/>
        <v>-4.0172166427546729E-3</v>
      </c>
      <c r="M151" s="29">
        <f t="shared" si="16"/>
        <v>-1.7203107658157579E-2</v>
      </c>
      <c r="N151" s="29">
        <f t="shared" si="17"/>
        <v>-5.0428088916817271E-2</v>
      </c>
      <c r="O151" s="29">
        <f t="shared" si="18"/>
        <v>-6.4231232436772201E-3</v>
      </c>
      <c r="P151" s="30">
        <f t="shared" si="19"/>
        <v>-4.3937081038030179E-2</v>
      </c>
      <c r="Z151" s="3"/>
      <c r="AA151" s="3"/>
      <c r="AB151" s="3"/>
      <c r="AC151" s="3"/>
      <c r="AD151" s="3"/>
      <c r="AE151" s="7"/>
    </row>
    <row r="152" spans="2:31" x14ac:dyDescent="0.15">
      <c r="B152" s="16">
        <v>40879</v>
      </c>
      <c r="C152" s="23">
        <v>11131</v>
      </c>
      <c r="D152" s="23">
        <v>10409</v>
      </c>
      <c r="E152" s="23">
        <v>11061</v>
      </c>
      <c r="F152" s="23">
        <v>13140</v>
      </c>
      <c r="G152" s="23">
        <v>10073</v>
      </c>
      <c r="H152" s="24">
        <v>15453</v>
      </c>
      <c r="I152" s="2">
        <f t="shared" si="20"/>
        <v>148</v>
      </c>
      <c r="J152" s="16">
        <v>40879</v>
      </c>
      <c r="K152" s="29">
        <f t="shared" si="14"/>
        <v>5.8885083713850817E-2</v>
      </c>
      <c r="L152" s="29">
        <f t="shared" si="15"/>
        <v>-3.8413521559588215E-4</v>
      </c>
      <c r="M152" s="29">
        <f t="shared" si="16"/>
        <v>4.0937323546019089E-2</v>
      </c>
      <c r="N152" s="29">
        <f t="shared" si="17"/>
        <v>8.6938539167838558E-2</v>
      </c>
      <c r="O152" s="29">
        <f t="shared" si="18"/>
        <v>1.7474747474747421E-2</v>
      </c>
      <c r="P152" s="30">
        <f t="shared" si="19"/>
        <v>7.2752516487330832E-2</v>
      </c>
      <c r="Z152" s="3"/>
      <c r="AA152" s="3"/>
      <c r="AB152" s="3"/>
      <c r="AC152" s="3"/>
      <c r="AD152" s="3"/>
      <c r="AE152" s="7"/>
    </row>
    <row r="153" spans="2:31" x14ac:dyDescent="0.15">
      <c r="B153" s="16">
        <v>40886</v>
      </c>
      <c r="C153" s="23">
        <v>10987</v>
      </c>
      <c r="D153" s="23">
        <v>10435</v>
      </c>
      <c r="E153" s="23">
        <v>10965</v>
      </c>
      <c r="F153" s="23">
        <v>13007</v>
      </c>
      <c r="G153" s="23">
        <v>10085</v>
      </c>
      <c r="H153" s="24">
        <v>15349</v>
      </c>
      <c r="I153" s="2">
        <f t="shared" si="20"/>
        <v>149</v>
      </c>
      <c r="J153" s="16">
        <v>40886</v>
      </c>
      <c r="K153" s="29">
        <f t="shared" si="14"/>
        <v>-1.2936843050938784E-2</v>
      </c>
      <c r="L153" s="29">
        <f t="shared" si="15"/>
        <v>2.4978384090690309E-3</v>
      </c>
      <c r="M153" s="29">
        <f t="shared" si="16"/>
        <v>-8.6791429346352311E-3</v>
      </c>
      <c r="N153" s="29">
        <f t="shared" si="17"/>
        <v>-1.0121765601217692E-2</v>
      </c>
      <c r="O153" s="29">
        <f t="shared" si="18"/>
        <v>1.1913034845627557E-3</v>
      </c>
      <c r="P153" s="30">
        <f t="shared" si="19"/>
        <v>-6.7300847731831537E-3</v>
      </c>
      <c r="Z153" s="3"/>
      <c r="AA153" s="3"/>
      <c r="AB153" s="3"/>
      <c r="AC153" s="3"/>
      <c r="AD153" s="3"/>
      <c r="AE153" s="7"/>
    </row>
    <row r="154" spans="2:31" x14ac:dyDescent="0.15">
      <c r="B154" s="16">
        <v>40893</v>
      </c>
      <c r="C154" s="23">
        <v>10815</v>
      </c>
      <c r="D154" s="23">
        <v>10447</v>
      </c>
      <c r="E154" s="23">
        <v>10869</v>
      </c>
      <c r="F154" s="23">
        <v>12703</v>
      </c>
      <c r="G154" s="23">
        <v>10049</v>
      </c>
      <c r="H154" s="24">
        <v>15279</v>
      </c>
      <c r="I154" s="2">
        <f t="shared" si="20"/>
        <v>150</v>
      </c>
      <c r="J154" s="16">
        <v>40893</v>
      </c>
      <c r="K154" s="29">
        <f t="shared" si="14"/>
        <v>-1.5654864840265792E-2</v>
      </c>
      <c r="L154" s="29">
        <f t="shared" si="15"/>
        <v>1.1499760421658234E-3</v>
      </c>
      <c r="M154" s="29">
        <f t="shared" si="16"/>
        <v>-8.7551299589603282E-3</v>
      </c>
      <c r="N154" s="29">
        <f t="shared" si="17"/>
        <v>-2.3372030445144909E-2</v>
      </c>
      <c r="O154" s="29">
        <f t="shared" si="18"/>
        <v>-3.5696579077838519E-3</v>
      </c>
      <c r="P154" s="30">
        <f t="shared" si="19"/>
        <v>-4.5605576910547896E-3</v>
      </c>
      <c r="Z154" s="3"/>
      <c r="AA154" s="3"/>
      <c r="AB154" s="3"/>
      <c r="AC154" s="3"/>
      <c r="AD154" s="3"/>
      <c r="AE154" s="7"/>
    </row>
    <row r="155" spans="2:31" x14ac:dyDescent="0.15">
      <c r="B155" s="16">
        <v>40900</v>
      </c>
      <c r="C155" s="23">
        <v>10799</v>
      </c>
      <c r="D155" s="23">
        <v>10449</v>
      </c>
      <c r="E155" s="23">
        <v>10784</v>
      </c>
      <c r="F155" s="23">
        <v>12994</v>
      </c>
      <c r="G155" s="23">
        <v>10111</v>
      </c>
      <c r="H155" s="24">
        <v>15697</v>
      </c>
      <c r="I155" s="2">
        <f t="shared" si="20"/>
        <v>151</v>
      </c>
      <c r="J155" s="16">
        <v>40900</v>
      </c>
      <c r="K155" s="29">
        <f t="shared" si="14"/>
        <v>-1.4794267221451829E-3</v>
      </c>
      <c r="L155" s="29">
        <f t="shared" si="15"/>
        <v>1.9144251938363332E-4</v>
      </c>
      <c r="M155" s="29">
        <f t="shared" si="16"/>
        <v>-7.8204066611463618E-3</v>
      </c>
      <c r="N155" s="29">
        <f t="shared" si="17"/>
        <v>2.2907974494214001E-2</v>
      </c>
      <c r="O155" s="29">
        <f t="shared" si="18"/>
        <v>6.1697681361330137E-3</v>
      </c>
      <c r="P155" s="30">
        <f t="shared" si="19"/>
        <v>2.735781137509008E-2</v>
      </c>
      <c r="Z155" s="3"/>
      <c r="AA155" s="3"/>
      <c r="AB155" s="3"/>
      <c r="AC155" s="3"/>
      <c r="AD155" s="3"/>
      <c r="AE155" s="7"/>
    </row>
    <row r="156" spans="2:31" x14ac:dyDescent="0.15">
      <c r="B156" s="16">
        <v>40907</v>
      </c>
      <c r="C156" s="23">
        <v>10892</v>
      </c>
      <c r="D156" s="23">
        <v>10452</v>
      </c>
      <c r="E156" s="23">
        <v>10944</v>
      </c>
      <c r="F156" s="23">
        <v>13113</v>
      </c>
      <c r="G156" s="23">
        <v>10062</v>
      </c>
      <c r="H156" s="24">
        <v>15849</v>
      </c>
      <c r="I156" s="2">
        <f t="shared" si="20"/>
        <v>152</v>
      </c>
      <c r="J156" s="16">
        <v>40907</v>
      </c>
      <c r="K156" s="29">
        <f t="shared" si="14"/>
        <v>8.6119085100471171E-3</v>
      </c>
      <c r="L156" s="29">
        <f t="shared" si="15"/>
        <v>2.8710881424065526E-4</v>
      </c>
      <c r="M156" s="29">
        <f t="shared" si="16"/>
        <v>1.4836795252225476E-2</v>
      </c>
      <c r="N156" s="29">
        <f t="shared" si="17"/>
        <v>9.158072956749308E-3</v>
      </c>
      <c r="O156" s="29">
        <f t="shared" si="18"/>
        <v>-4.8462071011768915E-3</v>
      </c>
      <c r="P156" s="30">
        <f t="shared" si="19"/>
        <v>9.6833789896157985E-3</v>
      </c>
      <c r="Z156" s="3"/>
      <c r="AA156" s="3"/>
      <c r="AB156" s="3"/>
      <c r="AC156" s="3"/>
      <c r="AD156" s="3"/>
      <c r="AE156" s="7"/>
    </row>
    <row r="157" spans="2:31" x14ac:dyDescent="0.15">
      <c r="B157" s="16">
        <v>40914</v>
      </c>
      <c r="C157" s="23">
        <v>10807</v>
      </c>
      <c r="D157" s="23">
        <v>10452</v>
      </c>
      <c r="E157" s="23">
        <v>11102</v>
      </c>
      <c r="F157" s="23">
        <v>13209</v>
      </c>
      <c r="G157" s="23">
        <v>9890</v>
      </c>
      <c r="H157" s="24">
        <v>15787</v>
      </c>
      <c r="I157" s="2">
        <f t="shared" si="20"/>
        <v>153</v>
      </c>
      <c r="J157" s="16">
        <v>40914</v>
      </c>
      <c r="K157" s="29">
        <f t="shared" si="14"/>
        <v>-7.803892765332332E-3</v>
      </c>
      <c r="L157" s="29">
        <f t="shared" si="15"/>
        <v>0</v>
      </c>
      <c r="M157" s="29">
        <f t="shared" si="16"/>
        <v>1.4437134502923943E-2</v>
      </c>
      <c r="N157" s="29">
        <f t="shared" si="17"/>
        <v>7.3209791809654146E-3</v>
      </c>
      <c r="O157" s="29">
        <f t="shared" si="18"/>
        <v>-1.7094017094017144E-2</v>
      </c>
      <c r="P157" s="30">
        <f t="shared" si="19"/>
        <v>-3.9119187330430849E-3</v>
      </c>
      <c r="Z157" s="3"/>
      <c r="AA157" s="3"/>
      <c r="AB157" s="3"/>
      <c r="AC157" s="3"/>
      <c r="AD157" s="3"/>
      <c r="AE157" s="7"/>
    </row>
    <row r="158" spans="2:31" x14ac:dyDescent="0.15">
      <c r="B158" s="16">
        <v>40921</v>
      </c>
      <c r="C158" s="23">
        <v>10945</v>
      </c>
      <c r="D158" s="23">
        <v>10463</v>
      </c>
      <c r="E158" s="23">
        <v>10911</v>
      </c>
      <c r="F158" s="23">
        <v>13291</v>
      </c>
      <c r="G158" s="23">
        <v>9903</v>
      </c>
      <c r="H158" s="24">
        <v>15825</v>
      </c>
      <c r="I158" s="2">
        <f t="shared" si="20"/>
        <v>154</v>
      </c>
      <c r="J158" s="16">
        <v>40921</v>
      </c>
      <c r="K158" s="29">
        <f t="shared" si="14"/>
        <v>1.2769501249190407E-2</v>
      </c>
      <c r="L158" s="29">
        <f t="shared" si="15"/>
        <v>1.0524301569077021E-3</v>
      </c>
      <c r="M158" s="29">
        <f t="shared" si="16"/>
        <v>-1.7204107368041788E-2</v>
      </c>
      <c r="N158" s="29">
        <f t="shared" si="17"/>
        <v>6.2078885608296552E-3</v>
      </c>
      <c r="O158" s="29">
        <f t="shared" si="18"/>
        <v>1.3144590495450803E-3</v>
      </c>
      <c r="P158" s="30">
        <f t="shared" si="19"/>
        <v>2.4070437701906311E-3</v>
      </c>
      <c r="Z158" s="3"/>
      <c r="AA158" s="3"/>
      <c r="AB158" s="3"/>
      <c r="AC158" s="3"/>
      <c r="AD158" s="3"/>
      <c r="AE158" s="7"/>
    </row>
    <row r="159" spans="2:31" x14ac:dyDescent="0.15">
      <c r="B159" s="16">
        <v>40928</v>
      </c>
      <c r="C159" s="23">
        <v>11284</v>
      </c>
      <c r="D159" s="23">
        <v>10451</v>
      </c>
      <c r="E159" s="23">
        <v>11003</v>
      </c>
      <c r="F159" s="23">
        <v>13645</v>
      </c>
      <c r="G159" s="23">
        <v>10014</v>
      </c>
      <c r="H159" s="24">
        <v>16214</v>
      </c>
      <c r="I159" s="2">
        <f t="shared" si="20"/>
        <v>155</v>
      </c>
      <c r="J159" s="16">
        <v>40928</v>
      </c>
      <c r="K159" s="29">
        <f t="shared" si="14"/>
        <v>3.0973047053449054E-2</v>
      </c>
      <c r="L159" s="29">
        <f t="shared" si="15"/>
        <v>-1.1468985950492394E-3</v>
      </c>
      <c r="M159" s="29">
        <f t="shared" si="16"/>
        <v>8.431857758225636E-3</v>
      </c>
      <c r="N159" s="29">
        <f t="shared" si="17"/>
        <v>2.6634564743059252E-2</v>
      </c>
      <c r="O159" s="29">
        <f t="shared" si="18"/>
        <v>1.1208724628900324E-2</v>
      </c>
      <c r="P159" s="30">
        <f t="shared" si="19"/>
        <v>2.4581358609794712E-2</v>
      </c>
      <c r="Z159" s="3"/>
      <c r="AA159" s="3"/>
      <c r="AB159" s="3"/>
      <c r="AC159" s="3"/>
      <c r="AD159" s="3"/>
      <c r="AE159" s="7"/>
    </row>
    <row r="160" spans="2:31" x14ac:dyDescent="0.15">
      <c r="B160" s="16">
        <v>40935</v>
      </c>
      <c r="C160" s="23">
        <v>11381</v>
      </c>
      <c r="D160" s="23">
        <v>10464</v>
      </c>
      <c r="E160" s="23">
        <v>11025</v>
      </c>
      <c r="F160" s="23">
        <v>13826</v>
      </c>
      <c r="G160" s="23">
        <v>10128</v>
      </c>
      <c r="H160" s="24">
        <v>16790</v>
      </c>
      <c r="I160" s="2">
        <f t="shared" si="20"/>
        <v>156</v>
      </c>
      <c r="J160" s="16">
        <v>40935</v>
      </c>
      <c r="K160" s="29">
        <f t="shared" si="14"/>
        <v>8.5962424672101356E-3</v>
      </c>
      <c r="L160" s="29">
        <f t="shared" si="15"/>
        <v>1.243900105253104E-3</v>
      </c>
      <c r="M160" s="29">
        <f t="shared" si="16"/>
        <v>1.9994546941743963E-3</v>
      </c>
      <c r="N160" s="29">
        <f t="shared" si="17"/>
        <v>1.3264932209600566E-2</v>
      </c>
      <c r="O160" s="29">
        <f t="shared" si="18"/>
        <v>1.1384062312762122E-2</v>
      </c>
      <c r="P160" s="30">
        <f t="shared" si="19"/>
        <v>3.5524855063525429E-2</v>
      </c>
      <c r="Z160" s="3"/>
      <c r="AA160" s="3"/>
      <c r="AB160" s="3"/>
      <c r="AC160" s="3"/>
      <c r="AD160" s="3"/>
      <c r="AE160" s="7"/>
    </row>
    <row r="161" spans="2:31" x14ac:dyDescent="0.15">
      <c r="B161" s="16">
        <v>40942</v>
      </c>
      <c r="C161" s="23">
        <v>11369</v>
      </c>
      <c r="D161" s="23">
        <v>10472</v>
      </c>
      <c r="E161" s="23">
        <v>11293</v>
      </c>
      <c r="F161" s="23">
        <v>13734</v>
      </c>
      <c r="G161" s="23">
        <v>10091</v>
      </c>
      <c r="H161" s="24">
        <v>16737</v>
      </c>
      <c r="I161" s="2">
        <f t="shared" si="20"/>
        <v>157</v>
      </c>
      <c r="J161" s="16">
        <v>40942</v>
      </c>
      <c r="K161" s="29">
        <f t="shared" si="14"/>
        <v>-1.0543888937702972E-3</v>
      </c>
      <c r="L161" s="29">
        <f t="shared" si="15"/>
        <v>7.6452599388376896E-4</v>
      </c>
      <c r="M161" s="29">
        <f t="shared" si="16"/>
        <v>2.4308390022675708E-2</v>
      </c>
      <c r="N161" s="29">
        <f t="shared" si="17"/>
        <v>-6.6541299001880994E-3</v>
      </c>
      <c r="O161" s="29">
        <f t="shared" si="18"/>
        <v>-3.6532385466034878E-3</v>
      </c>
      <c r="P161" s="30">
        <f t="shared" si="19"/>
        <v>-3.1566408576533256E-3</v>
      </c>
      <c r="Z161" s="3"/>
      <c r="AA161" s="3"/>
      <c r="AB161" s="3"/>
      <c r="AC161" s="3"/>
      <c r="AD161" s="3"/>
      <c r="AE161" s="7"/>
    </row>
    <row r="162" spans="2:31" x14ac:dyDescent="0.15">
      <c r="B162" s="16">
        <v>40949</v>
      </c>
      <c r="C162" s="23">
        <v>11517</v>
      </c>
      <c r="D162" s="23">
        <v>10457</v>
      </c>
      <c r="E162" s="23">
        <v>11235</v>
      </c>
      <c r="F162" s="23">
        <v>14271</v>
      </c>
      <c r="G162" s="23">
        <v>10270</v>
      </c>
      <c r="H162" s="24">
        <v>17131</v>
      </c>
      <c r="I162" s="2">
        <f t="shared" si="20"/>
        <v>158</v>
      </c>
      <c r="J162" s="16">
        <v>40949</v>
      </c>
      <c r="K162" s="29">
        <f t="shared" si="14"/>
        <v>1.3017855572169834E-2</v>
      </c>
      <c r="L162" s="29">
        <f t="shared" si="15"/>
        <v>-1.4323911382735366E-3</v>
      </c>
      <c r="M162" s="29">
        <f t="shared" si="16"/>
        <v>-5.1359249092357562E-3</v>
      </c>
      <c r="N162" s="29">
        <f t="shared" si="17"/>
        <v>3.9100043687199548E-2</v>
      </c>
      <c r="O162" s="29">
        <f t="shared" si="18"/>
        <v>1.7738578931721261E-2</v>
      </c>
      <c r="P162" s="30">
        <f t="shared" si="19"/>
        <v>2.3540658421461469E-2</v>
      </c>
      <c r="Z162" s="3"/>
      <c r="AA162" s="3"/>
      <c r="AB162" s="3"/>
      <c r="AC162" s="3"/>
      <c r="AD162" s="3"/>
      <c r="AE162" s="7"/>
    </row>
    <row r="163" spans="2:31" x14ac:dyDescent="0.15">
      <c r="B163" s="16">
        <v>40956</v>
      </c>
      <c r="C163" s="23">
        <v>12077</v>
      </c>
      <c r="D163" s="23">
        <v>10479</v>
      </c>
      <c r="E163" s="23">
        <v>11710</v>
      </c>
      <c r="F163" s="23">
        <v>14505</v>
      </c>
      <c r="G163" s="23">
        <v>10394</v>
      </c>
      <c r="H163" s="24">
        <v>17342</v>
      </c>
      <c r="I163" s="2">
        <f t="shared" si="20"/>
        <v>159</v>
      </c>
      <c r="J163" s="16">
        <v>40956</v>
      </c>
      <c r="K163" s="29">
        <f t="shared" si="14"/>
        <v>4.8623773552140204E-2</v>
      </c>
      <c r="L163" s="29">
        <f t="shared" si="15"/>
        <v>2.1038538777851112E-3</v>
      </c>
      <c r="M163" s="29">
        <f t="shared" si="16"/>
        <v>4.2278593680462828E-2</v>
      </c>
      <c r="N163" s="29">
        <f t="shared" si="17"/>
        <v>1.6396888795459308E-2</v>
      </c>
      <c r="O163" s="29">
        <f t="shared" si="18"/>
        <v>1.2074001947419699E-2</v>
      </c>
      <c r="P163" s="30">
        <f t="shared" si="19"/>
        <v>1.2316852489638652E-2</v>
      </c>
      <c r="Z163" s="3"/>
      <c r="AA163" s="3"/>
      <c r="AB163" s="3"/>
      <c r="AC163" s="3"/>
      <c r="AD163" s="3"/>
      <c r="AE163" s="7"/>
    </row>
    <row r="164" spans="2:31" x14ac:dyDescent="0.15">
      <c r="B164" s="16">
        <v>40963</v>
      </c>
      <c r="C164" s="23">
        <v>12409</v>
      </c>
      <c r="D164" s="23">
        <v>10462</v>
      </c>
      <c r="E164" s="23">
        <v>12282</v>
      </c>
      <c r="F164" s="23">
        <v>14845</v>
      </c>
      <c r="G164" s="23">
        <v>10637</v>
      </c>
      <c r="H164" s="24">
        <v>17498</v>
      </c>
      <c r="I164" s="2">
        <f t="shared" si="20"/>
        <v>160</v>
      </c>
      <c r="J164" s="16">
        <v>40963</v>
      </c>
      <c r="K164" s="29">
        <f t="shared" si="14"/>
        <v>2.7490270762606572E-2</v>
      </c>
      <c r="L164" s="29">
        <f t="shared" si="15"/>
        <v>-1.6222922034545562E-3</v>
      </c>
      <c r="M164" s="29">
        <f t="shared" si="16"/>
        <v>4.8847139197267353E-2</v>
      </c>
      <c r="N164" s="29">
        <f t="shared" si="17"/>
        <v>2.3440193036883938E-2</v>
      </c>
      <c r="O164" s="29">
        <f t="shared" si="18"/>
        <v>2.337887242639991E-2</v>
      </c>
      <c r="P164" s="30">
        <f t="shared" si="19"/>
        <v>8.9955022488754643E-3</v>
      </c>
      <c r="Z164" s="3"/>
      <c r="AA164" s="3"/>
      <c r="AB164" s="3"/>
      <c r="AC164" s="3"/>
      <c r="AD164" s="3"/>
      <c r="AE164" s="7"/>
    </row>
    <row r="165" spans="2:31" x14ac:dyDescent="0.15">
      <c r="B165" s="16">
        <v>40970</v>
      </c>
      <c r="C165" s="23">
        <v>12582</v>
      </c>
      <c r="D165" s="23">
        <v>10467</v>
      </c>
      <c r="E165" s="23">
        <v>12570</v>
      </c>
      <c r="F165" s="23">
        <v>15205</v>
      </c>
      <c r="G165" s="23">
        <v>10858</v>
      </c>
      <c r="H165" s="24">
        <v>17832</v>
      </c>
      <c r="I165" s="2">
        <f t="shared" si="20"/>
        <v>161</v>
      </c>
      <c r="J165" s="16">
        <v>40970</v>
      </c>
      <c r="K165" s="29">
        <f t="shared" si="14"/>
        <v>1.3941494076879613E-2</v>
      </c>
      <c r="L165" s="29">
        <f t="shared" si="15"/>
        <v>4.7792009176061967E-4</v>
      </c>
      <c r="M165" s="29">
        <f t="shared" si="16"/>
        <v>2.3448949682462139E-2</v>
      </c>
      <c r="N165" s="29">
        <f t="shared" si="17"/>
        <v>2.4250589424048563E-2</v>
      </c>
      <c r="O165" s="29">
        <f t="shared" si="18"/>
        <v>2.0776534737237951E-2</v>
      </c>
      <c r="P165" s="30">
        <f t="shared" si="19"/>
        <v>1.9087895759515305E-2</v>
      </c>
      <c r="Z165" s="3"/>
      <c r="AA165" s="3"/>
      <c r="AB165" s="3"/>
      <c r="AC165" s="3"/>
      <c r="AD165" s="3"/>
      <c r="AE165" s="7"/>
    </row>
    <row r="166" spans="2:31" x14ac:dyDescent="0.15">
      <c r="B166" s="16">
        <v>40977</v>
      </c>
      <c r="C166" s="23">
        <v>12777</v>
      </c>
      <c r="D166" s="23">
        <v>10470</v>
      </c>
      <c r="E166" s="23">
        <v>12783</v>
      </c>
      <c r="F166" s="23">
        <v>15104</v>
      </c>
      <c r="G166" s="23">
        <v>10882</v>
      </c>
      <c r="H166" s="24">
        <v>17827</v>
      </c>
      <c r="I166" s="2">
        <f t="shared" si="20"/>
        <v>162</v>
      </c>
      <c r="J166" s="16">
        <v>40977</v>
      </c>
      <c r="K166" s="29">
        <f t="shared" si="14"/>
        <v>1.5498330948974681E-2</v>
      </c>
      <c r="L166" s="29">
        <f t="shared" si="15"/>
        <v>2.8661507595306723E-4</v>
      </c>
      <c r="M166" s="29">
        <f t="shared" si="16"/>
        <v>1.6945107398568027E-2</v>
      </c>
      <c r="N166" s="29">
        <f t="shared" si="17"/>
        <v>-6.6425517921736565E-3</v>
      </c>
      <c r="O166" s="29">
        <f t="shared" si="18"/>
        <v>2.2103518143303802E-3</v>
      </c>
      <c r="P166" s="30">
        <f t="shared" si="19"/>
        <v>-2.8039479587260718E-4</v>
      </c>
      <c r="Z166" s="3"/>
      <c r="AA166" s="3"/>
      <c r="AB166" s="3"/>
      <c r="AC166" s="3"/>
      <c r="AD166" s="3"/>
      <c r="AE166" s="7"/>
    </row>
    <row r="167" spans="2:31" x14ac:dyDescent="0.15">
      <c r="B167" s="16">
        <v>40984</v>
      </c>
      <c r="C167" s="23">
        <v>13037</v>
      </c>
      <c r="D167" s="23">
        <v>10433</v>
      </c>
      <c r="E167" s="23">
        <v>13099</v>
      </c>
      <c r="F167" s="23">
        <v>15764</v>
      </c>
      <c r="G167" s="23">
        <v>10953</v>
      </c>
      <c r="H167" s="24">
        <v>18647</v>
      </c>
      <c r="I167" s="2">
        <f t="shared" si="20"/>
        <v>163</v>
      </c>
      <c r="J167" s="16">
        <v>40984</v>
      </c>
      <c r="K167" s="29">
        <f t="shared" si="14"/>
        <v>2.0349064725678989E-2</v>
      </c>
      <c r="L167" s="29">
        <f t="shared" si="15"/>
        <v>-3.5339063992358977E-3</v>
      </c>
      <c r="M167" s="29">
        <f t="shared" si="16"/>
        <v>2.4720331690526454E-2</v>
      </c>
      <c r="N167" s="29">
        <f t="shared" si="17"/>
        <v>4.3697033898305149E-2</v>
      </c>
      <c r="O167" s="29">
        <f t="shared" si="18"/>
        <v>6.5245359308949702E-3</v>
      </c>
      <c r="P167" s="30">
        <f t="shared" si="19"/>
        <v>4.5997644023110906E-2</v>
      </c>
      <c r="Z167" s="3"/>
      <c r="AA167" s="3"/>
      <c r="AB167" s="3"/>
      <c r="AC167" s="3"/>
      <c r="AD167" s="3"/>
      <c r="AE167" s="7"/>
    </row>
    <row r="168" spans="2:31" x14ac:dyDescent="0.15">
      <c r="B168" s="16">
        <v>40991</v>
      </c>
      <c r="C168" s="23">
        <v>12880</v>
      </c>
      <c r="D168" s="23">
        <v>10453</v>
      </c>
      <c r="E168" s="23">
        <v>12612</v>
      </c>
      <c r="F168" s="23">
        <v>15466</v>
      </c>
      <c r="G168" s="23">
        <v>10878</v>
      </c>
      <c r="H168" s="24">
        <v>18324</v>
      </c>
      <c r="I168" s="2">
        <f t="shared" si="20"/>
        <v>164</v>
      </c>
      <c r="J168" s="16">
        <v>40991</v>
      </c>
      <c r="K168" s="29">
        <f t="shared" si="14"/>
        <v>-1.2042647848431343E-2</v>
      </c>
      <c r="L168" s="29">
        <f t="shared" si="15"/>
        <v>1.916994153167817E-3</v>
      </c>
      <c r="M168" s="29">
        <f t="shared" si="16"/>
        <v>-3.7178410565692044E-2</v>
      </c>
      <c r="N168" s="29">
        <f t="shared" si="17"/>
        <v>-1.8903831514843983E-2</v>
      </c>
      <c r="O168" s="29">
        <f t="shared" si="18"/>
        <v>-6.8474390577923927E-3</v>
      </c>
      <c r="P168" s="30">
        <f t="shared" si="19"/>
        <v>-1.7321821204483334E-2</v>
      </c>
      <c r="Z168" s="3"/>
      <c r="AA168" s="3"/>
      <c r="AB168" s="3"/>
      <c r="AC168" s="3"/>
      <c r="AD168" s="3"/>
      <c r="AE168" s="7"/>
    </row>
    <row r="169" spans="2:31" x14ac:dyDescent="0.15">
      <c r="B169" s="16">
        <v>40998</v>
      </c>
      <c r="C169" s="23">
        <v>13084</v>
      </c>
      <c r="D169" s="23">
        <v>10472</v>
      </c>
      <c r="E169" s="23">
        <v>13110</v>
      </c>
      <c r="F169" s="23">
        <v>15418</v>
      </c>
      <c r="G169" s="23">
        <v>10912</v>
      </c>
      <c r="H169" s="24">
        <v>18412</v>
      </c>
      <c r="I169" s="2">
        <f t="shared" si="20"/>
        <v>165</v>
      </c>
      <c r="J169" s="16">
        <v>40998</v>
      </c>
      <c r="K169" s="29">
        <f t="shared" si="14"/>
        <v>1.5838509316770111E-2</v>
      </c>
      <c r="L169" s="29">
        <f t="shared" si="15"/>
        <v>1.8176600019133016E-3</v>
      </c>
      <c r="M169" s="29">
        <f t="shared" si="16"/>
        <v>3.9486203615604287E-2</v>
      </c>
      <c r="N169" s="29">
        <f t="shared" si="17"/>
        <v>-3.1035820509505152E-3</v>
      </c>
      <c r="O169" s="29">
        <f t="shared" si="18"/>
        <v>3.1255745541460822E-3</v>
      </c>
      <c r="P169" s="30">
        <f t="shared" si="19"/>
        <v>4.8024448810304321E-3</v>
      </c>
      <c r="Z169" s="3"/>
      <c r="AA169" s="3"/>
      <c r="AB169" s="3"/>
      <c r="AC169" s="3"/>
      <c r="AD169" s="3"/>
      <c r="AE169" s="7"/>
    </row>
    <row r="170" spans="2:31" x14ac:dyDescent="0.15">
      <c r="B170" s="16">
        <v>41005</v>
      </c>
      <c r="C170" s="23">
        <v>12568</v>
      </c>
      <c r="D170" s="23">
        <v>10466</v>
      </c>
      <c r="E170" s="23">
        <v>12924</v>
      </c>
      <c r="F170" s="23">
        <v>15274</v>
      </c>
      <c r="G170" s="23">
        <v>10803</v>
      </c>
      <c r="H170" s="24">
        <v>18329</v>
      </c>
      <c r="I170" s="2">
        <f t="shared" si="20"/>
        <v>166</v>
      </c>
      <c r="J170" s="16">
        <v>41005</v>
      </c>
      <c r="K170" s="29">
        <f t="shared" si="14"/>
        <v>-3.9437480892693388E-2</v>
      </c>
      <c r="L170" s="29">
        <f t="shared" si="15"/>
        <v>-5.7295645530941464E-4</v>
      </c>
      <c r="M170" s="29">
        <f t="shared" si="16"/>
        <v>-1.4187643020594942E-2</v>
      </c>
      <c r="N170" s="29">
        <f t="shared" si="17"/>
        <v>-9.3397327798676599E-3</v>
      </c>
      <c r="O170" s="29">
        <f t="shared" si="18"/>
        <v>-9.9890029325513385E-3</v>
      </c>
      <c r="P170" s="30">
        <f t="shared" si="19"/>
        <v>-4.5079296111232292E-3</v>
      </c>
      <c r="Z170" s="3"/>
      <c r="AA170" s="3"/>
      <c r="AB170" s="3"/>
      <c r="AC170" s="3"/>
      <c r="AD170" s="3"/>
      <c r="AE170" s="7"/>
    </row>
    <row r="171" spans="2:31" x14ac:dyDescent="0.15">
      <c r="B171" s="16">
        <v>41012</v>
      </c>
      <c r="C171" s="23">
        <v>12502</v>
      </c>
      <c r="D171" s="23">
        <v>10495</v>
      </c>
      <c r="E171" s="23">
        <v>12826</v>
      </c>
      <c r="F171" s="23">
        <v>14972</v>
      </c>
      <c r="G171" s="23">
        <v>10724</v>
      </c>
      <c r="H171" s="24">
        <v>18020</v>
      </c>
      <c r="I171" s="2">
        <f t="shared" si="20"/>
        <v>167</v>
      </c>
      <c r="J171" s="16">
        <v>41012</v>
      </c>
      <c r="K171" s="29">
        <f t="shared" si="14"/>
        <v>-5.2514322087842125E-3</v>
      </c>
      <c r="L171" s="29">
        <f t="shared" si="15"/>
        <v>2.7708771259316034E-3</v>
      </c>
      <c r="M171" s="29">
        <f t="shared" si="16"/>
        <v>-7.5827917053543636E-3</v>
      </c>
      <c r="N171" s="29">
        <f t="shared" si="17"/>
        <v>-1.9772161843655933E-2</v>
      </c>
      <c r="O171" s="29">
        <f t="shared" si="18"/>
        <v>-7.3127834860686747E-3</v>
      </c>
      <c r="P171" s="30">
        <f t="shared" si="19"/>
        <v>-1.6858530198046839E-2</v>
      </c>
      <c r="Z171" s="3"/>
      <c r="AA171" s="3"/>
      <c r="AB171" s="3"/>
      <c r="AC171" s="3"/>
      <c r="AD171" s="3"/>
      <c r="AE171" s="7"/>
    </row>
    <row r="172" spans="2:31" x14ac:dyDescent="0.15">
      <c r="B172" s="16">
        <v>41019</v>
      </c>
      <c r="C172" s="23">
        <v>12400</v>
      </c>
      <c r="D172" s="23">
        <v>10497</v>
      </c>
      <c r="E172" s="23">
        <v>13006</v>
      </c>
      <c r="F172" s="23">
        <v>15013</v>
      </c>
      <c r="G172" s="23">
        <v>10800</v>
      </c>
      <c r="H172" s="24">
        <v>18327</v>
      </c>
      <c r="I172" s="2">
        <f t="shared" si="20"/>
        <v>168</v>
      </c>
      <c r="J172" s="16">
        <v>41019</v>
      </c>
      <c r="K172" s="29">
        <f t="shared" si="14"/>
        <v>-8.1586946088625378E-3</v>
      </c>
      <c r="L172" s="29">
        <f t="shared" si="15"/>
        <v>1.905669366364382E-4</v>
      </c>
      <c r="M172" s="29">
        <f t="shared" si="16"/>
        <v>1.4033993450803139E-2</v>
      </c>
      <c r="N172" s="29">
        <f t="shared" si="17"/>
        <v>2.7384450975154184E-3</v>
      </c>
      <c r="O172" s="29">
        <f t="shared" si="18"/>
        <v>7.0869078701976118E-3</v>
      </c>
      <c r="P172" s="30">
        <f t="shared" si="19"/>
        <v>1.7036625971143193E-2</v>
      </c>
      <c r="Z172" s="3"/>
      <c r="AA172" s="3"/>
      <c r="AB172" s="3"/>
      <c r="AC172" s="3"/>
      <c r="AD172" s="3"/>
      <c r="AE172" s="7"/>
    </row>
    <row r="173" spans="2:31" x14ac:dyDescent="0.15">
      <c r="B173" s="16">
        <v>41026</v>
      </c>
      <c r="C173" s="23">
        <v>12346</v>
      </c>
      <c r="D173" s="23">
        <v>10523</v>
      </c>
      <c r="E173" s="23">
        <v>12898</v>
      </c>
      <c r="F173" s="23">
        <v>15132</v>
      </c>
      <c r="G173" s="23">
        <v>10784</v>
      </c>
      <c r="H173" s="24">
        <v>18677</v>
      </c>
      <c r="I173" s="2">
        <f t="shared" si="20"/>
        <v>169</v>
      </c>
      <c r="J173" s="16">
        <v>41026</v>
      </c>
      <c r="K173" s="29">
        <f t="shared" si="14"/>
        <v>-4.3548387096774555E-3</v>
      </c>
      <c r="L173" s="29">
        <f t="shared" si="15"/>
        <v>2.476898161379415E-3</v>
      </c>
      <c r="M173" s="29">
        <f t="shared" si="16"/>
        <v>-8.3038597570351813E-3</v>
      </c>
      <c r="N173" s="29">
        <f t="shared" si="17"/>
        <v>7.9264637314326869E-3</v>
      </c>
      <c r="O173" s="29">
        <f t="shared" si="18"/>
        <v>-1.481481481481528E-3</v>
      </c>
      <c r="P173" s="30">
        <f t="shared" si="19"/>
        <v>1.9097506411305698E-2</v>
      </c>
      <c r="Z173" s="3"/>
      <c r="AA173" s="3"/>
      <c r="AB173" s="3"/>
      <c r="AC173" s="3"/>
      <c r="AD173" s="3"/>
      <c r="AE173" s="7"/>
    </row>
    <row r="174" spans="2:31" x14ac:dyDescent="0.15">
      <c r="B174" s="16">
        <v>41033</v>
      </c>
      <c r="C174" s="23">
        <v>12162</v>
      </c>
      <c r="D174" s="23">
        <v>10528</v>
      </c>
      <c r="E174" s="23">
        <v>12921</v>
      </c>
      <c r="F174" s="23">
        <v>15032</v>
      </c>
      <c r="G174" s="23">
        <v>10677</v>
      </c>
      <c r="H174" s="24">
        <v>18707</v>
      </c>
      <c r="I174" s="2">
        <f t="shared" si="20"/>
        <v>170</v>
      </c>
      <c r="J174" s="16">
        <v>41033</v>
      </c>
      <c r="K174" s="29">
        <f t="shared" si="14"/>
        <v>-1.4903612506074859E-2</v>
      </c>
      <c r="L174" s="29">
        <f t="shared" si="15"/>
        <v>4.7514967214667969E-4</v>
      </c>
      <c r="M174" s="29">
        <f t="shared" si="16"/>
        <v>1.7832222049929403E-3</v>
      </c>
      <c r="N174" s="29">
        <f t="shared" si="17"/>
        <v>-6.6085117631509149E-3</v>
      </c>
      <c r="O174" s="29">
        <f t="shared" si="18"/>
        <v>-9.9221068249257804E-3</v>
      </c>
      <c r="P174" s="30">
        <f t="shared" si="19"/>
        <v>1.6062536809979822E-3</v>
      </c>
      <c r="Z174" s="3"/>
      <c r="AA174" s="3"/>
      <c r="AB174" s="3"/>
      <c r="AC174" s="3"/>
      <c r="AD174" s="3"/>
      <c r="AE174" s="7"/>
    </row>
    <row r="175" spans="2:31" x14ac:dyDescent="0.15">
      <c r="B175" s="16">
        <v>41040</v>
      </c>
      <c r="C175" s="23">
        <v>11610</v>
      </c>
      <c r="D175" s="23">
        <v>10549</v>
      </c>
      <c r="E175" s="23">
        <v>12434</v>
      </c>
      <c r="F175" s="23">
        <v>14388</v>
      </c>
      <c r="G175" s="23">
        <v>10578</v>
      </c>
      <c r="H175" s="24">
        <v>18336</v>
      </c>
      <c r="I175" s="2">
        <f t="shared" si="20"/>
        <v>171</v>
      </c>
      <c r="J175" s="16">
        <v>41040</v>
      </c>
      <c r="K175" s="29">
        <f t="shared" si="14"/>
        <v>-4.538727183029112E-2</v>
      </c>
      <c r="L175" s="29">
        <f t="shared" si="15"/>
        <v>1.9946808510638014E-3</v>
      </c>
      <c r="M175" s="29">
        <f t="shared" si="16"/>
        <v>-3.7690581224363418E-2</v>
      </c>
      <c r="N175" s="29">
        <f t="shared" si="17"/>
        <v>-4.2841937200638669E-2</v>
      </c>
      <c r="O175" s="29">
        <f t="shared" si="18"/>
        <v>-9.2722674908681801E-3</v>
      </c>
      <c r="P175" s="30">
        <f t="shared" si="19"/>
        <v>-1.983214839364944E-2</v>
      </c>
      <c r="Z175" s="3"/>
      <c r="AA175" s="3"/>
      <c r="AB175" s="3"/>
      <c r="AC175" s="3"/>
      <c r="AD175" s="3"/>
      <c r="AE175" s="7"/>
    </row>
    <row r="176" spans="2:31" x14ac:dyDescent="0.15">
      <c r="B176" s="16">
        <v>41047</v>
      </c>
      <c r="C176" s="23">
        <v>11165</v>
      </c>
      <c r="D176" s="23">
        <v>10578</v>
      </c>
      <c r="E176" s="23">
        <v>12178</v>
      </c>
      <c r="F176" s="23">
        <v>13653</v>
      </c>
      <c r="G176" s="23">
        <v>10415</v>
      </c>
      <c r="H176" s="24">
        <v>17398</v>
      </c>
      <c r="I176" s="2">
        <f t="shared" si="20"/>
        <v>172</v>
      </c>
      <c r="J176" s="16">
        <v>41047</v>
      </c>
      <c r="K176" s="29">
        <f t="shared" si="14"/>
        <v>-3.8329026701119706E-2</v>
      </c>
      <c r="L176" s="29">
        <f t="shared" si="15"/>
        <v>2.7490757417765188E-3</v>
      </c>
      <c r="M176" s="29">
        <f t="shared" si="16"/>
        <v>-2.0588708380247733E-2</v>
      </c>
      <c r="N176" s="29">
        <f t="shared" si="17"/>
        <v>-5.1084236864053389E-2</v>
      </c>
      <c r="O176" s="29">
        <f t="shared" si="18"/>
        <v>-1.5409340139913019E-2</v>
      </c>
      <c r="P176" s="30">
        <f t="shared" si="19"/>
        <v>-5.1156195462478182E-2</v>
      </c>
      <c r="Z176" s="3"/>
      <c r="AA176" s="3"/>
      <c r="AB176" s="3"/>
      <c r="AC176" s="3"/>
      <c r="AD176" s="3"/>
      <c r="AE176" s="7"/>
    </row>
    <row r="177" spans="2:31" x14ac:dyDescent="0.15">
      <c r="B177" s="16">
        <v>41054</v>
      </c>
      <c r="C177" s="23">
        <v>11125</v>
      </c>
      <c r="D177" s="23">
        <v>10537</v>
      </c>
      <c r="E177" s="23">
        <v>12082</v>
      </c>
      <c r="F177" s="23">
        <v>13755</v>
      </c>
      <c r="G177" s="23">
        <v>10434</v>
      </c>
      <c r="H177" s="24">
        <v>17592</v>
      </c>
      <c r="I177" s="2">
        <f t="shared" si="20"/>
        <v>173</v>
      </c>
      <c r="J177" s="16">
        <v>41054</v>
      </c>
      <c r="K177" s="29">
        <f t="shared" si="14"/>
        <v>-3.5826242722793999E-3</v>
      </c>
      <c r="L177" s="29">
        <f t="shared" si="15"/>
        <v>-3.8759689922480689E-3</v>
      </c>
      <c r="M177" s="29">
        <f t="shared" si="16"/>
        <v>-7.883067827229473E-3</v>
      </c>
      <c r="N177" s="29">
        <f t="shared" si="17"/>
        <v>7.4708855196659041E-3</v>
      </c>
      <c r="O177" s="29">
        <f t="shared" si="18"/>
        <v>1.8242918867019675E-3</v>
      </c>
      <c r="P177" s="30">
        <f t="shared" si="19"/>
        <v>1.1150706977813618E-2</v>
      </c>
      <c r="Z177" s="3"/>
      <c r="AA177" s="3"/>
      <c r="AB177" s="3"/>
      <c r="AC177" s="3"/>
      <c r="AD177" s="3"/>
      <c r="AE177" s="7"/>
    </row>
    <row r="178" spans="2:31" x14ac:dyDescent="0.15">
      <c r="B178" s="16">
        <v>41061</v>
      </c>
      <c r="C178" s="23">
        <v>10939</v>
      </c>
      <c r="D178" s="23">
        <v>10581</v>
      </c>
      <c r="E178" s="23">
        <v>12148</v>
      </c>
      <c r="F178" s="23">
        <v>13412</v>
      </c>
      <c r="G178" s="23">
        <v>10258</v>
      </c>
      <c r="H178" s="24">
        <v>17238</v>
      </c>
      <c r="I178" s="2">
        <f t="shared" si="20"/>
        <v>174</v>
      </c>
      <c r="J178" s="16">
        <v>41061</v>
      </c>
      <c r="K178" s="29">
        <f t="shared" si="14"/>
        <v>-1.6719101123595537E-2</v>
      </c>
      <c r="L178" s="29">
        <f t="shared" si="15"/>
        <v>4.1757616019739707E-3</v>
      </c>
      <c r="M178" s="29">
        <f t="shared" si="16"/>
        <v>5.4626717430887872E-3</v>
      </c>
      <c r="N178" s="29">
        <f t="shared" si="17"/>
        <v>-2.4936386768447782E-2</v>
      </c>
      <c r="O178" s="29">
        <f t="shared" si="18"/>
        <v>-1.6867931761548771E-2</v>
      </c>
      <c r="P178" s="30">
        <f t="shared" si="19"/>
        <v>-2.0122783083219686E-2</v>
      </c>
      <c r="Z178" s="3"/>
      <c r="AA178" s="3"/>
      <c r="AB178" s="3"/>
      <c r="AC178" s="3"/>
      <c r="AD178" s="3"/>
      <c r="AE178" s="7"/>
    </row>
    <row r="179" spans="2:31" x14ac:dyDescent="0.15">
      <c r="B179" s="16">
        <v>41068</v>
      </c>
      <c r="C179" s="23">
        <v>10961</v>
      </c>
      <c r="D179" s="23">
        <v>10568</v>
      </c>
      <c r="E179" s="23">
        <v>11986</v>
      </c>
      <c r="F179" s="23">
        <v>13742</v>
      </c>
      <c r="G179" s="23">
        <v>10454</v>
      </c>
      <c r="H179" s="24">
        <v>17647</v>
      </c>
      <c r="I179" s="2">
        <f t="shared" si="20"/>
        <v>175</v>
      </c>
      <c r="J179" s="16">
        <v>41068</v>
      </c>
      <c r="K179" s="29">
        <f t="shared" si="14"/>
        <v>2.0111527561934572E-3</v>
      </c>
      <c r="L179" s="29">
        <f t="shared" si="15"/>
        <v>-1.2286173329553174E-3</v>
      </c>
      <c r="M179" s="29">
        <f t="shared" si="16"/>
        <v>-1.3335528482054659E-2</v>
      </c>
      <c r="N179" s="29">
        <f t="shared" si="17"/>
        <v>2.4604831494184243E-2</v>
      </c>
      <c r="O179" s="29">
        <f t="shared" si="18"/>
        <v>1.9107038409046595E-2</v>
      </c>
      <c r="P179" s="30">
        <f t="shared" si="19"/>
        <v>2.3726650423482987E-2</v>
      </c>
      <c r="Z179" s="3"/>
      <c r="AA179" s="3"/>
      <c r="AB179" s="3"/>
      <c r="AC179" s="3"/>
      <c r="AD179" s="3"/>
      <c r="AE179" s="7"/>
    </row>
    <row r="180" spans="2:31" x14ac:dyDescent="0.15">
      <c r="B180" s="16">
        <v>41075</v>
      </c>
      <c r="C180" s="23">
        <v>11106</v>
      </c>
      <c r="D180" s="23">
        <v>10560</v>
      </c>
      <c r="E180" s="23">
        <v>12118</v>
      </c>
      <c r="F180" s="23">
        <v>13808</v>
      </c>
      <c r="G180" s="23">
        <v>10389</v>
      </c>
      <c r="H180" s="24">
        <v>17697</v>
      </c>
      <c r="I180" s="2">
        <f t="shared" si="20"/>
        <v>176</v>
      </c>
      <c r="J180" s="16">
        <v>41075</v>
      </c>
      <c r="K180" s="29">
        <f t="shared" si="14"/>
        <v>1.3228720007298689E-2</v>
      </c>
      <c r="L180" s="29">
        <f t="shared" si="15"/>
        <v>-7.570022710068347E-4</v>
      </c>
      <c r="M180" s="29">
        <f t="shared" si="16"/>
        <v>1.1012848323043611E-2</v>
      </c>
      <c r="N180" s="29">
        <f t="shared" si="17"/>
        <v>4.8027943530781769E-3</v>
      </c>
      <c r="O180" s="29">
        <f t="shared" si="18"/>
        <v>-6.2177157069064348E-3</v>
      </c>
      <c r="P180" s="30">
        <f t="shared" si="19"/>
        <v>2.8333427778093334E-3</v>
      </c>
      <c r="Z180" s="3"/>
      <c r="AA180" s="3"/>
      <c r="AB180" s="3"/>
      <c r="AC180" s="3"/>
      <c r="AD180" s="3"/>
      <c r="AE180" s="7"/>
    </row>
    <row r="181" spans="2:31" x14ac:dyDescent="0.15">
      <c r="B181" s="16">
        <v>41082</v>
      </c>
      <c r="C181" s="23">
        <v>11398</v>
      </c>
      <c r="D181" s="23">
        <v>10570</v>
      </c>
      <c r="E181" s="23">
        <v>12683</v>
      </c>
      <c r="F181" s="23">
        <v>13995</v>
      </c>
      <c r="G181" s="23">
        <v>10494</v>
      </c>
      <c r="H181" s="24">
        <v>17979</v>
      </c>
      <c r="I181" s="2">
        <f t="shared" si="20"/>
        <v>177</v>
      </c>
      <c r="J181" s="16">
        <v>41082</v>
      </c>
      <c r="K181" s="29">
        <f t="shared" si="14"/>
        <v>2.629209436340707E-2</v>
      </c>
      <c r="L181" s="29">
        <f t="shared" si="15"/>
        <v>9.4696969696972388E-4</v>
      </c>
      <c r="M181" s="29">
        <f t="shared" si="16"/>
        <v>4.6624855586730574E-2</v>
      </c>
      <c r="N181" s="29">
        <f t="shared" si="17"/>
        <v>1.3542873696407831E-2</v>
      </c>
      <c r="O181" s="29">
        <f t="shared" si="18"/>
        <v>1.0106843777071939E-2</v>
      </c>
      <c r="P181" s="30">
        <f t="shared" si="19"/>
        <v>1.5934904221054369E-2</v>
      </c>
      <c r="Z181" s="3"/>
      <c r="AA181" s="3"/>
      <c r="AB181" s="3"/>
      <c r="AC181" s="3"/>
      <c r="AD181" s="3"/>
      <c r="AE181" s="7"/>
    </row>
    <row r="182" spans="2:31" x14ac:dyDescent="0.15">
      <c r="B182" s="16">
        <v>41089</v>
      </c>
      <c r="C182" s="23">
        <v>11681</v>
      </c>
      <c r="D182" s="23">
        <v>10567</v>
      </c>
      <c r="E182" s="23">
        <v>12841</v>
      </c>
      <c r="F182" s="23">
        <v>13780</v>
      </c>
      <c r="G182" s="23">
        <v>10333</v>
      </c>
      <c r="H182" s="24">
        <v>17984</v>
      </c>
      <c r="I182" s="2">
        <f t="shared" si="20"/>
        <v>178</v>
      </c>
      <c r="J182" s="16">
        <v>41089</v>
      </c>
      <c r="K182" s="29">
        <f t="shared" si="14"/>
        <v>2.4828917353921787E-2</v>
      </c>
      <c r="L182" s="29">
        <f t="shared" si="15"/>
        <v>-2.8382213812672141E-4</v>
      </c>
      <c r="M182" s="29">
        <f t="shared" si="16"/>
        <v>1.2457620436805206E-2</v>
      </c>
      <c r="N182" s="29">
        <f t="shared" si="17"/>
        <v>-1.5362629510539461E-2</v>
      </c>
      <c r="O182" s="29">
        <f t="shared" si="18"/>
        <v>-1.5342100247760615E-2</v>
      </c>
      <c r="P182" s="30">
        <f t="shared" si="19"/>
        <v>2.7810223037993964E-4</v>
      </c>
      <c r="Z182" s="3"/>
      <c r="AA182" s="3"/>
      <c r="AB182" s="3"/>
      <c r="AC182" s="3"/>
      <c r="AD182" s="3"/>
      <c r="AE182" s="7"/>
    </row>
    <row r="183" spans="2:31" x14ac:dyDescent="0.15">
      <c r="B183" s="16">
        <v>41096</v>
      </c>
      <c r="C183" s="23">
        <v>11697</v>
      </c>
      <c r="D183" s="23">
        <v>10587</v>
      </c>
      <c r="E183" s="23">
        <v>12856</v>
      </c>
      <c r="F183" s="23">
        <v>14406</v>
      </c>
      <c r="G183" s="23">
        <v>10451</v>
      </c>
      <c r="H183" s="24">
        <v>18755</v>
      </c>
      <c r="I183" s="2">
        <f t="shared" si="20"/>
        <v>179</v>
      </c>
      <c r="J183" s="16">
        <v>41096</v>
      </c>
      <c r="K183" s="29">
        <f t="shared" si="14"/>
        <v>1.3697457409467262E-3</v>
      </c>
      <c r="L183" s="29">
        <f t="shared" si="15"/>
        <v>1.8926847733509167E-3</v>
      </c>
      <c r="M183" s="29">
        <f t="shared" si="16"/>
        <v>1.1681333229498492E-3</v>
      </c>
      <c r="N183" s="29">
        <f t="shared" si="17"/>
        <v>4.542815674891143E-2</v>
      </c>
      <c r="O183" s="29">
        <f t="shared" si="18"/>
        <v>1.1419723216878008E-2</v>
      </c>
      <c r="P183" s="30">
        <f t="shared" si="19"/>
        <v>4.2871441281138845E-2</v>
      </c>
      <c r="Z183" s="3"/>
      <c r="AA183" s="3"/>
      <c r="AB183" s="3"/>
      <c r="AC183" s="3"/>
      <c r="AD183" s="3"/>
      <c r="AE183" s="7"/>
    </row>
    <row r="184" spans="2:31" x14ac:dyDescent="0.15">
      <c r="B184" s="16">
        <v>41103</v>
      </c>
      <c r="C184" s="23">
        <v>11307</v>
      </c>
      <c r="D184" s="23">
        <v>10615</v>
      </c>
      <c r="E184" s="23">
        <v>12702</v>
      </c>
      <c r="F184" s="23">
        <v>13918</v>
      </c>
      <c r="G184" s="23">
        <v>10386</v>
      </c>
      <c r="H184" s="24">
        <v>18509</v>
      </c>
      <c r="I184" s="2">
        <f t="shared" si="20"/>
        <v>180</v>
      </c>
      <c r="J184" s="16">
        <v>41103</v>
      </c>
      <c r="K184" s="29">
        <f t="shared" si="14"/>
        <v>-3.3341882533983069E-2</v>
      </c>
      <c r="L184" s="29">
        <f t="shared" si="15"/>
        <v>2.644752998961053E-3</v>
      </c>
      <c r="M184" s="29">
        <f t="shared" si="16"/>
        <v>-1.1978842563783454E-2</v>
      </c>
      <c r="N184" s="29">
        <f t="shared" si="17"/>
        <v>-3.3874774399555774E-2</v>
      </c>
      <c r="O184" s="29">
        <f t="shared" si="18"/>
        <v>-6.2195005262654091E-3</v>
      </c>
      <c r="P184" s="30">
        <f t="shared" si="19"/>
        <v>-1.3116502266062424E-2</v>
      </c>
      <c r="Z184" s="3"/>
      <c r="AA184" s="3"/>
      <c r="AB184" s="3"/>
      <c r="AC184" s="3"/>
      <c r="AD184" s="3"/>
      <c r="AE184" s="7"/>
    </row>
    <row r="185" spans="2:31" x14ac:dyDescent="0.15">
      <c r="B185" s="16">
        <v>41110</v>
      </c>
      <c r="C185" s="23">
        <v>11238</v>
      </c>
      <c r="D185" s="23">
        <v>10632</v>
      </c>
      <c r="E185" s="23">
        <v>12660</v>
      </c>
      <c r="F185" s="23">
        <v>14288</v>
      </c>
      <c r="G185" s="23">
        <v>10359</v>
      </c>
      <c r="H185" s="24">
        <v>18676</v>
      </c>
      <c r="I185" s="2">
        <f t="shared" si="20"/>
        <v>181</v>
      </c>
      <c r="J185" s="16">
        <v>41110</v>
      </c>
      <c r="K185" s="29">
        <f t="shared" si="14"/>
        <v>-6.1024144335367625E-3</v>
      </c>
      <c r="L185" s="29">
        <f t="shared" si="15"/>
        <v>1.60150730098918E-3</v>
      </c>
      <c r="M185" s="29">
        <f t="shared" si="16"/>
        <v>-3.3065658951346721E-3</v>
      </c>
      <c r="N185" s="29">
        <f t="shared" si="17"/>
        <v>2.6584279350481355E-2</v>
      </c>
      <c r="O185" s="29">
        <f t="shared" si="18"/>
        <v>-2.5996533795493715E-3</v>
      </c>
      <c r="P185" s="30">
        <f t="shared" si="19"/>
        <v>9.0226376357447347E-3</v>
      </c>
      <c r="Z185" s="3"/>
      <c r="AA185" s="3"/>
      <c r="AB185" s="3"/>
      <c r="AC185" s="3"/>
      <c r="AD185" s="3"/>
      <c r="AE185" s="7"/>
    </row>
    <row r="186" spans="2:31" x14ac:dyDescent="0.15">
      <c r="B186" s="16">
        <v>41117</v>
      </c>
      <c r="C186" s="23">
        <v>11102</v>
      </c>
      <c r="D186" s="23">
        <v>10626</v>
      </c>
      <c r="E186" s="23">
        <v>12752</v>
      </c>
      <c r="F186" s="23">
        <v>13997</v>
      </c>
      <c r="G186" s="23">
        <v>10294</v>
      </c>
      <c r="H186" s="24">
        <v>18503</v>
      </c>
      <c r="I186" s="2">
        <f t="shared" si="20"/>
        <v>182</v>
      </c>
      <c r="J186" s="16">
        <v>41117</v>
      </c>
      <c r="K186" s="29">
        <f t="shared" si="14"/>
        <v>-1.2101797472859888E-2</v>
      </c>
      <c r="L186" s="29">
        <f t="shared" si="15"/>
        <v>-5.6433408577882815E-4</v>
      </c>
      <c r="M186" s="29">
        <f t="shared" si="16"/>
        <v>7.2669826224327494E-3</v>
      </c>
      <c r="N186" s="29">
        <f t="shared" si="17"/>
        <v>-2.0366741321388604E-2</v>
      </c>
      <c r="O186" s="29">
        <f t="shared" si="18"/>
        <v>-6.2747369437203826E-3</v>
      </c>
      <c r="P186" s="30">
        <f t="shared" si="19"/>
        <v>-9.2632255300920674E-3</v>
      </c>
      <c r="Z186" s="3"/>
      <c r="AA186" s="3"/>
      <c r="AB186" s="3"/>
      <c r="AC186" s="3"/>
      <c r="AD186" s="3"/>
      <c r="AE186" s="7"/>
    </row>
    <row r="187" spans="2:31" x14ac:dyDescent="0.15">
      <c r="B187" s="16">
        <v>41124</v>
      </c>
      <c r="C187" s="23">
        <v>11084</v>
      </c>
      <c r="D187" s="23">
        <v>10631</v>
      </c>
      <c r="E187" s="23">
        <v>12773</v>
      </c>
      <c r="F187" s="23">
        <v>14036</v>
      </c>
      <c r="G187" s="23">
        <v>10239</v>
      </c>
      <c r="H187" s="24">
        <v>18676</v>
      </c>
      <c r="I187" s="2">
        <f t="shared" si="20"/>
        <v>183</v>
      </c>
      <c r="J187" s="16">
        <v>41124</v>
      </c>
      <c r="K187" s="29">
        <f t="shared" si="14"/>
        <v>-1.6213294901818998E-3</v>
      </c>
      <c r="L187" s="29">
        <f t="shared" si="15"/>
        <v>4.7054394880485795E-4</v>
      </c>
      <c r="M187" s="29">
        <f t="shared" si="16"/>
        <v>1.6468005018821508E-3</v>
      </c>
      <c r="N187" s="29">
        <f t="shared" si="17"/>
        <v>2.7863113524326799E-3</v>
      </c>
      <c r="O187" s="29">
        <f t="shared" si="18"/>
        <v>-5.342918204779501E-3</v>
      </c>
      <c r="P187" s="30">
        <f t="shared" si="19"/>
        <v>9.3498351618657161E-3</v>
      </c>
      <c r="Z187" s="3"/>
      <c r="AA187" s="3"/>
      <c r="AB187" s="3"/>
      <c r="AC187" s="3"/>
      <c r="AD187" s="3"/>
      <c r="AE187" s="7"/>
    </row>
    <row r="188" spans="2:31" x14ac:dyDescent="0.15">
      <c r="B188" s="16">
        <v>41131</v>
      </c>
      <c r="C188" s="23">
        <v>11517</v>
      </c>
      <c r="D188" s="23">
        <v>10594</v>
      </c>
      <c r="E188" s="23">
        <v>12723</v>
      </c>
      <c r="F188" s="23">
        <v>14641</v>
      </c>
      <c r="G188" s="23">
        <v>10334</v>
      </c>
      <c r="H188" s="24">
        <v>18646</v>
      </c>
      <c r="I188" s="2">
        <f t="shared" si="20"/>
        <v>184</v>
      </c>
      <c r="J188" s="16">
        <v>41131</v>
      </c>
      <c r="K188" s="29">
        <f t="shared" si="14"/>
        <v>3.9065319379285368E-2</v>
      </c>
      <c r="L188" s="29">
        <f t="shared" si="15"/>
        <v>-3.4803875458564448E-3</v>
      </c>
      <c r="M188" s="29">
        <f t="shared" si="16"/>
        <v>-3.914507163548131E-3</v>
      </c>
      <c r="N188" s="29">
        <f t="shared" si="17"/>
        <v>4.31034482758621E-2</v>
      </c>
      <c r="O188" s="29">
        <f t="shared" si="18"/>
        <v>9.2782498290848725E-3</v>
      </c>
      <c r="P188" s="30">
        <f t="shared" si="19"/>
        <v>-1.6063396872991742E-3</v>
      </c>
      <c r="Z188" s="3"/>
      <c r="AA188" s="3"/>
      <c r="AB188" s="3"/>
      <c r="AC188" s="3"/>
      <c r="AD188" s="3"/>
      <c r="AE188" s="7"/>
    </row>
    <row r="189" spans="2:31" x14ac:dyDescent="0.15">
      <c r="B189" s="16">
        <v>41138</v>
      </c>
      <c r="C189" s="23">
        <v>11871</v>
      </c>
      <c r="D189" s="23">
        <v>10574</v>
      </c>
      <c r="E189" s="23">
        <v>12855</v>
      </c>
      <c r="F189" s="23">
        <v>14913</v>
      </c>
      <c r="G189" s="23">
        <v>10409</v>
      </c>
      <c r="H189" s="24">
        <v>18982</v>
      </c>
      <c r="I189" s="2">
        <f t="shared" si="20"/>
        <v>185</v>
      </c>
      <c r="J189" s="16">
        <v>41138</v>
      </c>
      <c r="K189" s="29">
        <f t="shared" si="14"/>
        <v>3.073717113831731E-2</v>
      </c>
      <c r="L189" s="29">
        <f t="shared" si="15"/>
        <v>-1.8878610534264206E-3</v>
      </c>
      <c r="M189" s="29">
        <f t="shared" si="16"/>
        <v>1.0374911577458068E-2</v>
      </c>
      <c r="N189" s="29">
        <f t="shared" si="17"/>
        <v>1.8577965985929978E-2</v>
      </c>
      <c r="O189" s="29">
        <f t="shared" si="18"/>
        <v>7.2575962841106012E-3</v>
      </c>
      <c r="P189" s="30">
        <f t="shared" si="19"/>
        <v>1.8019950659659001E-2</v>
      </c>
      <c r="Z189" s="3"/>
      <c r="AA189" s="3"/>
      <c r="AB189" s="3"/>
      <c r="AC189" s="3"/>
      <c r="AD189" s="3"/>
      <c r="AE189" s="7"/>
    </row>
    <row r="190" spans="2:31" x14ac:dyDescent="0.15">
      <c r="B190" s="16">
        <v>41145</v>
      </c>
      <c r="C190" s="23">
        <v>11747</v>
      </c>
      <c r="D190" s="23">
        <v>10577</v>
      </c>
      <c r="E190" s="23">
        <v>13161</v>
      </c>
      <c r="F190" s="23">
        <v>14702</v>
      </c>
      <c r="G190" s="23">
        <v>10455</v>
      </c>
      <c r="H190" s="24">
        <v>18781</v>
      </c>
      <c r="I190" s="2">
        <f t="shared" si="20"/>
        <v>186</v>
      </c>
      <c r="J190" s="16">
        <v>41145</v>
      </c>
      <c r="K190" s="29">
        <f t="shared" si="14"/>
        <v>-1.0445623789065772E-2</v>
      </c>
      <c r="L190" s="29">
        <f t="shared" si="15"/>
        <v>2.83714772082444E-4</v>
      </c>
      <c r="M190" s="29">
        <f t="shared" si="16"/>
        <v>2.3803967327888031E-2</v>
      </c>
      <c r="N190" s="29">
        <f t="shared" si="17"/>
        <v>-1.4148729296586837E-2</v>
      </c>
      <c r="O190" s="29">
        <f t="shared" si="18"/>
        <v>4.4192525698913965E-3</v>
      </c>
      <c r="P190" s="30">
        <f t="shared" si="19"/>
        <v>-1.0588979032767898E-2</v>
      </c>
      <c r="Z190" s="3"/>
      <c r="AA190" s="3"/>
      <c r="AB190" s="3"/>
      <c r="AC190" s="3"/>
      <c r="AD190" s="3"/>
      <c r="AE190" s="7"/>
    </row>
    <row r="191" spans="2:31" x14ac:dyDescent="0.15">
      <c r="B191" s="16">
        <v>41152</v>
      </c>
      <c r="C191" s="23">
        <v>11454</v>
      </c>
      <c r="D191" s="23">
        <v>10583</v>
      </c>
      <c r="E191" s="23">
        <v>13144</v>
      </c>
      <c r="F191" s="23">
        <v>14602</v>
      </c>
      <c r="G191" s="23">
        <v>10452</v>
      </c>
      <c r="H191" s="24">
        <v>18843</v>
      </c>
      <c r="I191" s="2">
        <f t="shared" si="20"/>
        <v>187</v>
      </c>
      <c r="J191" s="16">
        <v>41152</v>
      </c>
      <c r="K191" s="29">
        <f t="shared" si="14"/>
        <v>-2.4942538520473345E-2</v>
      </c>
      <c r="L191" s="29">
        <f t="shared" si="15"/>
        <v>5.6726860168287985E-4</v>
      </c>
      <c r="M191" s="29">
        <f t="shared" si="16"/>
        <v>-1.2916951599422077E-3</v>
      </c>
      <c r="N191" s="29">
        <f t="shared" si="17"/>
        <v>-6.80179567405792E-3</v>
      </c>
      <c r="O191" s="29">
        <f t="shared" si="18"/>
        <v>-2.8694404591100842E-4</v>
      </c>
      <c r="P191" s="30">
        <f t="shared" si="19"/>
        <v>3.3012086683350539E-3</v>
      </c>
      <c r="Z191" s="3"/>
      <c r="AA191" s="3"/>
      <c r="AB191" s="3"/>
      <c r="AC191" s="3"/>
      <c r="AD191" s="3"/>
      <c r="AE191" s="7"/>
    </row>
    <row r="192" spans="2:31" x14ac:dyDescent="0.15">
      <c r="B192" s="16">
        <v>41159</v>
      </c>
      <c r="C192" s="23">
        <v>11497</v>
      </c>
      <c r="D192" s="23">
        <v>10586</v>
      </c>
      <c r="E192" s="23">
        <v>13216</v>
      </c>
      <c r="F192" s="23">
        <v>15033</v>
      </c>
      <c r="G192" s="23">
        <v>10541</v>
      </c>
      <c r="H192" s="24">
        <v>19244</v>
      </c>
      <c r="I192" s="2">
        <f t="shared" si="20"/>
        <v>188</v>
      </c>
      <c r="J192" s="16">
        <v>41159</v>
      </c>
      <c r="K192" s="29">
        <f t="shared" si="14"/>
        <v>3.7541470228741325E-3</v>
      </c>
      <c r="L192" s="29">
        <f t="shared" si="15"/>
        <v>2.8347349522817034E-4</v>
      </c>
      <c r="M192" s="29">
        <f t="shared" si="16"/>
        <v>5.4777845404747616E-3</v>
      </c>
      <c r="N192" s="29">
        <f t="shared" si="17"/>
        <v>2.9516504588412484E-2</v>
      </c>
      <c r="O192" s="29">
        <f t="shared" si="18"/>
        <v>8.5151167240720138E-3</v>
      </c>
      <c r="P192" s="30">
        <f t="shared" si="19"/>
        <v>2.1281112349413656E-2</v>
      </c>
      <c r="Z192" s="3"/>
      <c r="AA192" s="3"/>
      <c r="AB192" s="3"/>
      <c r="AC192" s="3"/>
      <c r="AD192" s="3"/>
      <c r="AE192" s="7"/>
    </row>
    <row r="193" spans="2:31" x14ac:dyDescent="0.15">
      <c r="B193" s="16">
        <v>41166</v>
      </c>
      <c r="C193" s="23">
        <v>11863</v>
      </c>
      <c r="D193" s="23">
        <v>10590</v>
      </c>
      <c r="E193" s="23">
        <v>13293</v>
      </c>
      <c r="F193" s="23">
        <v>15161</v>
      </c>
      <c r="G193" s="23">
        <v>10523</v>
      </c>
      <c r="H193" s="24">
        <v>19177</v>
      </c>
      <c r="I193" s="2">
        <f t="shared" si="20"/>
        <v>189</v>
      </c>
      <c r="J193" s="16">
        <v>41166</v>
      </c>
      <c r="K193" s="29">
        <f t="shared" si="14"/>
        <v>3.1834391580412236E-2</v>
      </c>
      <c r="L193" s="29">
        <f t="shared" si="15"/>
        <v>3.7785754770447433E-4</v>
      </c>
      <c r="M193" s="29">
        <f t="shared" si="16"/>
        <v>5.8262711864407457E-3</v>
      </c>
      <c r="N193" s="29">
        <f t="shared" si="17"/>
        <v>8.5146012106698254E-3</v>
      </c>
      <c r="O193" s="29">
        <f t="shared" si="18"/>
        <v>-1.7076178730670577E-3</v>
      </c>
      <c r="P193" s="30">
        <f t="shared" si="19"/>
        <v>-3.4816046559966729E-3</v>
      </c>
      <c r="Z193" s="3"/>
      <c r="AA193" s="3"/>
      <c r="AB193" s="3"/>
      <c r="AC193" s="3"/>
      <c r="AD193" s="3"/>
      <c r="AE193" s="7"/>
    </row>
    <row r="194" spans="2:31" x14ac:dyDescent="0.15">
      <c r="B194" s="16">
        <v>41173</v>
      </c>
      <c r="C194" s="23">
        <v>11804</v>
      </c>
      <c r="D194" s="23">
        <v>10588</v>
      </c>
      <c r="E194" s="23">
        <v>13388</v>
      </c>
      <c r="F194" s="23">
        <v>15339</v>
      </c>
      <c r="G194" s="23">
        <v>10610</v>
      </c>
      <c r="H194" s="24">
        <v>18980</v>
      </c>
      <c r="I194" s="2">
        <f t="shared" si="20"/>
        <v>190</v>
      </c>
      <c r="J194" s="16">
        <v>41173</v>
      </c>
      <c r="K194" s="29">
        <f t="shared" si="14"/>
        <v>-4.9734468515552077E-3</v>
      </c>
      <c r="L194" s="29">
        <f t="shared" si="15"/>
        <v>-1.8885741265339817E-4</v>
      </c>
      <c r="M194" s="29">
        <f t="shared" si="16"/>
        <v>7.1466185210260491E-3</v>
      </c>
      <c r="N194" s="29">
        <f t="shared" si="17"/>
        <v>1.1740650352879189E-2</v>
      </c>
      <c r="O194" s="29">
        <f t="shared" si="18"/>
        <v>8.2676042953531148E-3</v>
      </c>
      <c r="P194" s="30">
        <f t="shared" si="19"/>
        <v>-1.0272722532200018E-2</v>
      </c>
      <c r="Z194" s="3"/>
      <c r="AA194" s="3"/>
      <c r="AB194" s="3"/>
      <c r="AC194" s="3"/>
      <c r="AD194" s="3"/>
      <c r="AE194" s="7"/>
    </row>
    <row r="195" spans="2:31" x14ac:dyDescent="0.15">
      <c r="B195" s="16">
        <v>41180</v>
      </c>
      <c r="C195" s="23">
        <v>11582</v>
      </c>
      <c r="D195" s="23">
        <v>10606</v>
      </c>
      <c r="E195" s="23">
        <v>13838</v>
      </c>
      <c r="F195" s="23">
        <v>15037</v>
      </c>
      <c r="G195" s="23">
        <v>10526</v>
      </c>
      <c r="H195" s="24">
        <v>18679</v>
      </c>
      <c r="I195" s="2">
        <f t="shared" si="20"/>
        <v>191</v>
      </c>
      <c r="J195" s="16">
        <v>41180</v>
      </c>
      <c r="K195" s="29">
        <f t="shared" si="14"/>
        <v>-1.8807184005421917E-2</v>
      </c>
      <c r="L195" s="29">
        <f t="shared" si="15"/>
        <v>1.7000377786173804E-3</v>
      </c>
      <c r="M195" s="29">
        <f t="shared" si="16"/>
        <v>3.3612190020914312E-2</v>
      </c>
      <c r="N195" s="29">
        <f t="shared" si="17"/>
        <v>-1.9688376034943555E-2</v>
      </c>
      <c r="O195" s="29">
        <f t="shared" si="18"/>
        <v>-7.9170593779452902E-3</v>
      </c>
      <c r="P195" s="30">
        <f t="shared" si="19"/>
        <v>-1.5858798735511104E-2</v>
      </c>
      <c r="Z195" s="3"/>
      <c r="AA195" s="3"/>
      <c r="AB195" s="3"/>
      <c r="AC195" s="3"/>
      <c r="AD195" s="3"/>
      <c r="AE195" s="7"/>
    </row>
    <row r="196" spans="2:31" x14ac:dyDescent="0.15">
      <c r="B196" s="16">
        <v>41187</v>
      </c>
      <c r="C196" s="23">
        <v>11573</v>
      </c>
      <c r="D196" s="23">
        <v>10599</v>
      </c>
      <c r="E196" s="23">
        <v>13733</v>
      </c>
      <c r="F196" s="23">
        <v>15353</v>
      </c>
      <c r="G196" s="23">
        <v>10695</v>
      </c>
      <c r="H196" s="24">
        <v>18923</v>
      </c>
      <c r="I196" s="2">
        <f t="shared" si="20"/>
        <v>192</v>
      </c>
      <c r="J196" s="16">
        <v>41187</v>
      </c>
      <c r="K196" s="29">
        <f t="shared" si="14"/>
        <v>-7.7706786392672811E-4</v>
      </c>
      <c r="L196" s="29">
        <f t="shared" si="15"/>
        <v>-6.600037714501461E-4</v>
      </c>
      <c r="M196" s="29">
        <f t="shared" si="16"/>
        <v>-7.5878017054488156E-3</v>
      </c>
      <c r="N196" s="29">
        <f t="shared" si="17"/>
        <v>2.1014830085788416E-2</v>
      </c>
      <c r="O196" s="29">
        <f t="shared" si="18"/>
        <v>1.6055481664450033E-2</v>
      </c>
      <c r="P196" s="30">
        <f t="shared" si="19"/>
        <v>1.3062797794314518E-2</v>
      </c>
      <c r="Z196" s="3"/>
      <c r="AA196" s="3"/>
      <c r="AB196" s="3"/>
      <c r="AC196" s="3"/>
      <c r="AD196" s="3"/>
      <c r="AE196" s="7"/>
    </row>
    <row r="197" spans="2:31" x14ac:dyDescent="0.15">
      <c r="B197" s="16">
        <v>41194</v>
      </c>
      <c r="C197" s="23">
        <v>11145</v>
      </c>
      <c r="D197" s="23">
        <v>10605</v>
      </c>
      <c r="E197" s="23">
        <v>13832</v>
      </c>
      <c r="F197" s="23">
        <v>15126</v>
      </c>
      <c r="G197" s="23">
        <v>10655</v>
      </c>
      <c r="H197" s="24">
        <v>18949</v>
      </c>
      <c r="I197" s="2">
        <f t="shared" si="20"/>
        <v>193</v>
      </c>
      <c r="J197" s="16">
        <v>41194</v>
      </c>
      <c r="K197" s="29">
        <f t="shared" ref="K197:K260" si="21">C197/C196-1</f>
        <v>-3.6982631988248471E-2</v>
      </c>
      <c r="L197" s="29">
        <f t="shared" ref="L197:L260" si="22">D197/D196-1</f>
        <v>5.6609114067374122E-4</v>
      </c>
      <c r="M197" s="29">
        <f t="shared" ref="M197:M260" si="23">E197/E196-1</f>
        <v>7.2089128376902067E-3</v>
      </c>
      <c r="N197" s="29">
        <f t="shared" ref="N197:N260" si="24">F197/F196-1</f>
        <v>-1.4785383964046162E-2</v>
      </c>
      <c r="O197" s="29">
        <f t="shared" ref="O197:O260" si="25">G197/G196-1</f>
        <v>-3.7400654511453579E-3</v>
      </c>
      <c r="P197" s="30">
        <f t="shared" ref="P197:P260" si="26">H197/H196-1</f>
        <v>1.3739893251598634E-3</v>
      </c>
      <c r="Z197" s="3"/>
      <c r="AA197" s="3"/>
      <c r="AB197" s="3"/>
      <c r="AC197" s="3"/>
      <c r="AD197" s="3"/>
      <c r="AE197" s="7"/>
    </row>
    <row r="198" spans="2:31" x14ac:dyDescent="0.15">
      <c r="B198" s="16">
        <v>41201</v>
      </c>
      <c r="C198" s="23">
        <v>11745</v>
      </c>
      <c r="D198" s="23">
        <v>10594</v>
      </c>
      <c r="E198" s="23">
        <v>13973</v>
      </c>
      <c r="F198" s="23">
        <v>15619</v>
      </c>
      <c r="G198" s="23">
        <v>10796</v>
      </c>
      <c r="H198" s="24">
        <v>19467</v>
      </c>
      <c r="I198" s="2">
        <f t="shared" si="20"/>
        <v>194</v>
      </c>
      <c r="J198" s="16">
        <v>41201</v>
      </c>
      <c r="K198" s="29">
        <f t="shared" si="21"/>
        <v>5.3835800807537026E-2</v>
      </c>
      <c r="L198" s="29">
        <f t="shared" si="22"/>
        <v>-1.0372465818010435E-3</v>
      </c>
      <c r="M198" s="29">
        <f t="shared" si="23"/>
        <v>1.0193753614806234E-2</v>
      </c>
      <c r="N198" s="29">
        <f t="shared" si="24"/>
        <v>3.2592886420732547E-2</v>
      </c>
      <c r="O198" s="29">
        <f t="shared" si="25"/>
        <v>1.3233223838573505E-2</v>
      </c>
      <c r="P198" s="30">
        <f t="shared" si="26"/>
        <v>2.7336534909493837E-2</v>
      </c>
      <c r="Z198" s="3"/>
      <c r="AA198" s="3"/>
      <c r="AB198" s="3"/>
      <c r="AC198" s="3"/>
      <c r="AD198" s="3"/>
      <c r="AE198" s="7"/>
    </row>
    <row r="199" spans="2:31" x14ac:dyDescent="0.15">
      <c r="B199" s="16">
        <v>41208</v>
      </c>
      <c r="C199" s="23">
        <v>11654</v>
      </c>
      <c r="D199" s="23">
        <v>10604</v>
      </c>
      <c r="E199" s="23">
        <v>14253</v>
      </c>
      <c r="F199" s="23">
        <v>15338</v>
      </c>
      <c r="G199" s="23">
        <v>10851</v>
      </c>
      <c r="H199" s="24">
        <v>19368</v>
      </c>
      <c r="I199" s="2">
        <f t="shared" ref="I199:I262" si="27">I198+1</f>
        <v>195</v>
      </c>
      <c r="J199" s="16">
        <v>41208</v>
      </c>
      <c r="K199" s="29">
        <f t="shared" si="21"/>
        <v>-7.7479778629203633E-3</v>
      </c>
      <c r="L199" s="29">
        <f t="shared" si="22"/>
        <v>9.439305267131548E-4</v>
      </c>
      <c r="M199" s="29">
        <f t="shared" si="23"/>
        <v>2.0038645960065882E-2</v>
      </c>
      <c r="N199" s="29">
        <f t="shared" si="24"/>
        <v>-1.799090850886742E-2</v>
      </c>
      <c r="O199" s="29">
        <f t="shared" si="25"/>
        <v>5.0944794368283919E-3</v>
      </c>
      <c r="P199" s="30">
        <f t="shared" si="26"/>
        <v>-5.0855293573740523E-3</v>
      </c>
      <c r="Z199" s="3"/>
      <c r="AA199" s="3"/>
      <c r="AB199" s="3"/>
      <c r="AC199" s="3"/>
      <c r="AD199" s="3"/>
      <c r="AE199" s="7"/>
    </row>
    <row r="200" spans="2:31" x14ac:dyDescent="0.15">
      <c r="B200" s="16">
        <v>41215</v>
      </c>
      <c r="C200" s="23">
        <v>11808</v>
      </c>
      <c r="D200" s="23">
        <v>10595</v>
      </c>
      <c r="E200" s="23">
        <v>14456</v>
      </c>
      <c r="F200" s="23">
        <v>15500</v>
      </c>
      <c r="G200" s="23">
        <v>10899</v>
      </c>
      <c r="H200" s="24">
        <v>19478</v>
      </c>
      <c r="I200" s="2">
        <f t="shared" si="27"/>
        <v>196</v>
      </c>
      <c r="J200" s="16">
        <v>41215</v>
      </c>
      <c r="K200" s="29">
        <f t="shared" si="21"/>
        <v>1.3214347005320093E-2</v>
      </c>
      <c r="L200" s="29">
        <f t="shared" si="22"/>
        <v>-8.4873632591475623E-4</v>
      </c>
      <c r="M200" s="29">
        <f t="shared" si="23"/>
        <v>1.4242615589700414E-2</v>
      </c>
      <c r="N200" s="29">
        <f t="shared" si="24"/>
        <v>1.0562002868692133E-2</v>
      </c>
      <c r="O200" s="29">
        <f t="shared" si="25"/>
        <v>4.4235554326790272E-3</v>
      </c>
      <c r="P200" s="30">
        <f t="shared" si="26"/>
        <v>5.6794712928542879E-3</v>
      </c>
      <c r="Z200" s="3"/>
      <c r="AA200" s="3"/>
      <c r="AB200" s="3"/>
      <c r="AC200" s="3"/>
      <c r="AD200" s="3"/>
      <c r="AE200" s="7"/>
    </row>
    <row r="201" spans="2:31" x14ac:dyDescent="0.15">
      <c r="B201" s="16">
        <v>41222</v>
      </c>
      <c r="C201" s="23">
        <v>11422</v>
      </c>
      <c r="D201" s="23">
        <v>10618</v>
      </c>
      <c r="E201" s="23">
        <v>14112</v>
      </c>
      <c r="F201" s="23">
        <v>14912</v>
      </c>
      <c r="G201" s="23">
        <v>10759</v>
      </c>
      <c r="H201" s="24">
        <v>19038</v>
      </c>
      <c r="I201" s="2">
        <f t="shared" si="27"/>
        <v>197</v>
      </c>
      <c r="J201" s="16">
        <v>41222</v>
      </c>
      <c r="K201" s="29">
        <f t="shared" si="21"/>
        <v>-3.2689701897018919E-2</v>
      </c>
      <c r="L201" s="29">
        <f t="shared" si="22"/>
        <v>2.17083529966966E-3</v>
      </c>
      <c r="M201" s="29">
        <f t="shared" si="23"/>
        <v>-2.3796347537354712E-2</v>
      </c>
      <c r="N201" s="29">
        <f t="shared" si="24"/>
        <v>-3.793548387096779E-2</v>
      </c>
      <c r="O201" s="29">
        <f t="shared" si="25"/>
        <v>-1.2845215157353929E-2</v>
      </c>
      <c r="P201" s="30">
        <f t="shared" si="26"/>
        <v>-2.2589588253414061E-2</v>
      </c>
      <c r="Z201" s="3"/>
      <c r="AA201" s="3"/>
      <c r="AB201" s="3"/>
      <c r="AC201" s="3"/>
      <c r="AD201" s="3"/>
      <c r="AE201" s="7"/>
    </row>
    <row r="202" spans="2:31" x14ac:dyDescent="0.15">
      <c r="B202" s="16">
        <v>41229</v>
      </c>
      <c r="C202" s="23">
        <v>11764</v>
      </c>
      <c r="D202" s="23">
        <v>10612</v>
      </c>
      <c r="E202" s="23">
        <v>14292</v>
      </c>
      <c r="F202" s="23">
        <v>14947</v>
      </c>
      <c r="G202" s="23">
        <v>11003</v>
      </c>
      <c r="H202" s="24">
        <v>18975</v>
      </c>
      <c r="I202" s="2">
        <f t="shared" si="27"/>
        <v>198</v>
      </c>
      <c r="J202" s="16">
        <v>41229</v>
      </c>
      <c r="K202" s="29">
        <f t="shared" si="21"/>
        <v>2.994221677464548E-2</v>
      </c>
      <c r="L202" s="29">
        <f t="shared" si="22"/>
        <v>-5.650781691467488E-4</v>
      </c>
      <c r="M202" s="29">
        <f t="shared" si="23"/>
        <v>1.2755102040816313E-2</v>
      </c>
      <c r="N202" s="29">
        <f t="shared" si="24"/>
        <v>2.3471030042918617E-3</v>
      </c>
      <c r="O202" s="29">
        <f t="shared" si="25"/>
        <v>2.2678687610372616E-2</v>
      </c>
      <c r="P202" s="30">
        <f t="shared" si="26"/>
        <v>-3.3091711314213734E-3</v>
      </c>
      <c r="Z202" s="3"/>
      <c r="AA202" s="3"/>
      <c r="AB202" s="3"/>
      <c r="AC202" s="3"/>
      <c r="AD202" s="3"/>
      <c r="AE202" s="7"/>
    </row>
    <row r="203" spans="2:31" x14ac:dyDescent="0.15">
      <c r="B203" s="16">
        <v>41236</v>
      </c>
      <c r="C203" s="23">
        <v>12212</v>
      </c>
      <c r="D203" s="23">
        <v>10606</v>
      </c>
      <c r="E203" s="23">
        <v>14477</v>
      </c>
      <c r="F203" s="23">
        <v>15573</v>
      </c>
      <c r="G203" s="23">
        <v>11178</v>
      </c>
      <c r="H203" s="24">
        <v>19625</v>
      </c>
      <c r="I203" s="2">
        <f t="shared" si="27"/>
        <v>199</v>
      </c>
      <c r="J203" s="16">
        <v>41236</v>
      </c>
      <c r="K203" s="29">
        <f t="shared" si="21"/>
        <v>3.8082284937096311E-2</v>
      </c>
      <c r="L203" s="29">
        <f t="shared" si="22"/>
        <v>-5.6539766302299288E-4</v>
      </c>
      <c r="M203" s="29">
        <f t="shared" si="23"/>
        <v>1.2944304506017357E-2</v>
      </c>
      <c r="N203" s="29">
        <f t="shared" si="24"/>
        <v>4.1881313976048773E-2</v>
      </c>
      <c r="O203" s="29">
        <f t="shared" si="25"/>
        <v>1.590475324911389E-2</v>
      </c>
      <c r="P203" s="30">
        <f t="shared" si="26"/>
        <v>3.4255599472990728E-2</v>
      </c>
      <c r="Z203" s="3"/>
      <c r="AA203" s="3"/>
      <c r="AB203" s="3"/>
      <c r="AC203" s="3"/>
      <c r="AD203" s="3"/>
      <c r="AE203" s="7"/>
    </row>
    <row r="204" spans="2:31" x14ac:dyDescent="0.15">
      <c r="B204" s="16">
        <v>41243</v>
      </c>
      <c r="C204" s="23">
        <v>12314</v>
      </c>
      <c r="D204" s="23">
        <v>10621</v>
      </c>
      <c r="E204" s="23">
        <v>14507</v>
      </c>
      <c r="F204" s="23">
        <v>15875</v>
      </c>
      <c r="G204" s="23">
        <v>11253</v>
      </c>
      <c r="H204" s="24">
        <v>19810</v>
      </c>
      <c r="I204" s="2">
        <f t="shared" si="27"/>
        <v>200</v>
      </c>
      <c r="J204" s="16">
        <v>41243</v>
      </c>
      <c r="K204" s="29">
        <f t="shared" si="21"/>
        <v>8.3524402227317385E-3</v>
      </c>
      <c r="L204" s="29">
        <f t="shared" si="22"/>
        <v>1.4142937959644719E-3</v>
      </c>
      <c r="M204" s="29">
        <f t="shared" si="23"/>
        <v>2.0722525385092894E-3</v>
      </c>
      <c r="N204" s="29">
        <f t="shared" si="24"/>
        <v>1.9392538367687617E-2</v>
      </c>
      <c r="O204" s="29">
        <f t="shared" si="25"/>
        <v>6.709608158883551E-3</v>
      </c>
      <c r="P204" s="30">
        <f t="shared" si="26"/>
        <v>9.4267515923567302E-3</v>
      </c>
      <c r="Z204" s="3"/>
      <c r="AA204" s="3"/>
      <c r="AB204" s="3"/>
      <c r="AC204" s="3"/>
      <c r="AD204" s="3"/>
      <c r="AE204" s="7"/>
    </row>
    <row r="205" spans="2:31" x14ac:dyDescent="0.15">
      <c r="B205" s="16">
        <v>41250</v>
      </c>
      <c r="C205" s="23">
        <v>12423</v>
      </c>
      <c r="D205" s="23">
        <v>10641</v>
      </c>
      <c r="E205" s="23">
        <v>14482</v>
      </c>
      <c r="F205" s="23">
        <v>15988</v>
      </c>
      <c r="G205" s="23">
        <v>11320</v>
      </c>
      <c r="H205" s="24">
        <v>20069</v>
      </c>
      <c r="I205" s="2">
        <f t="shared" si="27"/>
        <v>201</v>
      </c>
      <c r="J205" s="16">
        <v>41250</v>
      </c>
      <c r="K205" s="29">
        <f t="shared" si="21"/>
        <v>8.8517134968328914E-3</v>
      </c>
      <c r="L205" s="29">
        <f t="shared" si="22"/>
        <v>1.8830618585821135E-3</v>
      </c>
      <c r="M205" s="29">
        <f t="shared" si="23"/>
        <v>-1.7233059902116432E-3</v>
      </c>
      <c r="N205" s="29">
        <f t="shared" si="24"/>
        <v>7.1181102362205539E-3</v>
      </c>
      <c r="O205" s="29">
        <f t="shared" si="25"/>
        <v>5.9539678308007105E-3</v>
      </c>
      <c r="P205" s="30">
        <f t="shared" si="26"/>
        <v>1.3074204946996515E-2</v>
      </c>
      <c r="Z205" s="3"/>
      <c r="AA205" s="3"/>
      <c r="AB205" s="3"/>
      <c r="AC205" s="3"/>
      <c r="AD205" s="3"/>
      <c r="AE205" s="7"/>
    </row>
    <row r="206" spans="2:31" x14ac:dyDescent="0.15">
      <c r="B206" s="16">
        <v>41257</v>
      </c>
      <c r="C206" s="23">
        <v>12696</v>
      </c>
      <c r="D206" s="23">
        <v>10617</v>
      </c>
      <c r="E206" s="23">
        <v>14477</v>
      </c>
      <c r="F206" s="23">
        <v>16344</v>
      </c>
      <c r="G206" s="23">
        <v>11501</v>
      </c>
      <c r="H206" s="24">
        <v>20376</v>
      </c>
      <c r="I206" s="2">
        <f t="shared" si="27"/>
        <v>202</v>
      </c>
      <c r="J206" s="16">
        <v>41257</v>
      </c>
      <c r="K206" s="29">
        <f t="shared" si="21"/>
        <v>2.197536826853419E-2</v>
      </c>
      <c r="L206" s="29">
        <f t="shared" si="22"/>
        <v>-2.2554271215111665E-3</v>
      </c>
      <c r="M206" s="29">
        <f t="shared" si="23"/>
        <v>-3.4525618008562908E-4</v>
      </c>
      <c r="N206" s="29">
        <f t="shared" si="24"/>
        <v>2.2266700025018737E-2</v>
      </c>
      <c r="O206" s="29">
        <f t="shared" si="25"/>
        <v>1.5989399293286244E-2</v>
      </c>
      <c r="P206" s="30">
        <f t="shared" si="26"/>
        <v>1.5297224575215429E-2</v>
      </c>
      <c r="Z206" s="3"/>
      <c r="AA206" s="3"/>
      <c r="AB206" s="3"/>
      <c r="AC206" s="3"/>
      <c r="AD206" s="3"/>
      <c r="AE206" s="7"/>
    </row>
    <row r="207" spans="2:31" x14ac:dyDescent="0.15">
      <c r="B207" s="16">
        <v>41264</v>
      </c>
      <c r="C207" s="23">
        <v>12960</v>
      </c>
      <c r="D207" s="23">
        <v>10611</v>
      </c>
      <c r="E207" s="23">
        <v>15100</v>
      </c>
      <c r="F207" s="23">
        <v>16760</v>
      </c>
      <c r="G207" s="23">
        <v>11667</v>
      </c>
      <c r="H207" s="24">
        <v>21037</v>
      </c>
      <c r="I207" s="2">
        <f t="shared" si="27"/>
        <v>203</v>
      </c>
      <c r="J207" s="16">
        <v>41264</v>
      </c>
      <c r="K207" s="29">
        <f t="shared" si="21"/>
        <v>2.0793950850661602E-2</v>
      </c>
      <c r="L207" s="29">
        <f t="shared" si="22"/>
        <v>-5.6513139304892324E-4</v>
      </c>
      <c r="M207" s="29">
        <f t="shared" si="23"/>
        <v>4.3033777716377619E-2</v>
      </c>
      <c r="N207" s="29">
        <f t="shared" si="24"/>
        <v>2.5452765540871169E-2</v>
      </c>
      <c r="O207" s="29">
        <f t="shared" si="25"/>
        <v>1.4433527519346123E-2</v>
      </c>
      <c r="P207" s="30">
        <f t="shared" si="26"/>
        <v>3.2440125638005579E-2</v>
      </c>
      <c r="Z207" s="3"/>
      <c r="AA207" s="3"/>
      <c r="AB207" s="3"/>
      <c r="AC207" s="3"/>
      <c r="AD207" s="3"/>
      <c r="AE207" s="7"/>
    </row>
    <row r="208" spans="2:31" x14ac:dyDescent="0.15">
      <c r="B208" s="16">
        <v>41271</v>
      </c>
      <c r="C208" s="23">
        <v>13563</v>
      </c>
      <c r="D208" s="23">
        <v>10583</v>
      </c>
      <c r="E208" s="23">
        <v>15271</v>
      </c>
      <c r="F208" s="23">
        <v>16985</v>
      </c>
      <c r="G208" s="23">
        <v>11997</v>
      </c>
      <c r="H208" s="24">
        <v>21511</v>
      </c>
      <c r="I208" s="2">
        <f t="shared" si="27"/>
        <v>204</v>
      </c>
      <c r="J208" s="16">
        <v>41271</v>
      </c>
      <c r="K208" s="29">
        <f t="shared" si="21"/>
        <v>4.6527777777777724E-2</v>
      </c>
      <c r="L208" s="29">
        <f t="shared" si="22"/>
        <v>-2.6387710866082603E-3</v>
      </c>
      <c r="M208" s="29">
        <f t="shared" si="23"/>
        <v>1.1324503311258338E-2</v>
      </c>
      <c r="N208" s="29">
        <f t="shared" si="24"/>
        <v>1.3424821002386622E-2</v>
      </c>
      <c r="O208" s="29">
        <f t="shared" si="25"/>
        <v>2.8284906145538802E-2</v>
      </c>
      <c r="P208" s="30">
        <f t="shared" si="26"/>
        <v>2.2531729809383449E-2</v>
      </c>
      <c r="Z208" s="3"/>
      <c r="AA208" s="3"/>
      <c r="AB208" s="3"/>
      <c r="AC208" s="3"/>
      <c r="AD208" s="3"/>
      <c r="AE208" s="7"/>
    </row>
    <row r="209" spans="2:31" x14ac:dyDescent="0.15">
      <c r="B209" s="16">
        <v>41278</v>
      </c>
      <c r="C209" s="23">
        <v>13943</v>
      </c>
      <c r="D209" s="23">
        <v>10568</v>
      </c>
      <c r="E209" s="23">
        <v>15628</v>
      </c>
      <c r="F209" s="23">
        <v>17558</v>
      </c>
      <c r="G209" s="23">
        <v>11992</v>
      </c>
      <c r="H209" s="24">
        <v>21991</v>
      </c>
      <c r="I209" s="2">
        <f t="shared" si="27"/>
        <v>205</v>
      </c>
      <c r="J209" s="16">
        <v>41278</v>
      </c>
      <c r="K209" s="29">
        <f t="shared" si="21"/>
        <v>2.8017400280174076E-2</v>
      </c>
      <c r="L209" s="29">
        <f t="shared" si="22"/>
        <v>-1.4173674761409627E-3</v>
      </c>
      <c r="M209" s="29">
        <f t="shared" si="23"/>
        <v>2.3377643900202916E-2</v>
      </c>
      <c r="N209" s="29">
        <f t="shared" si="24"/>
        <v>3.373564910214899E-2</v>
      </c>
      <c r="O209" s="29">
        <f t="shared" si="25"/>
        <v>-4.1677085938152114E-4</v>
      </c>
      <c r="P209" s="30">
        <f t="shared" si="26"/>
        <v>2.2314164845892881E-2</v>
      </c>
      <c r="Z209" s="3"/>
      <c r="AA209" s="3"/>
      <c r="AB209" s="3"/>
      <c r="AC209" s="3"/>
      <c r="AD209" s="3"/>
      <c r="AE209" s="7"/>
    </row>
    <row r="210" spans="2:31" x14ac:dyDescent="0.15">
      <c r="B210" s="16">
        <v>41285</v>
      </c>
      <c r="C210" s="23">
        <v>14097</v>
      </c>
      <c r="D210" s="23">
        <v>10580</v>
      </c>
      <c r="E210" s="23">
        <v>15652</v>
      </c>
      <c r="F210" s="23">
        <v>18104</v>
      </c>
      <c r="G210" s="23">
        <v>12320</v>
      </c>
      <c r="H210" s="24">
        <v>22567</v>
      </c>
      <c r="I210" s="2">
        <f t="shared" si="27"/>
        <v>206</v>
      </c>
      <c r="J210" s="16">
        <v>41285</v>
      </c>
      <c r="K210" s="29">
        <f t="shared" si="21"/>
        <v>1.104496880154926E-2</v>
      </c>
      <c r="L210" s="29">
        <f t="shared" si="22"/>
        <v>1.135503406510141E-3</v>
      </c>
      <c r="M210" s="29">
        <f t="shared" si="23"/>
        <v>1.5357051446123204E-3</v>
      </c>
      <c r="N210" s="29">
        <f t="shared" si="24"/>
        <v>3.1096935869689091E-2</v>
      </c>
      <c r="O210" s="29">
        <f t="shared" si="25"/>
        <v>2.7351567711807911E-2</v>
      </c>
      <c r="P210" s="30">
        <f t="shared" si="26"/>
        <v>2.619253330908089E-2</v>
      </c>
      <c r="Z210" s="3"/>
      <c r="AA210" s="3"/>
      <c r="AB210" s="3"/>
      <c r="AC210" s="3"/>
      <c r="AD210" s="3"/>
      <c r="AE210" s="7"/>
    </row>
    <row r="211" spans="2:31" x14ac:dyDescent="0.15">
      <c r="B211" s="16">
        <v>41292</v>
      </c>
      <c r="C211" s="23">
        <v>14236</v>
      </c>
      <c r="D211" s="23">
        <v>10606</v>
      </c>
      <c r="E211" s="23">
        <v>15697</v>
      </c>
      <c r="F211" s="23">
        <v>18367</v>
      </c>
      <c r="G211" s="23">
        <v>12448</v>
      </c>
      <c r="H211" s="24">
        <v>22898</v>
      </c>
      <c r="I211" s="2">
        <f t="shared" si="27"/>
        <v>207</v>
      </c>
      <c r="J211" s="16">
        <v>41292</v>
      </c>
      <c r="K211" s="29">
        <f t="shared" si="21"/>
        <v>9.8602539547421042E-3</v>
      </c>
      <c r="L211" s="29">
        <f t="shared" si="22"/>
        <v>2.4574669187145126E-3</v>
      </c>
      <c r="M211" s="29">
        <f t="shared" si="23"/>
        <v>2.8750319447994332E-3</v>
      </c>
      <c r="N211" s="29">
        <f t="shared" si="24"/>
        <v>1.4527176314626633E-2</v>
      </c>
      <c r="O211" s="29">
        <f t="shared" si="25"/>
        <v>1.0389610389610393E-2</v>
      </c>
      <c r="P211" s="30">
        <f t="shared" si="26"/>
        <v>1.4667434749855879E-2</v>
      </c>
      <c r="Z211" s="3"/>
      <c r="AA211" s="3"/>
      <c r="AB211" s="3"/>
      <c r="AC211" s="3"/>
      <c r="AD211" s="3"/>
      <c r="AE211" s="7"/>
    </row>
    <row r="212" spans="2:31" x14ac:dyDescent="0.15">
      <c r="B212" s="16">
        <v>41299</v>
      </c>
      <c r="C212" s="23">
        <v>14250</v>
      </c>
      <c r="D212" s="23">
        <v>10618</v>
      </c>
      <c r="E212" s="23">
        <v>15916</v>
      </c>
      <c r="F212" s="23">
        <v>18631</v>
      </c>
      <c r="G212" s="23">
        <v>12524</v>
      </c>
      <c r="H212" s="24">
        <v>23167</v>
      </c>
      <c r="I212" s="2">
        <f t="shared" si="27"/>
        <v>208</v>
      </c>
      <c r="J212" s="16">
        <v>41299</v>
      </c>
      <c r="K212" s="29">
        <f t="shared" si="21"/>
        <v>9.8342230963743837E-4</v>
      </c>
      <c r="L212" s="29">
        <f t="shared" si="22"/>
        <v>1.1314350367717108E-3</v>
      </c>
      <c r="M212" s="29">
        <f t="shared" si="23"/>
        <v>1.3951710517933424E-2</v>
      </c>
      <c r="N212" s="29">
        <f t="shared" si="24"/>
        <v>1.4373604834758025E-2</v>
      </c>
      <c r="O212" s="29">
        <f t="shared" si="25"/>
        <v>6.1053984575836218E-3</v>
      </c>
      <c r="P212" s="30">
        <f t="shared" si="26"/>
        <v>1.17477508952748E-2</v>
      </c>
      <c r="Z212" s="3"/>
      <c r="AA212" s="3"/>
      <c r="AB212" s="3"/>
      <c r="AC212" s="3"/>
      <c r="AD212" s="3"/>
      <c r="AE212" s="7"/>
    </row>
    <row r="213" spans="2:31" x14ac:dyDescent="0.15">
      <c r="B213" s="16">
        <v>41306</v>
      </c>
      <c r="C213" s="23">
        <v>14590</v>
      </c>
      <c r="D213" s="23">
        <v>10604</v>
      </c>
      <c r="E213" s="23">
        <v>17041</v>
      </c>
      <c r="F213" s="23">
        <v>18973</v>
      </c>
      <c r="G213" s="23">
        <v>12737</v>
      </c>
      <c r="H213" s="24">
        <v>23543</v>
      </c>
      <c r="I213" s="2">
        <f t="shared" si="27"/>
        <v>209</v>
      </c>
      <c r="J213" s="16">
        <v>41306</v>
      </c>
      <c r="K213" s="29">
        <f t="shared" si="21"/>
        <v>2.3859649122806914E-2</v>
      </c>
      <c r="L213" s="29">
        <f t="shared" si="22"/>
        <v>-1.3185157280090065E-3</v>
      </c>
      <c r="M213" s="29">
        <f t="shared" si="23"/>
        <v>7.0683588841417455E-2</v>
      </c>
      <c r="N213" s="29">
        <f t="shared" si="24"/>
        <v>1.8356502603188218E-2</v>
      </c>
      <c r="O213" s="29">
        <f t="shared" si="25"/>
        <v>1.7007345895879933E-2</v>
      </c>
      <c r="P213" s="30">
        <f t="shared" si="26"/>
        <v>1.6229982302413015E-2</v>
      </c>
      <c r="Z213" s="3"/>
      <c r="AA213" s="3"/>
      <c r="AB213" s="3"/>
      <c r="AC213" s="3"/>
      <c r="AD213" s="3"/>
      <c r="AE213" s="7"/>
    </row>
    <row r="214" spans="2:31" x14ac:dyDescent="0.15">
      <c r="B214" s="16">
        <v>41313</v>
      </c>
      <c r="C214" s="23">
        <v>14540</v>
      </c>
      <c r="D214" s="23">
        <v>10609</v>
      </c>
      <c r="E214" s="23">
        <v>17020</v>
      </c>
      <c r="F214" s="23">
        <v>19291</v>
      </c>
      <c r="G214" s="23">
        <v>12893</v>
      </c>
      <c r="H214" s="24">
        <v>23952</v>
      </c>
      <c r="I214" s="2">
        <f t="shared" si="27"/>
        <v>210</v>
      </c>
      <c r="J214" s="16">
        <v>41313</v>
      </c>
      <c r="K214" s="29">
        <f t="shared" si="21"/>
        <v>-3.4270047978066653E-3</v>
      </c>
      <c r="L214" s="29">
        <f t="shared" si="22"/>
        <v>4.7152018106366711E-4</v>
      </c>
      <c r="M214" s="29">
        <f t="shared" si="23"/>
        <v>-1.2323220468282159E-3</v>
      </c>
      <c r="N214" s="29">
        <f t="shared" si="24"/>
        <v>1.6760659885099782E-2</v>
      </c>
      <c r="O214" s="29">
        <f t="shared" si="25"/>
        <v>1.2247782052288603E-2</v>
      </c>
      <c r="P214" s="30">
        <f t="shared" si="26"/>
        <v>1.7372467400076363E-2</v>
      </c>
      <c r="Z214" s="3"/>
      <c r="AA214" s="3"/>
      <c r="AB214" s="3"/>
      <c r="AC214" s="3"/>
      <c r="AD214" s="3"/>
      <c r="AE214" s="7"/>
    </row>
    <row r="215" spans="2:31" x14ac:dyDescent="0.15">
      <c r="B215" s="16">
        <v>41320</v>
      </c>
      <c r="C215" s="23">
        <v>14560</v>
      </c>
      <c r="D215" s="23">
        <v>10623</v>
      </c>
      <c r="E215" s="23">
        <v>16855</v>
      </c>
      <c r="F215" s="23">
        <v>19310</v>
      </c>
      <c r="G215" s="23">
        <v>12763</v>
      </c>
      <c r="H215" s="24">
        <v>24032</v>
      </c>
      <c r="I215" s="2">
        <f t="shared" si="27"/>
        <v>211</v>
      </c>
      <c r="J215" s="16">
        <v>41320</v>
      </c>
      <c r="K215" s="29">
        <f t="shared" si="21"/>
        <v>1.3755158184318717E-3</v>
      </c>
      <c r="L215" s="29">
        <f t="shared" si="22"/>
        <v>1.3196342727872512E-3</v>
      </c>
      <c r="M215" s="29">
        <f t="shared" si="23"/>
        <v>-9.6944770857814166E-3</v>
      </c>
      <c r="N215" s="29">
        <f t="shared" si="24"/>
        <v>9.8491524545130105E-4</v>
      </c>
      <c r="O215" s="29">
        <f t="shared" si="25"/>
        <v>-1.0082990770185374E-2</v>
      </c>
      <c r="P215" s="30">
        <f t="shared" si="26"/>
        <v>3.3400133600534065E-3</v>
      </c>
      <c r="Z215" s="3"/>
      <c r="AA215" s="3"/>
      <c r="AB215" s="3"/>
      <c r="AC215" s="3"/>
      <c r="AD215" s="3"/>
      <c r="AE215" s="7"/>
    </row>
    <row r="216" spans="2:31" x14ac:dyDescent="0.15">
      <c r="B216" s="16">
        <v>41327</v>
      </c>
      <c r="C216" s="23">
        <v>14839</v>
      </c>
      <c r="D216" s="23">
        <v>10636</v>
      </c>
      <c r="E216" s="23">
        <v>17440</v>
      </c>
      <c r="F216" s="23">
        <v>19081</v>
      </c>
      <c r="G216" s="23">
        <v>12726</v>
      </c>
      <c r="H216" s="24">
        <v>24016</v>
      </c>
      <c r="I216" s="2">
        <f t="shared" si="27"/>
        <v>212</v>
      </c>
      <c r="J216" s="16">
        <v>41327</v>
      </c>
      <c r="K216" s="29">
        <f t="shared" si="21"/>
        <v>1.9162087912087955E-2</v>
      </c>
      <c r="L216" s="29">
        <f t="shared" si="22"/>
        <v>1.2237597665443189E-3</v>
      </c>
      <c r="M216" s="29">
        <f t="shared" si="23"/>
        <v>3.4707801839216845E-2</v>
      </c>
      <c r="N216" s="29">
        <f t="shared" si="24"/>
        <v>-1.1859140341791807E-2</v>
      </c>
      <c r="O216" s="29">
        <f t="shared" si="25"/>
        <v>-2.8990049361435899E-3</v>
      </c>
      <c r="P216" s="30">
        <f t="shared" si="26"/>
        <v>-6.6577896138486636E-4</v>
      </c>
      <c r="Z216" s="3"/>
      <c r="AA216" s="3"/>
      <c r="AB216" s="3"/>
      <c r="AC216" s="3"/>
      <c r="AD216" s="3"/>
      <c r="AE216" s="7"/>
    </row>
    <row r="217" spans="2:31" x14ac:dyDescent="0.15">
      <c r="B217" s="16">
        <v>41334</v>
      </c>
      <c r="C217" s="23">
        <v>15116</v>
      </c>
      <c r="D217" s="23">
        <v>10702</v>
      </c>
      <c r="E217" s="23">
        <v>18663</v>
      </c>
      <c r="F217" s="23">
        <v>19119</v>
      </c>
      <c r="G217" s="23">
        <v>12626</v>
      </c>
      <c r="H217" s="24">
        <v>24054</v>
      </c>
      <c r="I217" s="2">
        <f t="shared" si="27"/>
        <v>213</v>
      </c>
      <c r="J217" s="16">
        <v>41334</v>
      </c>
      <c r="K217" s="29">
        <f t="shared" si="21"/>
        <v>1.8667026079924431E-2</v>
      </c>
      <c r="L217" s="29">
        <f t="shared" si="22"/>
        <v>6.2053403535162754E-3</v>
      </c>
      <c r="M217" s="29">
        <f t="shared" si="23"/>
        <v>7.0126146788990873E-2</v>
      </c>
      <c r="N217" s="29">
        <f t="shared" si="24"/>
        <v>1.9915098789371477E-3</v>
      </c>
      <c r="O217" s="29">
        <f t="shared" si="25"/>
        <v>-7.8579286500078949E-3</v>
      </c>
      <c r="P217" s="30">
        <f t="shared" si="26"/>
        <v>1.5822784810126667E-3</v>
      </c>
      <c r="Z217" s="3"/>
      <c r="AA217" s="3"/>
      <c r="AB217" s="3"/>
      <c r="AC217" s="3"/>
      <c r="AD217" s="3"/>
      <c r="AE217" s="7"/>
    </row>
    <row r="218" spans="2:31" x14ac:dyDescent="0.15">
      <c r="B218" s="16">
        <v>41341</v>
      </c>
      <c r="C218" s="23">
        <v>16003</v>
      </c>
      <c r="D218" s="23">
        <v>10709</v>
      </c>
      <c r="E218" s="23">
        <v>18837</v>
      </c>
      <c r="F218" s="23">
        <v>19908</v>
      </c>
      <c r="G218" s="23">
        <v>12931</v>
      </c>
      <c r="H218" s="24">
        <v>24851</v>
      </c>
      <c r="I218" s="2">
        <f t="shared" si="27"/>
        <v>214</v>
      </c>
      <c r="J218" s="16">
        <v>41341</v>
      </c>
      <c r="K218" s="29">
        <f t="shared" si="21"/>
        <v>5.8679544853135646E-2</v>
      </c>
      <c r="L218" s="29">
        <f t="shared" si="22"/>
        <v>6.5408334890681985E-4</v>
      </c>
      <c r="M218" s="29">
        <f t="shared" si="23"/>
        <v>9.3232599260568705E-3</v>
      </c>
      <c r="N218" s="29">
        <f t="shared" si="24"/>
        <v>4.1267848736858515E-2</v>
      </c>
      <c r="O218" s="29">
        <f t="shared" si="25"/>
        <v>2.4156502455251028E-2</v>
      </c>
      <c r="P218" s="30">
        <f t="shared" si="26"/>
        <v>3.3133782323106376E-2</v>
      </c>
      <c r="Z218" s="3"/>
      <c r="AA218" s="3"/>
      <c r="AB218" s="3"/>
      <c r="AC218" s="3"/>
      <c r="AD218" s="3"/>
      <c r="AE218" s="7"/>
    </row>
    <row r="219" spans="2:31" x14ac:dyDescent="0.15">
      <c r="B219" s="16">
        <v>41348</v>
      </c>
      <c r="C219" s="23">
        <v>16359</v>
      </c>
      <c r="D219" s="23">
        <v>10723</v>
      </c>
      <c r="E219" s="23">
        <v>21125</v>
      </c>
      <c r="F219" s="23">
        <v>20384</v>
      </c>
      <c r="G219" s="23">
        <v>13057</v>
      </c>
      <c r="H219" s="24">
        <v>25425</v>
      </c>
      <c r="I219" s="2">
        <f t="shared" si="27"/>
        <v>215</v>
      </c>
      <c r="J219" s="16">
        <v>41348</v>
      </c>
      <c r="K219" s="29">
        <f t="shared" si="21"/>
        <v>2.2245828907079934E-2</v>
      </c>
      <c r="L219" s="29">
        <f t="shared" si="22"/>
        <v>1.3073116070594359E-3</v>
      </c>
      <c r="M219" s="29">
        <f t="shared" si="23"/>
        <v>0.12146307798481715</v>
      </c>
      <c r="N219" s="29">
        <f t="shared" si="24"/>
        <v>2.3909985935302469E-2</v>
      </c>
      <c r="O219" s="29">
        <f t="shared" si="25"/>
        <v>9.7440259840693155E-3</v>
      </c>
      <c r="P219" s="30">
        <f t="shared" si="26"/>
        <v>2.3097662065912905E-2</v>
      </c>
      <c r="Z219" s="3"/>
      <c r="AA219" s="3"/>
      <c r="AB219" s="3"/>
      <c r="AC219" s="3"/>
      <c r="AD219" s="3"/>
      <c r="AE219" s="7"/>
    </row>
    <row r="220" spans="2:31" x14ac:dyDescent="0.15">
      <c r="B220" s="16">
        <v>41355</v>
      </c>
      <c r="C220" s="23">
        <v>16074</v>
      </c>
      <c r="D220" s="23">
        <v>10778</v>
      </c>
      <c r="E220" s="23">
        <v>21573</v>
      </c>
      <c r="F220" s="23">
        <v>19879</v>
      </c>
      <c r="G220" s="23">
        <v>12935</v>
      </c>
      <c r="H220" s="24">
        <v>25005</v>
      </c>
      <c r="I220" s="2">
        <f t="shared" si="27"/>
        <v>216</v>
      </c>
      <c r="J220" s="16">
        <v>41355</v>
      </c>
      <c r="K220" s="29">
        <f t="shared" si="21"/>
        <v>-1.7421602787456414E-2</v>
      </c>
      <c r="L220" s="29">
        <f t="shared" si="22"/>
        <v>5.1291616152195907E-3</v>
      </c>
      <c r="M220" s="29">
        <f t="shared" si="23"/>
        <v>2.1207100591716044E-2</v>
      </c>
      <c r="N220" s="29">
        <f t="shared" si="24"/>
        <v>-2.477433281004715E-2</v>
      </c>
      <c r="O220" s="29">
        <f t="shared" si="25"/>
        <v>-9.3436470858543341E-3</v>
      </c>
      <c r="P220" s="30">
        <f t="shared" si="26"/>
        <v>-1.651917404129799E-2</v>
      </c>
      <c r="Z220" s="3"/>
      <c r="AA220" s="3"/>
      <c r="AB220" s="3"/>
      <c r="AC220" s="3"/>
      <c r="AD220" s="3"/>
      <c r="AE220" s="7"/>
    </row>
    <row r="221" spans="2:31" x14ac:dyDescent="0.15">
      <c r="B221" s="16">
        <v>41362</v>
      </c>
      <c r="C221" s="23">
        <v>16248</v>
      </c>
      <c r="D221" s="23">
        <v>10802</v>
      </c>
      <c r="E221" s="23">
        <v>22566</v>
      </c>
      <c r="F221" s="23">
        <v>19814</v>
      </c>
      <c r="G221" s="23">
        <v>12786</v>
      </c>
      <c r="H221" s="24">
        <v>25168</v>
      </c>
      <c r="I221" s="2">
        <f t="shared" si="27"/>
        <v>217</v>
      </c>
      <c r="J221" s="16">
        <v>41362</v>
      </c>
      <c r="K221" s="29">
        <f t="shared" si="21"/>
        <v>1.0824934677118314E-2</v>
      </c>
      <c r="L221" s="29">
        <f t="shared" si="22"/>
        <v>2.2267582111707984E-3</v>
      </c>
      <c r="M221" s="29">
        <f t="shared" si="23"/>
        <v>4.6029759421499117E-2</v>
      </c>
      <c r="N221" s="29">
        <f t="shared" si="24"/>
        <v>-3.2697821822023077E-3</v>
      </c>
      <c r="O221" s="29">
        <f t="shared" si="25"/>
        <v>-1.1519134132199405E-2</v>
      </c>
      <c r="P221" s="30">
        <f t="shared" si="26"/>
        <v>6.5186962607477472E-3</v>
      </c>
      <c r="Z221" s="3"/>
      <c r="AA221" s="3"/>
      <c r="AB221" s="3"/>
      <c r="AC221" s="3"/>
      <c r="AD221" s="3"/>
      <c r="AE221" s="7"/>
    </row>
    <row r="222" spans="2:31" x14ac:dyDescent="0.15">
      <c r="B222" s="16">
        <v>41369</v>
      </c>
      <c r="C222" s="23">
        <v>16814</v>
      </c>
      <c r="D222" s="23">
        <v>10884</v>
      </c>
      <c r="E222" s="23">
        <v>22844</v>
      </c>
      <c r="F222" s="23">
        <v>20309</v>
      </c>
      <c r="G222" s="23">
        <v>13291</v>
      </c>
      <c r="H222" s="24">
        <v>26320</v>
      </c>
      <c r="I222" s="2">
        <f t="shared" si="27"/>
        <v>218</v>
      </c>
      <c r="J222" s="16">
        <v>41369</v>
      </c>
      <c r="K222" s="29">
        <f t="shared" si="21"/>
        <v>3.4835056622353422E-2</v>
      </c>
      <c r="L222" s="29">
        <f t="shared" si="22"/>
        <v>7.5911868172560126E-3</v>
      </c>
      <c r="M222" s="29">
        <f t="shared" si="23"/>
        <v>1.2319418594345377E-2</v>
      </c>
      <c r="N222" s="29">
        <f t="shared" si="24"/>
        <v>2.4982335722216531E-2</v>
      </c>
      <c r="O222" s="29">
        <f t="shared" si="25"/>
        <v>3.9496324104489222E-2</v>
      </c>
      <c r="P222" s="30">
        <f t="shared" si="26"/>
        <v>4.5772409408773029E-2</v>
      </c>
      <c r="Z222" s="3"/>
      <c r="AA222" s="3"/>
      <c r="AB222" s="3"/>
      <c r="AC222" s="3"/>
      <c r="AD222" s="3"/>
      <c r="AE222" s="7"/>
    </row>
    <row r="223" spans="2:31" x14ac:dyDescent="0.15">
      <c r="B223" s="16">
        <v>41376</v>
      </c>
      <c r="C223" s="23">
        <v>17683</v>
      </c>
      <c r="D223" s="23">
        <v>10734</v>
      </c>
      <c r="E223" s="23">
        <v>22271</v>
      </c>
      <c r="F223" s="23">
        <v>21341</v>
      </c>
      <c r="G223" s="23">
        <v>13786</v>
      </c>
      <c r="H223" s="24">
        <v>27576</v>
      </c>
      <c r="I223" s="2">
        <f t="shared" si="27"/>
        <v>219</v>
      </c>
      <c r="J223" s="16">
        <v>41376</v>
      </c>
      <c r="K223" s="29">
        <f t="shared" si="21"/>
        <v>5.1683121208516702E-2</v>
      </c>
      <c r="L223" s="29">
        <f t="shared" si="22"/>
        <v>-1.3781697905181911E-2</v>
      </c>
      <c r="M223" s="29">
        <f t="shared" si="23"/>
        <v>-2.5083172824374E-2</v>
      </c>
      <c r="N223" s="29">
        <f t="shared" si="24"/>
        <v>5.0814909645969797E-2</v>
      </c>
      <c r="O223" s="29">
        <f t="shared" si="25"/>
        <v>3.7243247310210004E-2</v>
      </c>
      <c r="P223" s="30">
        <f t="shared" si="26"/>
        <v>4.7720364741641319E-2</v>
      </c>
      <c r="Z223" s="3"/>
      <c r="AA223" s="3"/>
      <c r="AB223" s="3"/>
      <c r="AC223" s="3"/>
      <c r="AD223" s="3"/>
      <c r="AE223" s="7"/>
    </row>
    <row r="224" spans="2:31" x14ac:dyDescent="0.15">
      <c r="B224" s="16">
        <v>41383</v>
      </c>
      <c r="C224" s="23">
        <v>17469</v>
      </c>
      <c r="D224" s="23">
        <v>10769</v>
      </c>
      <c r="E224" s="23">
        <v>22293</v>
      </c>
      <c r="F224" s="23">
        <v>20303</v>
      </c>
      <c r="G224" s="23">
        <v>13608</v>
      </c>
      <c r="H224" s="24">
        <v>26997</v>
      </c>
      <c r="I224" s="2">
        <f t="shared" si="27"/>
        <v>220</v>
      </c>
      <c r="J224" s="16">
        <v>41383</v>
      </c>
      <c r="K224" s="29">
        <f t="shared" si="21"/>
        <v>-1.210201888819773E-2</v>
      </c>
      <c r="L224" s="29">
        <f t="shared" si="22"/>
        <v>3.2606670393142689E-3</v>
      </c>
      <c r="M224" s="29">
        <f t="shared" si="23"/>
        <v>9.8783170939786835E-4</v>
      </c>
      <c r="N224" s="29">
        <f t="shared" si="24"/>
        <v>-4.8638770441872481E-2</v>
      </c>
      <c r="O224" s="29">
        <f t="shared" si="25"/>
        <v>-1.2911649499492195E-2</v>
      </c>
      <c r="P224" s="30">
        <f t="shared" si="26"/>
        <v>-2.0996518711923429E-2</v>
      </c>
      <c r="Z224" s="3"/>
      <c r="AA224" s="3"/>
      <c r="AB224" s="3"/>
      <c r="AC224" s="3"/>
      <c r="AD224" s="3"/>
      <c r="AE224" s="7"/>
    </row>
    <row r="225" spans="2:31" x14ac:dyDescent="0.15">
      <c r="B225" s="16">
        <v>41390</v>
      </c>
      <c r="C225" s="23">
        <v>18209</v>
      </c>
      <c r="D225" s="23">
        <v>10750</v>
      </c>
      <c r="E225" s="23">
        <v>21803</v>
      </c>
      <c r="F225" s="23">
        <v>21185</v>
      </c>
      <c r="G225" s="23">
        <v>13744</v>
      </c>
      <c r="H225" s="24">
        <v>27668</v>
      </c>
      <c r="I225" s="2">
        <f t="shared" si="27"/>
        <v>221</v>
      </c>
      <c r="J225" s="16">
        <v>41390</v>
      </c>
      <c r="K225" s="29">
        <f t="shared" si="21"/>
        <v>4.2360753334478307E-2</v>
      </c>
      <c r="L225" s="29">
        <f t="shared" si="22"/>
        <v>-1.7643235212183583E-3</v>
      </c>
      <c r="M225" s="29">
        <f t="shared" si="23"/>
        <v>-2.1979993720001811E-2</v>
      </c>
      <c r="N225" s="29">
        <f t="shared" si="24"/>
        <v>4.3441855883366909E-2</v>
      </c>
      <c r="O225" s="29">
        <f t="shared" si="25"/>
        <v>9.9941211052321233E-3</v>
      </c>
      <c r="P225" s="30">
        <f t="shared" si="26"/>
        <v>2.4854613475571385E-2</v>
      </c>
      <c r="Z225" s="3"/>
      <c r="AA225" s="3"/>
      <c r="AB225" s="3"/>
      <c r="AC225" s="3"/>
      <c r="AD225" s="3"/>
      <c r="AE225" s="7"/>
    </row>
    <row r="226" spans="2:31" x14ac:dyDescent="0.15">
      <c r="B226" s="16">
        <v>41397</v>
      </c>
      <c r="C226" s="23">
        <v>17952</v>
      </c>
      <c r="D226" s="23">
        <v>10773</v>
      </c>
      <c r="E226" s="23">
        <v>21816</v>
      </c>
      <c r="F226" s="23">
        <v>20875</v>
      </c>
      <c r="G226" s="23">
        <v>13626</v>
      </c>
      <c r="H226" s="24">
        <v>27371</v>
      </c>
      <c r="I226" s="2">
        <f t="shared" si="27"/>
        <v>222</v>
      </c>
      <c r="J226" s="16">
        <v>41397</v>
      </c>
      <c r="K226" s="29">
        <f t="shared" si="21"/>
        <v>-1.4113899719918721E-2</v>
      </c>
      <c r="L226" s="29">
        <f t="shared" si="22"/>
        <v>2.1395348837209838E-3</v>
      </c>
      <c r="M226" s="29">
        <f t="shared" si="23"/>
        <v>5.9624822272175138E-4</v>
      </c>
      <c r="N226" s="29">
        <f t="shared" si="24"/>
        <v>-1.4632995043663E-2</v>
      </c>
      <c r="O226" s="29">
        <f t="shared" si="25"/>
        <v>-8.5855646100115868E-3</v>
      </c>
      <c r="P226" s="30">
        <f t="shared" si="26"/>
        <v>-1.0734422437472912E-2</v>
      </c>
      <c r="Z226" s="3"/>
      <c r="AA226" s="3"/>
      <c r="AB226" s="3"/>
      <c r="AC226" s="3"/>
      <c r="AD226" s="3"/>
      <c r="AE226" s="7"/>
    </row>
    <row r="227" spans="2:31" x14ac:dyDescent="0.15">
      <c r="B227" s="16">
        <v>41404</v>
      </c>
      <c r="C227" s="23">
        <v>19151</v>
      </c>
      <c r="D227" s="23">
        <v>10693</v>
      </c>
      <c r="E227" s="23">
        <v>20556</v>
      </c>
      <c r="F227" s="23">
        <v>22134</v>
      </c>
      <c r="G227" s="23">
        <v>14021</v>
      </c>
      <c r="H227" s="24">
        <v>28559</v>
      </c>
      <c r="I227" s="2">
        <f t="shared" si="27"/>
        <v>223</v>
      </c>
      <c r="J227" s="16">
        <v>41404</v>
      </c>
      <c r="K227" s="29">
        <f t="shared" si="21"/>
        <v>6.6789215686274606E-2</v>
      </c>
      <c r="L227" s="29">
        <f t="shared" si="22"/>
        <v>-7.4259723382530396E-3</v>
      </c>
      <c r="M227" s="29">
        <f t="shared" si="23"/>
        <v>-5.7755775577557733E-2</v>
      </c>
      <c r="N227" s="29">
        <f t="shared" si="24"/>
        <v>6.0311377245509057E-2</v>
      </c>
      <c r="O227" s="29">
        <f t="shared" si="25"/>
        <v>2.8988698077205388E-2</v>
      </c>
      <c r="P227" s="30">
        <f t="shared" si="26"/>
        <v>4.3403602352855231E-2</v>
      </c>
      <c r="Z227" s="3"/>
      <c r="AA227" s="3"/>
      <c r="AB227" s="3"/>
      <c r="AC227" s="3"/>
      <c r="AD227" s="3"/>
      <c r="AE227" s="7"/>
    </row>
    <row r="228" spans="2:31" x14ac:dyDescent="0.15">
      <c r="B228" s="16">
        <v>41411</v>
      </c>
      <c r="C228" s="23">
        <v>19845</v>
      </c>
      <c r="D228" s="23">
        <v>10618</v>
      </c>
      <c r="E228" s="23">
        <v>20348</v>
      </c>
      <c r="F228" s="23">
        <v>22597</v>
      </c>
      <c r="G228" s="23">
        <v>14051</v>
      </c>
      <c r="H228" s="24">
        <v>29219</v>
      </c>
      <c r="I228" s="2">
        <f t="shared" si="27"/>
        <v>224</v>
      </c>
      <c r="J228" s="16">
        <v>41411</v>
      </c>
      <c r="K228" s="29">
        <f t="shared" si="21"/>
        <v>3.6238316536995496E-2</v>
      </c>
      <c r="L228" s="29">
        <f t="shared" si="22"/>
        <v>-7.0139343495745354E-3</v>
      </c>
      <c r="M228" s="29">
        <f t="shared" si="23"/>
        <v>-1.0118700136213299E-2</v>
      </c>
      <c r="N228" s="29">
        <f t="shared" si="24"/>
        <v>2.0918044637209698E-2</v>
      </c>
      <c r="O228" s="29">
        <f t="shared" si="25"/>
        <v>2.1396476713502199E-3</v>
      </c>
      <c r="P228" s="30">
        <f t="shared" si="26"/>
        <v>2.311005287299972E-2</v>
      </c>
      <c r="Z228" s="3"/>
      <c r="AA228" s="3"/>
      <c r="AB228" s="3"/>
      <c r="AC228" s="3"/>
      <c r="AD228" s="3"/>
      <c r="AE228" s="7"/>
    </row>
    <row r="229" spans="2:31" x14ac:dyDescent="0.15">
      <c r="B229" s="16">
        <v>41418</v>
      </c>
      <c r="C229" s="23">
        <v>19133</v>
      </c>
      <c r="D229" s="23">
        <v>10600</v>
      </c>
      <c r="E229" s="23">
        <v>18886</v>
      </c>
      <c r="F229" s="23">
        <v>22505</v>
      </c>
      <c r="G229" s="23">
        <v>13990</v>
      </c>
      <c r="H229" s="24">
        <v>28211</v>
      </c>
      <c r="I229" s="2">
        <f t="shared" si="27"/>
        <v>225</v>
      </c>
      <c r="J229" s="16">
        <v>41418</v>
      </c>
      <c r="K229" s="29">
        <f t="shared" si="21"/>
        <v>-3.5878054925673974E-2</v>
      </c>
      <c r="L229" s="29">
        <f t="shared" si="22"/>
        <v>-1.6952345074402464E-3</v>
      </c>
      <c r="M229" s="29">
        <f t="shared" si="23"/>
        <v>-7.1849813249459382E-2</v>
      </c>
      <c r="N229" s="29">
        <f t="shared" si="24"/>
        <v>-4.0713369031287749E-3</v>
      </c>
      <c r="O229" s="29">
        <f t="shared" si="25"/>
        <v>-4.3413280193580484E-3</v>
      </c>
      <c r="P229" s="30">
        <f t="shared" si="26"/>
        <v>-3.4498100551011324E-2</v>
      </c>
      <c r="Z229" s="3"/>
      <c r="AA229" s="3"/>
      <c r="AB229" s="3"/>
      <c r="AC229" s="3"/>
      <c r="AD229" s="3"/>
      <c r="AE229" s="7"/>
    </row>
    <row r="230" spans="2:31" x14ac:dyDescent="0.15">
      <c r="B230" s="16">
        <v>41425</v>
      </c>
      <c r="C230" s="23">
        <v>18025</v>
      </c>
      <c r="D230" s="23">
        <v>10616</v>
      </c>
      <c r="E230" s="23">
        <v>18921</v>
      </c>
      <c r="F230" s="23">
        <v>22318</v>
      </c>
      <c r="G230" s="23">
        <v>13823</v>
      </c>
      <c r="H230" s="24">
        <v>26933</v>
      </c>
      <c r="I230" s="2">
        <f t="shared" si="27"/>
        <v>226</v>
      </c>
      <c r="J230" s="16">
        <v>41425</v>
      </c>
      <c r="K230" s="29">
        <f t="shared" si="21"/>
        <v>-5.7910416557779731E-2</v>
      </c>
      <c r="L230" s="29">
        <f t="shared" si="22"/>
        <v>1.5094339622641062E-3</v>
      </c>
      <c r="M230" s="29">
        <f t="shared" si="23"/>
        <v>1.8532246108229344E-3</v>
      </c>
      <c r="N230" s="29">
        <f t="shared" si="24"/>
        <v>-8.3092646078649635E-3</v>
      </c>
      <c r="O230" s="29">
        <f t="shared" si="25"/>
        <v>-1.1937097927090745E-2</v>
      </c>
      <c r="P230" s="30">
        <f t="shared" si="26"/>
        <v>-4.5301478146822172E-2</v>
      </c>
      <c r="Z230" s="3"/>
      <c r="AA230" s="3"/>
      <c r="AB230" s="3"/>
      <c r="AC230" s="3"/>
      <c r="AD230" s="3"/>
      <c r="AE230" s="7"/>
    </row>
    <row r="231" spans="2:31" x14ac:dyDescent="0.15">
      <c r="B231" s="16">
        <v>41432</v>
      </c>
      <c r="C231" s="23">
        <v>16826</v>
      </c>
      <c r="D231" s="23">
        <v>10632</v>
      </c>
      <c r="E231" s="23">
        <v>17898</v>
      </c>
      <c r="F231" s="23">
        <v>21012</v>
      </c>
      <c r="G231" s="23">
        <v>13387</v>
      </c>
      <c r="H231" s="24">
        <v>25494</v>
      </c>
      <c r="I231" s="2">
        <f t="shared" si="27"/>
        <v>227</v>
      </c>
      <c r="J231" s="16">
        <v>41432</v>
      </c>
      <c r="K231" s="29">
        <f t="shared" si="21"/>
        <v>-6.6518723994452134E-2</v>
      </c>
      <c r="L231" s="29">
        <f t="shared" si="22"/>
        <v>1.5071590052750938E-3</v>
      </c>
      <c r="M231" s="29">
        <f t="shared" si="23"/>
        <v>-5.4066909782781059E-2</v>
      </c>
      <c r="N231" s="29">
        <f t="shared" si="24"/>
        <v>-5.8517788332287823E-2</v>
      </c>
      <c r="O231" s="29">
        <f t="shared" si="25"/>
        <v>-3.154163350936845E-2</v>
      </c>
      <c r="P231" s="30">
        <f t="shared" si="26"/>
        <v>-5.3428879070285484E-2</v>
      </c>
      <c r="Z231" s="3"/>
      <c r="AA231" s="3"/>
      <c r="AB231" s="3"/>
      <c r="AC231" s="3"/>
      <c r="AD231" s="3"/>
      <c r="AE231" s="7"/>
    </row>
    <row r="232" spans="2:31" x14ac:dyDescent="0.15">
      <c r="B232" s="16">
        <v>41439</v>
      </c>
      <c r="C232" s="23">
        <v>16626</v>
      </c>
      <c r="D232" s="23">
        <v>10626</v>
      </c>
      <c r="E232" s="23">
        <v>18241</v>
      </c>
      <c r="F232" s="23">
        <v>20519</v>
      </c>
      <c r="G232" s="23">
        <v>13027</v>
      </c>
      <c r="H232" s="24">
        <v>24475</v>
      </c>
      <c r="I232" s="2">
        <f t="shared" si="27"/>
        <v>228</v>
      </c>
      <c r="J232" s="16">
        <v>41439</v>
      </c>
      <c r="K232" s="29">
        <f t="shared" si="21"/>
        <v>-1.1886366337810483E-2</v>
      </c>
      <c r="L232" s="29">
        <f t="shared" si="22"/>
        <v>-5.6433408577882815E-4</v>
      </c>
      <c r="M232" s="29">
        <f t="shared" si="23"/>
        <v>1.9164152419264724E-2</v>
      </c>
      <c r="N232" s="29">
        <f t="shared" si="24"/>
        <v>-2.3462783171521062E-2</v>
      </c>
      <c r="O232" s="29">
        <f t="shared" si="25"/>
        <v>-2.68917606633301E-2</v>
      </c>
      <c r="P232" s="30">
        <f t="shared" si="26"/>
        <v>-3.9970189064093553E-2</v>
      </c>
      <c r="Z232" s="3"/>
      <c r="AA232" s="3"/>
      <c r="AB232" s="3"/>
      <c r="AC232" s="3"/>
      <c r="AD232" s="3"/>
      <c r="AE232" s="7"/>
    </row>
    <row r="233" spans="2:31" x14ac:dyDescent="0.15">
      <c r="B233" s="16">
        <v>41446</v>
      </c>
      <c r="C233" s="23">
        <v>17346</v>
      </c>
      <c r="D233" s="23">
        <v>10584</v>
      </c>
      <c r="E233" s="23">
        <v>17928</v>
      </c>
      <c r="F233" s="23">
        <v>20444</v>
      </c>
      <c r="G233" s="23">
        <v>13167</v>
      </c>
      <c r="H233" s="24">
        <v>23968</v>
      </c>
      <c r="I233" s="2">
        <f t="shared" si="27"/>
        <v>229</v>
      </c>
      <c r="J233" s="16">
        <v>41446</v>
      </c>
      <c r="K233" s="29">
        <f t="shared" si="21"/>
        <v>4.3305665824612039E-2</v>
      </c>
      <c r="L233" s="29">
        <f t="shared" si="22"/>
        <v>-3.9525691699604515E-3</v>
      </c>
      <c r="M233" s="29">
        <f t="shared" si="23"/>
        <v>-1.7159146976591155E-2</v>
      </c>
      <c r="N233" s="29">
        <f t="shared" si="24"/>
        <v>-3.655148886397952E-3</v>
      </c>
      <c r="O233" s="29">
        <f t="shared" si="25"/>
        <v>1.0746910263299325E-2</v>
      </c>
      <c r="P233" s="30">
        <f t="shared" si="26"/>
        <v>-2.0715015321756902E-2</v>
      </c>
      <c r="Z233" s="3"/>
      <c r="AA233" s="3"/>
      <c r="AB233" s="3"/>
      <c r="AC233" s="3"/>
      <c r="AD233" s="3"/>
      <c r="AE233" s="7"/>
    </row>
    <row r="234" spans="2:31" x14ac:dyDescent="0.15">
      <c r="B234" s="16">
        <v>41453</v>
      </c>
      <c r="C234" s="23">
        <v>17914</v>
      </c>
      <c r="D234" s="23">
        <v>10617</v>
      </c>
      <c r="E234" s="23">
        <v>19413</v>
      </c>
      <c r="F234" s="23">
        <v>20914</v>
      </c>
      <c r="G234" s="23">
        <v>13224</v>
      </c>
      <c r="H234" s="24">
        <v>25318</v>
      </c>
      <c r="I234" s="2">
        <f t="shared" si="27"/>
        <v>230</v>
      </c>
      <c r="J234" s="16">
        <v>41453</v>
      </c>
      <c r="K234" s="29">
        <f t="shared" si="21"/>
        <v>3.2745301510434643E-2</v>
      </c>
      <c r="L234" s="29">
        <f t="shared" si="22"/>
        <v>3.1179138321995037E-3</v>
      </c>
      <c r="M234" s="29">
        <f t="shared" si="23"/>
        <v>8.2831325301204739E-2</v>
      </c>
      <c r="N234" s="29">
        <f t="shared" si="24"/>
        <v>2.2989630209352407E-2</v>
      </c>
      <c r="O234" s="29">
        <f t="shared" si="25"/>
        <v>4.3290043290042934E-3</v>
      </c>
      <c r="P234" s="30">
        <f t="shared" si="26"/>
        <v>5.6325100133511441E-2</v>
      </c>
      <c r="Z234" s="3"/>
      <c r="AA234" s="3"/>
      <c r="AB234" s="3"/>
      <c r="AC234" s="3"/>
      <c r="AD234" s="3"/>
      <c r="AE234" s="7"/>
    </row>
    <row r="235" spans="2:31" x14ac:dyDescent="0.15">
      <c r="B235" s="16">
        <v>41460</v>
      </c>
      <c r="C235" s="23">
        <v>18743</v>
      </c>
      <c r="D235" s="23">
        <v>10602</v>
      </c>
      <c r="E235" s="23">
        <v>19399</v>
      </c>
      <c r="F235" s="23">
        <v>21362</v>
      </c>
      <c r="G235" s="23">
        <v>13420</v>
      </c>
      <c r="H235" s="24">
        <v>25775</v>
      </c>
      <c r="I235" s="2">
        <f t="shared" si="27"/>
        <v>231</v>
      </c>
      <c r="J235" s="16">
        <v>41460</v>
      </c>
      <c r="K235" s="29">
        <f t="shared" si="21"/>
        <v>4.6276655130065958E-2</v>
      </c>
      <c r="L235" s="29">
        <f t="shared" si="22"/>
        <v>-1.4128284826222526E-3</v>
      </c>
      <c r="M235" s="29">
        <f t="shared" si="23"/>
        <v>-7.2116622881579495E-4</v>
      </c>
      <c r="N235" s="29">
        <f t="shared" si="24"/>
        <v>2.1421057664722243E-2</v>
      </c>
      <c r="O235" s="29">
        <f t="shared" si="25"/>
        <v>1.4821536600120977E-2</v>
      </c>
      <c r="P235" s="30">
        <f t="shared" si="26"/>
        <v>1.8050398925665512E-2</v>
      </c>
      <c r="Z235" s="3"/>
      <c r="AA235" s="3"/>
      <c r="AB235" s="3"/>
      <c r="AC235" s="3"/>
      <c r="AD235" s="3"/>
      <c r="AE235" s="7"/>
    </row>
    <row r="236" spans="2:31" x14ac:dyDescent="0.15">
      <c r="B236" s="16">
        <v>41467</v>
      </c>
      <c r="C236" s="23">
        <v>18984</v>
      </c>
      <c r="D236" s="23">
        <v>10624</v>
      </c>
      <c r="E236" s="23">
        <v>19630</v>
      </c>
      <c r="F236" s="23">
        <v>21840</v>
      </c>
      <c r="G236" s="23">
        <v>13350</v>
      </c>
      <c r="H236" s="24">
        <v>26322</v>
      </c>
      <c r="I236" s="2">
        <f t="shared" si="27"/>
        <v>232</v>
      </c>
      <c r="J236" s="16">
        <v>41467</v>
      </c>
      <c r="K236" s="29">
        <f t="shared" si="21"/>
        <v>1.2858133703249175E-2</v>
      </c>
      <c r="L236" s="29">
        <f t="shared" si="22"/>
        <v>2.0750801735520685E-3</v>
      </c>
      <c r="M236" s="29">
        <f t="shared" si="23"/>
        <v>1.1907830300530886E-2</v>
      </c>
      <c r="N236" s="29">
        <f t="shared" si="24"/>
        <v>2.2376182005430234E-2</v>
      </c>
      <c r="O236" s="29">
        <f t="shared" si="25"/>
        <v>-5.2160953800297616E-3</v>
      </c>
      <c r="P236" s="30">
        <f t="shared" si="26"/>
        <v>2.1222114451988405E-2</v>
      </c>
      <c r="Z236" s="3"/>
      <c r="AA236" s="3"/>
      <c r="AB236" s="3"/>
      <c r="AC236" s="3"/>
      <c r="AD236" s="3"/>
      <c r="AE236" s="7"/>
    </row>
    <row r="237" spans="2:31" x14ac:dyDescent="0.15">
      <c r="B237" s="16">
        <v>41474</v>
      </c>
      <c r="C237" s="23">
        <v>19107</v>
      </c>
      <c r="D237" s="23">
        <v>10631</v>
      </c>
      <c r="E237" s="23">
        <v>19059</v>
      </c>
      <c r="F237" s="23">
        <v>22430</v>
      </c>
      <c r="G237" s="23">
        <v>13636</v>
      </c>
      <c r="H237" s="24">
        <v>26858</v>
      </c>
      <c r="I237" s="2">
        <f t="shared" si="27"/>
        <v>233</v>
      </c>
      <c r="J237" s="16">
        <v>41474</v>
      </c>
      <c r="K237" s="29">
        <f t="shared" si="21"/>
        <v>6.4791403286978966E-3</v>
      </c>
      <c r="L237" s="29">
        <f t="shared" si="22"/>
        <v>6.5888554216875228E-4</v>
      </c>
      <c r="M237" s="29">
        <f t="shared" si="23"/>
        <v>-2.9088130412633695E-2</v>
      </c>
      <c r="N237" s="29">
        <f t="shared" si="24"/>
        <v>2.7014652014651919E-2</v>
      </c>
      <c r="O237" s="29">
        <f t="shared" si="25"/>
        <v>2.1423220973782797E-2</v>
      </c>
      <c r="P237" s="30">
        <f t="shared" si="26"/>
        <v>2.0363194286148412E-2</v>
      </c>
      <c r="Z237" s="3"/>
      <c r="AA237" s="3"/>
      <c r="AB237" s="3"/>
      <c r="AC237" s="3"/>
      <c r="AD237" s="3"/>
      <c r="AE237" s="7"/>
    </row>
    <row r="238" spans="2:31" x14ac:dyDescent="0.15">
      <c r="B238" s="16">
        <v>41481</v>
      </c>
      <c r="C238" s="23">
        <v>18490</v>
      </c>
      <c r="D238" s="23">
        <v>10638</v>
      </c>
      <c r="E238" s="23">
        <v>19063</v>
      </c>
      <c r="F238" s="23">
        <v>22228</v>
      </c>
      <c r="G238" s="23">
        <v>13487</v>
      </c>
      <c r="H238" s="24">
        <v>26268</v>
      </c>
      <c r="I238" s="2">
        <f t="shared" si="27"/>
        <v>234</v>
      </c>
      <c r="J238" s="16">
        <v>41481</v>
      </c>
      <c r="K238" s="29">
        <f t="shared" si="21"/>
        <v>-3.2291830219291384E-2</v>
      </c>
      <c r="L238" s="29">
        <f t="shared" si="22"/>
        <v>6.584516978647148E-4</v>
      </c>
      <c r="M238" s="29">
        <f t="shared" si="23"/>
        <v>2.0987459992660717E-4</v>
      </c>
      <c r="N238" s="29">
        <f t="shared" si="24"/>
        <v>-9.0057958091841472E-3</v>
      </c>
      <c r="O238" s="29">
        <f t="shared" si="25"/>
        <v>-1.0926958052214775E-2</v>
      </c>
      <c r="P238" s="30">
        <f t="shared" si="26"/>
        <v>-2.196738401965892E-2</v>
      </c>
      <c r="Z238" s="3"/>
      <c r="AA238" s="3"/>
      <c r="AB238" s="3"/>
      <c r="AC238" s="3"/>
      <c r="AD238" s="3"/>
      <c r="AE238" s="7"/>
    </row>
    <row r="239" spans="2:31" x14ac:dyDescent="0.15">
      <c r="B239" s="16">
        <v>41488</v>
      </c>
      <c r="C239" s="23">
        <v>18933</v>
      </c>
      <c r="D239" s="23">
        <v>10632</v>
      </c>
      <c r="E239" s="23">
        <v>18897</v>
      </c>
      <c r="F239" s="23">
        <v>22425</v>
      </c>
      <c r="G239" s="23">
        <v>13446</v>
      </c>
      <c r="H239" s="24">
        <v>25661</v>
      </c>
      <c r="I239" s="2">
        <f t="shared" si="27"/>
        <v>235</v>
      </c>
      <c r="J239" s="16">
        <v>41488</v>
      </c>
      <c r="K239" s="29">
        <f t="shared" si="21"/>
        <v>2.3958896700919441E-2</v>
      </c>
      <c r="L239" s="29">
        <f t="shared" si="22"/>
        <v>-5.6401579244214073E-4</v>
      </c>
      <c r="M239" s="29">
        <f t="shared" si="23"/>
        <v>-8.7079683155851795E-3</v>
      </c>
      <c r="N239" s="29">
        <f t="shared" si="24"/>
        <v>8.8626956991182393E-3</v>
      </c>
      <c r="O239" s="29">
        <f t="shared" si="25"/>
        <v>-3.0399644101727352E-3</v>
      </c>
      <c r="P239" s="30">
        <f t="shared" si="26"/>
        <v>-2.3107964062737962E-2</v>
      </c>
      <c r="Z239" s="3"/>
      <c r="AA239" s="3"/>
      <c r="AB239" s="3"/>
      <c r="AC239" s="3"/>
      <c r="AD239" s="3"/>
      <c r="AE239" s="7"/>
    </row>
    <row r="240" spans="2:31" x14ac:dyDescent="0.15">
      <c r="B240" s="16">
        <v>41495</v>
      </c>
      <c r="C240" s="23">
        <v>17827</v>
      </c>
      <c r="D240" s="23">
        <v>10662</v>
      </c>
      <c r="E240" s="23">
        <v>18759</v>
      </c>
      <c r="F240" s="23">
        <v>21871</v>
      </c>
      <c r="G240" s="23">
        <v>13241</v>
      </c>
      <c r="H240" s="24">
        <v>24879</v>
      </c>
      <c r="I240" s="2">
        <f t="shared" si="27"/>
        <v>236</v>
      </c>
      <c r="J240" s="16">
        <v>41495</v>
      </c>
      <c r="K240" s="29">
        <f t="shared" si="21"/>
        <v>-5.841652141763054E-2</v>
      </c>
      <c r="L240" s="29">
        <f t="shared" si="22"/>
        <v>2.8216704288939187E-3</v>
      </c>
      <c r="M240" s="29">
        <f t="shared" si="23"/>
        <v>-7.3027464676932441E-3</v>
      </c>
      <c r="N240" s="29">
        <f t="shared" si="24"/>
        <v>-2.4704570791527325E-2</v>
      </c>
      <c r="O240" s="29">
        <f t="shared" si="25"/>
        <v>-1.5246169864643777E-2</v>
      </c>
      <c r="P240" s="30">
        <f t="shared" si="26"/>
        <v>-3.0474260551030752E-2</v>
      </c>
      <c r="Z240" s="3"/>
      <c r="AA240" s="3"/>
      <c r="AB240" s="3"/>
      <c r="AC240" s="3"/>
      <c r="AD240" s="3"/>
      <c r="AE240" s="7"/>
    </row>
    <row r="241" spans="2:31" x14ac:dyDescent="0.15">
      <c r="B241" s="16">
        <v>41502</v>
      </c>
      <c r="C241" s="23">
        <v>17861</v>
      </c>
      <c r="D241" s="23">
        <v>10651</v>
      </c>
      <c r="E241" s="23">
        <v>18748</v>
      </c>
      <c r="F241" s="23">
        <v>21739</v>
      </c>
      <c r="G241" s="23">
        <v>13190</v>
      </c>
      <c r="H241" s="24">
        <v>24340</v>
      </c>
      <c r="I241" s="2">
        <f t="shared" si="27"/>
        <v>237</v>
      </c>
      <c r="J241" s="16">
        <v>41502</v>
      </c>
      <c r="K241" s="29">
        <f t="shared" si="21"/>
        <v>1.9072193863240994E-3</v>
      </c>
      <c r="L241" s="29">
        <f t="shared" si="22"/>
        <v>-1.0317013693490473E-3</v>
      </c>
      <c r="M241" s="29">
        <f t="shared" si="23"/>
        <v>-5.8638520176979014E-4</v>
      </c>
      <c r="N241" s="29">
        <f t="shared" si="24"/>
        <v>-6.0353893283343618E-3</v>
      </c>
      <c r="O241" s="29">
        <f t="shared" si="25"/>
        <v>-3.8516728343780393E-3</v>
      </c>
      <c r="P241" s="30">
        <f t="shared" si="26"/>
        <v>-2.1664857912295554E-2</v>
      </c>
      <c r="Z241" s="3"/>
      <c r="AA241" s="3"/>
      <c r="AB241" s="3"/>
      <c r="AC241" s="3"/>
      <c r="AD241" s="3"/>
      <c r="AE241" s="7"/>
    </row>
    <row r="242" spans="2:31" x14ac:dyDescent="0.15">
      <c r="B242" s="16">
        <v>41509</v>
      </c>
      <c r="C242" s="23">
        <v>17876</v>
      </c>
      <c r="D242" s="23">
        <v>10644</v>
      </c>
      <c r="E242" s="23">
        <v>18288</v>
      </c>
      <c r="F242" s="23">
        <v>21991</v>
      </c>
      <c r="G242" s="23">
        <v>13341</v>
      </c>
      <c r="H242" s="24">
        <v>24312</v>
      </c>
      <c r="I242" s="2">
        <f t="shared" si="27"/>
        <v>238</v>
      </c>
      <c r="J242" s="16">
        <v>41509</v>
      </c>
      <c r="K242" s="29">
        <f t="shared" si="21"/>
        <v>8.3981859918247359E-4</v>
      </c>
      <c r="L242" s="29">
        <f t="shared" si="22"/>
        <v>-6.5721528494977477E-4</v>
      </c>
      <c r="M242" s="29">
        <f t="shared" si="23"/>
        <v>-2.4535950501386794E-2</v>
      </c>
      <c r="N242" s="29">
        <f t="shared" si="24"/>
        <v>1.1592069552417206E-2</v>
      </c>
      <c r="O242" s="29">
        <f t="shared" si="25"/>
        <v>1.1448066717210104E-2</v>
      </c>
      <c r="P242" s="30">
        <f t="shared" si="26"/>
        <v>-1.1503697617091246E-3</v>
      </c>
      <c r="Z242" s="3"/>
      <c r="AA242" s="3"/>
      <c r="AB242" s="3"/>
      <c r="AC242" s="3"/>
      <c r="AD242" s="3"/>
      <c r="AE242" s="7"/>
    </row>
    <row r="243" spans="2:31" x14ac:dyDescent="0.15">
      <c r="B243" s="16">
        <v>41516</v>
      </c>
      <c r="C243" s="23">
        <v>17512</v>
      </c>
      <c r="D243" s="23">
        <v>10682</v>
      </c>
      <c r="E243" s="23">
        <v>18187</v>
      </c>
      <c r="F243" s="23">
        <v>21607</v>
      </c>
      <c r="G243" s="23">
        <v>13252</v>
      </c>
      <c r="H243" s="24">
        <v>24062</v>
      </c>
      <c r="I243" s="2">
        <f t="shared" si="27"/>
        <v>239</v>
      </c>
      <c r="J243" s="16">
        <v>41516</v>
      </c>
      <c r="K243" s="29">
        <f t="shared" si="21"/>
        <v>-2.0362497202953689E-2</v>
      </c>
      <c r="L243" s="29">
        <f t="shared" si="22"/>
        <v>3.5700864336716265E-3</v>
      </c>
      <c r="M243" s="29">
        <f t="shared" si="23"/>
        <v>-5.5227471566053898E-3</v>
      </c>
      <c r="N243" s="29">
        <f t="shared" si="24"/>
        <v>-1.7461688872720704E-2</v>
      </c>
      <c r="O243" s="29">
        <f t="shared" si="25"/>
        <v>-6.6711640806536021E-3</v>
      </c>
      <c r="P243" s="30">
        <f t="shared" si="26"/>
        <v>-1.0282987824942413E-2</v>
      </c>
      <c r="Z243" s="3"/>
      <c r="AA243" s="3"/>
      <c r="AB243" s="3"/>
      <c r="AC243" s="3"/>
      <c r="AD243" s="3"/>
      <c r="AE243" s="7"/>
    </row>
    <row r="244" spans="2:31" x14ac:dyDescent="0.15">
      <c r="B244" s="16">
        <v>41523</v>
      </c>
      <c r="C244" s="23">
        <v>18132</v>
      </c>
      <c r="D244" s="23">
        <v>10645</v>
      </c>
      <c r="E244" s="23">
        <v>18484</v>
      </c>
      <c r="F244" s="23">
        <v>22191</v>
      </c>
      <c r="G244" s="23">
        <v>13311</v>
      </c>
      <c r="H244" s="24">
        <v>24153</v>
      </c>
      <c r="I244" s="2">
        <f t="shared" si="27"/>
        <v>240</v>
      </c>
      <c r="J244" s="16">
        <v>41523</v>
      </c>
      <c r="K244" s="29">
        <f t="shared" si="21"/>
        <v>3.5404294198263964E-2</v>
      </c>
      <c r="L244" s="29">
        <f t="shared" si="22"/>
        <v>-3.4637708294327219E-3</v>
      </c>
      <c r="M244" s="29">
        <f t="shared" si="23"/>
        <v>1.6330345851432337E-2</v>
      </c>
      <c r="N244" s="29">
        <f t="shared" si="24"/>
        <v>2.7028277872911621E-2</v>
      </c>
      <c r="O244" s="29">
        <f t="shared" si="25"/>
        <v>4.4521581648053754E-3</v>
      </c>
      <c r="P244" s="30">
        <f t="shared" si="26"/>
        <v>3.7818967666860548E-3</v>
      </c>
      <c r="Z244" s="3"/>
      <c r="AA244" s="3"/>
      <c r="AB244" s="3"/>
      <c r="AC244" s="3"/>
      <c r="AD244" s="3"/>
      <c r="AE244" s="7"/>
    </row>
    <row r="245" spans="2:31" x14ac:dyDescent="0.15">
      <c r="B245" s="16">
        <v>41530</v>
      </c>
      <c r="C245" s="23">
        <v>18838</v>
      </c>
      <c r="D245" s="23">
        <v>10683</v>
      </c>
      <c r="E245" s="23">
        <v>19819</v>
      </c>
      <c r="F245" s="23">
        <v>22629</v>
      </c>
      <c r="G245" s="23">
        <v>13438</v>
      </c>
      <c r="H245" s="24">
        <v>24974</v>
      </c>
      <c r="I245" s="2">
        <f t="shared" si="27"/>
        <v>241</v>
      </c>
      <c r="J245" s="16">
        <v>41530</v>
      </c>
      <c r="K245" s="29">
        <f t="shared" si="21"/>
        <v>3.8936686521067632E-2</v>
      </c>
      <c r="L245" s="29">
        <f t="shared" si="22"/>
        <v>3.5697510568342139E-3</v>
      </c>
      <c r="M245" s="29">
        <f t="shared" si="23"/>
        <v>7.222462670417662E-2</v>
      </c>
      <c r="N245" s="29">
        <f t="shared" si="24"/>
        <v>1.9737731512775358E-2</v>
      </c>
      <c r="O245" s="29">
        <f t="shared" si="25"/>
        <v>9.5409811434152836E-3</v>
      </c>
      <c r="P245" s="30">
        <f t="shared" si="26"/>
        <v>3.3991636649691515E-2</v>
      </c>
      <c r="Z245" s="3"/>
      <c r="AA245" s="3"/>
      <c r="AB245" s="3"/>
      <c r="AC245" s="3"/>
      <c r="AD245" s="3"/>
      <c r="AE245" s="7"/>
    </row>
    <row r="246" spans="2:31" x14ac:dyDescent="0.15">
      <c r="B246" s="16">
        <v>41537</v>
      </c>
      <c r="C246" s="23">
        <v>19281</v>
      </c>
      <c r="D246" s="23">
        <v>10715</v>
      </c>
      <c r="E246" s="23">
        <v>20125</v>
      </c>
      <c r="F246" s="23">
        <v>23191</v>
      </c>
      <c r="G246" s="23">
        <v>13649</v>
      </c>
      <c r="H246" s="24">
        <v>26048</v>
      </c>
      <c r="I246" s="2">
        <f t="shared" si="27"/>
        <v>242</v>
      </c>
      <c r="J246" s="16">
        <v>41537</v>
      </c>
      <c r="K246" s="29">
        <f t="shared" si="21"/>
        <v>2.3516296846799012E-2</v>
      </c>
      <c r="L246" s="29">
        <f t="shared" si="22"/>
        <v>2.9954132734251182E-3</v>
      </c>
      <c r="M246" s="29">
        <f t="shared" si="23"/>
        <v>1.5439729552449766E-2</v>
      </c>
      <c r="N246" s="29">
        <f t="shared" si="24"/>
        <v>2.4835388218657384E-2</v>
      </c>
      <c r="O246" s="29">
        <f t="shared" si="25"/>
        <v>1.570174133055513E-2</v>
      </c>
      <c r="P246" s="30">
        <f t="shared" si="26"/>
        <v>4.3004724913910497E-2</v>
      </c>
      <c r="Z246" s="3"/>
      <c r="AA246" s="3"/>
      <c r="AB246" s="3"/>
      <c r="AC246" s="3"/>
      <c r="AD246" s="3"/>
      <c r="AE246" s="7"/>
    </row>
    <row r="247" spans="2:31" x14ac:dyDescent="0.15">
      <c r="B247" s="16">
        <v>41544</v>
      </c>
      <c r="C247" s="23">
        <v>19402</v>
      </c>
      <c r="D247" s="23">
        <v>10732</v>
      </c>
      <c r="E247" s="23">
        <v>21038</v>
      </c>
      <c r="F247" s="23">
        <v>22799</v>
      </c>
      <c r="G247" s="23">
        <v>13585</v>
      </c>
      <c r="H247" s="24">
        <v>25557</v>
      </c>
      <c r="I247" s="2">
        <f t="shared" si="27"/>
        <v>243</v>
      </c>
      <c r="J247" s="16">
        <v>41544</v>
      </c>
      <c r="K247" s="29">
        <f t="shared" si="21"/>
        <v>6.2756081116124296E-3</v>
      </c>
      <c r="L247" s="29">
        <f t="shared" si="22"/>
        <v>1.5865608959402255E-3</v>
      </c>
      <c r="M247" s="29">
        <f t="shared" si="23"/>
        <v>4.5366459627329103E-2</v>
      </c>
      <c r="N247" s="29">
        <f t="shared" si="24"/>
        <v>-1.690310896468461E-2</v>
      </c>
      <c r="O247" s="29">
        <f t="shared" si="25"/>
        <v>-4.6889882042639996E-3</v>
      </c>
      <c r="P247" s="30">
        <f t="shared" si="26"/>
        <v>-1.8849815724815699E-2</v>
      </c>
      <c r="Z247" s="3"/>
      <c r="AA247" s="3"/>
      <c r="AB247" s="3"/>
      <c r="AC247" s="3"/>
      <c r="AD247" s="3"/>
      <c r="AE247" s="7"/>
    </row>
    <row r="248" spans="2:31" x14ac:dyDescent="0.15">
      <c r="B248" s="16">
        <v>41551</v>
      </c>
      <c r="C248" s="23">
        <v>18440</v>
      </c>
      <c r="D248" s="23">
        <v>10767</v>
      </c>
      <c r="E248" s="23">
        <v>20252</v>
      </c>
      <c r="F248" s="23">
        <v>22240</v>
      </c>
      <c r="G248" s="23">
        <v>13459</v>
      </c>
      <c r="H248" s="24">
        <v>24866</v>
      </c>
      <c r="I248" s="2">
        <f t="shared" si="27"/>
        <v>244</v>
      </c>
      <c r="J248" s="16">
        <v>41551</v>
      </c>
      <c r="K248" s="29">
        <f t="shared" si="21"/>
        <v>-4.9582517266261172E-2</v>
      </c>
      <c r="L248" s="29">
        <f t="shared" si="22"/>
        <v>3.2612746925084757E-3</v>
      </c>
      <c r="M248" s="29">
        <f t="shared" si="23"/>
        <v>-3.7360965871280571E-2</v>
      </c>
      <c r="N248" s="29">
        <f t="shared" si="24"/>
        <v>-2.4518619237685835E-2</v>
      </c>
      <c r="O248" s="29">
        <f t="shared" si="25"/>
        <v>-9.2749355907251196E-3</v>
      </c>
      <c r="P248" s="30">
        <f t="shared" si="26"/>
        <v>-2.7037602222483081E-2</v>
      </c>
      <c r="Z248" s="3"/>
      <c r="AA248" s="3"/>
      <c r="AB248" s="3"/>
      <c r="AC248" s="3"/>
      <c r="AD248" s="3"/>
      <c r="AE248" s="7"/>
    </row>
    <row r="249" spans="2:31" x14ac:dyDescent="0.15">
      <c r="B249" s="16">
        <v>41558</v>
      </c>
      <c r="C249" s="23">
        <v>18935</v>
      </c>
      <c r="D249" s="23">
        <v>10760</v>
      </c>
      <c r="E249" s="23">
        <v>20579</v>
      </c>
      <c r="F249" s="23">
        <v>22545</v>
      </c>
      <c r="G249" s="23">
        <v>13515</v>
      </c>
      <c r="H249" s="24">
        <v>25397</v>
      </c>
      <c r="I249" s="2">
        <f t="shared" si="27"/>
        <v>245</v>
      </c>
      <c r="J249" s="16">
        <v>41558</v>
      </c>
      <c r="K249" s="29">
        <f t="shared" si="21"/>
        <v>2.6843817787418622E-2</v>
      </c>
      <c r="L249" s="29">
        <f t="shared" si="22"/>
        <v>-6.5013467075325515E-4</v>
      </c>
      <c r="M249" s="29">
        <f t="shared" si="23"/>
        <v>1.6146553426822141E-2</v>
      </c>
      <c r="N249" s="29">
        <f t="shared" si="24"/>
        <v>1.371402877697836E-2</v>
      </c>
      <c r="O249" s="29">
        <f t="shared" si="25"/>
        <v>4.1607846050970565E-3</v>
      </c>
      <c r="P249" s="30">
        <f t="shared" si="26"/>
        <v>2.1354459905091216E-2</v>
      </c>
      <c r="Z249" s="3"/>
      <c r="AA249" s="3"/>
      <c r="AB249" s="3"/>
      <c r="AC249" s="3"/>
      <c r="AD249" s="3"/>
      <c r="AE249" s="7"/>
    </row>
    <row r="250" spans="2:31" x14ac:dyDescent="0.15">
      <c r="B250" s="16">
        <v>41565</v>
      </c>
      <c r="C250" s="23">
        <v>19141</v>
      </c>
      <c r="D250" s="23">
        <v>10783</v>
      </c>
      <c r="E250" s="23">
        <v>20555</v>
      </c>
      <c r="F250" s="23">
        <v>23088</v>
      </c>
      <c r="G250" s="23">
        <v>13616</v>
      </c>
      <c r="H250" s="24">
        <v>26248</v>
      </c>
      <c r="I250" s="2">
        <f t="shared" si="27"/>
        <v>246</v>
      </c>
      <c r="J250" s="16">
        <v>41565</v>
      </c>
      <c r="K250" s="29">
        <f t="shared" si="21"/>
        <v>1.0879324003168822E-2</v>
      </c>
      <c r="L250" s="29">
        <f t="shared" si="22"/>
        <v>2.1375464684014744E-3</v>
      </c>
      <c r="M250" s="29">
        <f t="shared" si="23"/>
        <v>-1.1662374265027919E-3</v>
      </c>
      <c r="N250" s="29">
        <f t="shared" si="24"/>
        <v>2.4085163007318666E-2</v>
      </c>
      <c r="O250" s="29">
        <f t="shared" si="25"/>
        <v>7.473177950425347E-3</v>
      </c>
      <c r="P250" s="30">
        <f t="shared" si="26"/>
        <v>3.3507894633224344E-2</v>
      </c>
      <c r="Z250" s="3"/>
      <c r="AA250" s="3"/>
      <c r="AB250" s="3"/>
      <c r="AC250" s="3"/>
      <c r="AD250" s="3"/>
      <c r="AE250" s="7"/>
    </row>
    <row r="251" spans="2:31" x14ac:dyDescent="0.15">
      <c r="B251" s="16">
        <v>41572</v>
      </c>
      <c r="C251" s="23">
        <v>18519</v>
      </c>
      <c r="D251" s="23">
        <v>10781</v>
      </c>
      <c r="E251" s="23">
        <v>20504</v>
      </c>
      <c r="F251" s="23">
        <v>23228</v>
      </c>
      <c r="G251" s="23">
        <v>13615</v>
      </c>
      <c r="H251" s="24">
        <v>26202</v>
      </c>
      <c r="I251" s="2">
        <f t="shared" si="27"/>
        <v>247</v>
      </c>
      <c r="J251" s="16">
        <v>41572</v>
      </c>
      <c r="K251" s="29">
        <f t="shared" si="21"/>
        <v>-3.2495689880361556E-2</v>
      </c>
      <c r="L251" s="29">
        <f t="shared" si="22"/>
        <v>-1.85477139942547E-4</v>
      </c>
      <c r="M251" s="29">
        <f t="shared" si="23"/>
        <v>-2.4811481391389112E-3</v>
      </c>
      <c r="N251" s="29">
        <f t="shared" si="24"/>
        <v>6.0637560637559762E-3</v>
      </c>
      <c r="O251" s="29">
        <f t="shared" si="25"/>
        <v>-7.3443008225648754E-5</v>
      </c>
      <c r="P251" s="30">
        <f t="shared" si="26"/>
        <v>-1.7525144772935208E-3</v>
      </c>
      <c r="Z251" s="3"/>
      <c r="AA251" s="3"/>
      <c r="AB251" s="3"/>
      <c r="AC251" s="3"/>
      <c r="AD251" s="3"/>
      <c r="AE251" s="7"/>
    </row>
    <row r="252" spans="2:31" x14ac:dyDescent="0.15">
      <c r="B252" s="16">
        <v>41579</v>
      </c>
      <c r="C252" s="23">
        <v>18656</v>
      </c>
      <c r="D252" s="23">
        <v>10786</v>
      </c>
      <c r="E252" s="23">
        <v>20646</v>
      </c>
      <c r="F252" s="23">
        <v>23390</v>
      </c>
      <c r="G252" s="23">
        <v>13651</v>
      </c>
      <c r="H252" s="24">
        <v>26070</v>
      </c>
      <c r="I252" s="2">
        <f t="shared" si="27"/>
        <v>248</v>
      </c>
      <c r="J252" s="16">
        <v>41579</v>
      </c>
      <c r="K252" s="29">
        <f t="shared" si="21"/>
        <v>7.3978076570009321E-3</v>
      </c>
      <c r="L252" s="29">
        <f t="shared" si="22"/>
        <v>4.6377887023463238E-4</v>
      </c>
      <c r="M252" s="29">
        <f t="shared" si="23"/>
        <v>6.9254779555207868E-3</v>
      </c>
      <c r="N252" s="29">
        <f t="shared" si="24"/>
        <v>6.97434131220942E-3</v>
      </c>
      <c r="O252" s="29">
        <f t="shared" si="25"/>
        <v>2.6441424899008581E-3</v>
      </c>
      <c r="P252" s="30">
        <f t="shared" si="26"/>
        <v>-5.0377833753149082E-3</v>
      </c>
      <c r="Z252" s="3"/>
      <c r="AA252" s="3"/>
      <c r="AB252" s="3"/>
      <c r="AC252" s="3"/>
      <c r="AD252" s="3"/>
      <c r="AE252" s="7"/>
    </row>
    <row r="253" spans="2:31" x14ac:dyDescent="0.15">
      <c r="B253" s="16">
        <v>41586</v>
      </c>
      <c r="C253" s="23">
        <v>18506</v>
      </c>
      <c r="D253" s="23">
        <v>10800</v>
      </c>
      <c r="E253" s="23">
        <v>20095</v>
      </c>
      <c r="F253" s="23">
        <v>23248</v>
      </c>
      <c r="G253" s="23">
        <v>13563</v>
      </c>
      <c r="H253" s="24">
        <v>25563</v>
      </c>
      <c r="I253" s="2">
        <f t="shared" si="27"/>
        <v>249</v>
      </c>
      <c r="J253" s="16">
        <v>41586</v>
      </c>
      <c r="K253" s="29">
        <f t="shared" si="21"/>
        <v>-8.0403087478558843E-3</v>
      </c>
      <c r="L253" s="29">
        <f t="shared" si="22"/>
        <v>1.2979788614870813E-3</v>
      </c>
      <c r="M253" s="29">
        <f t="shared" si="23"/>
        <v>-2.6687978300881543E-2</v>
      </c>
      <c r="N253" s="29">
        <f t="shared" si="24"/>
        <v>-6.0709705002137682E-3</v>
      </c>
      <c r="O253" s="29">
        <f t="shared" si="25"/>
        <v>-6.4464141821112264E-3</v>
      </c>
      <c r="P253" s="30">
        <f t="shared" si="26"/>
        <v>-1.9447640966628321E-2</v>
      </c>
      <c r="Z253" s="3"/>
      <c r="AA253" s="3"/>
      <c r="AB253" s="3"/>
      <c r="AC253" s="3"/>
      <c r="AD253" s="3"/>
      <c r="AE253" s="7"/>
    </row>
    <row r="254" spans="2:31" x14ac:dyDescent="0.15">
      <c r="B254" s="16">
        <v>41593</v>
      </c>
      <c r="C254" s="23">
        <v>19920</v>
      </c>
      <c r="D254" s="23">
        <v>10774</v>
      </c>
      <c r="E254" s="23">
        <v>20712</v>
      </c>
      <c r="F254" s="23">
        <v>24079</v>
      </c>
      <c r="G254" s="23">
        <v>13847</v>
      </c>
      <c r="H254" s="24">
        <v>26047</v>
      </c>
      <c r="I254" s="2">
        <f t="shared" si="27"/>
        <v>250</v>
      </c>
      <c r="J254" s="16">
        <v>41593</v>
      </c>
      <c r="K254" s="29">
        <f t="shared" si="21"/>
        <v>7.6407651572462987E-2</v>
      </c>
      <c r="L254" s="29">
        <f t="shared" si="22"/>
        <v>-2.4074074074074137E-3</v>
      </c>
      <c r="M254" s="29">
        <f t="shared" si="23"/>
        <v>3.0704155262503141E-2</v>
      </c>
      <c r="N254" s="29">
        <f t="shared" si="24"/>
        <v>3.5745010323468662E-2</v>
      </c>
      <c r="O254" s="29">
        <f t="shared" si="25"/>
        <v>2.0939320209393264E-2</v>
      </c>
      <c r="P254" s="30">
        <f t="shared" si="26"/>
        <v>1.8933614990415792E-2</v>
      </c>
      <c r="Z254" s="3"/>
      <c r="AA254" s="3"/>
      <c r="AB254" s="3"/>
      <c r="AC254" s="3"/>
      <c r="AD254" s="3"/>
      <c r="AE254" s="7"/>
    </row>
    <row r="255" spans="2:31" x14ac:dyDescent="0.15">
      <c r="B255" s="16">
        <v>41600</v>
      </c>
      <c r="C255" s="23">
        <v>20213</v>
      </c>
      <c r="D255" s="23">
        <v>10776</v>
      </c>
      <c r="E255" s="23">
        <v>20289</v>
      </c>
      <c r="F255" s="23">
        <v>24359</v>
      </c>
      <c r="G255" s="23">
        <v>13971</v>
      </c>
      <c r="H255" s="24">
        <v>25878</v>
      </c>
      <c r="I255" s="2">
        <f t="shared" si="27"/>
        <v>251</v>
      </c>
      <c r="J255" s="16">
        <v>41600</v>
      </c>
      <c r="K255" s="29">
        <f t="shared" si="21"/>
        <v>1.4708835341365356E-2</v>
      </c>
      <c r="L255" s="29">
        <f t="shared" si="22"/>
        <v>1.8563207722288588E-4</v>
      </c>
      <c r="M255" s="29">
        <f t="shared" si="23"/>
        <v>-2.0422943221320988E-2</v>
      </c>
      <c r="N255" s="29">
        <f t="shared" si="24"/>
        <v>1.1628389883300727E-2</v>
      </c>
      <c r="O255" s="29">
        <f t="shared" si="25"/>
        <v>8.9550083050480289E-3</v>
      </c>
      <c r="P255" s="30">
        <f t="shared" si="26"/>
        <v>-6.4882712020578603E-3</v>
      </c>
      <c r="Z255" s="3"/>
      <c r="AA255" s="3"/>
      <c r="AB255" s="3"/>
      <c r="AC255" s="3"/>
      <c r="AD255" s="3"/>
      <c r="AE255" s="7"/>
    </row>
    <row r="256" spans="2:31" x14ac:dyDescent="0.15">
      <c r="B256" s="16">
        <v>41607</v>
      </c>
      <c r="C256" s="23">
        <v>20581</v>
      </c>
      <c r="D256" s="23">
        <v>10796</v>
      </c>
      <c r="E256" s="23">
        <v>20636</v>
      </c>
      <c r="F256" s="23">
        <v>24846</v>
      </c>
      <c r="G256" s="23">
        <v>14241</v>
      </c>
      <c r="H256" s="24">
        <v>26134</v>
      </c>
      <c r="I256" s="2">
        <f t="shared" si="27"/>
        <v>252</v>
      </c>
      <c r="J256" s="16">
        <v>41607</v>
      </c>
      <c r="K256" s="29">
        <f t="shared" si="21"/>
        <v>1.8206104981942417E-2</v>
      </c>
      <c r="L256" s="29">
        <f t="shared" si="22"/>
        <v>1.8559762435039762E-3</v>
      </c>
      <c r="M256" s="29">
        <f t="shared" si="23"/>
        <v>1.7102863620681141E-2</v>
      </c>
      <c r="N256" s="29">
        <f t="shared" si="24"/>
        <v>1.999261053409418E-2</v>
      </c>
      <c r="O256" s="29">
        <f t="shared" si="25"/>
        <v>1.9325746188533444E-2</v>
      </c>
      <c r="P256" s="30">
        <f t="shared" si="26"/>
        <v>9.8925728417960102E-3</v>
      </c>
      <c r="Z256" s="3"/>
      <c r="AA256" s="3"/>
      <c r="AB256" s="3"/>
      <c r="AC256" s="3"/>
      <c r="AD256" s="3"/>
      <c r="AE256" s="7"/>
    </row>
    <row r="257" spans="2:31" x14ac:dyDescent="0.15">
      <c r="B257" s="16">
        <v>41614</v>
      </c>
      <c r="C257" s="23">
        <v>20083</v>
      </c>
      <c r="D257" s="23">
        <v>10765</v>
      </c>
      <c r="E257" s="23">
        <v>20343</v>
      </c>
      <c r="F257" s="23">
        <v>24304</v>
      </c>
      <c r="G257" s="23">
        <v>14118</v>
      </c>
      <c r="H257" s="24">
        <v>25652</v>
      </c>
      <c r="I257" s="2">
        <f t="shared" si="27"/>
        <v>253</v>
      </c>
      <c r="J257" s="16">
        <v>41614</v>
      </c>
      <c r="K257" s="29">
        <f t="shared" si="21"/>
        <v>-2.4197074972061583E-2</v>
      </c>
      <c r="L257" s="29">
        <f t="shared" si="22"/>
        <v>-2.8714338643942572E-3</v>
      </c>
      <c r="M257" s="29">
        <f t="shared" si="23"/>
        <v>-1.4198488079085081E-2</v>
      </c>
      <c r="N257" s="29">
        <f t="shared" si="24"/>
        <v>-2.1814376559607163E-2</v>
      </c>
      <c r="O257" s="29">
        <f t="shared" si="25"/>
        <v>-8.6370339161575549E-3</v>
      </c>
      <c r="P257" s="30">
        <f t="shared" si="26"/>
        <v>-1.8443407055942496E-2</v>
      </c>
      <c r="Z257" s="3"/>
      <c r="AA257" s="3"/>
      <c r="AB257" s="3"/>
      <c r="AC257" s="3"/>
      <c r="AD257" s="3"/>
      <c r="AE257" s="7"/>
    </row>
    <row r="258" spans="2:31" x14ac:dyDescent="0.15">
      <c r="B258" s="16">
        <v>41621</v>
      </c>
      <c r="C258" s="23">
        <v>20223</v>
      </c>
      <c r="D258" s="23">
        <v>10754</v>
      </c>
      <c r="E258" s="23">
        <v>20244</v>
      </c>
      <c r="F258" s="23">
        <v>24525</v>
      </c>
      <c r="G258" s="23">
        <v>14407</v>
      </c>
      <c r="H258" s="24">
        <v>25536</v>
      </c>
      <c r="I258" s="2">
        <f t="shared" si="27"/>
        <v>254</v>
      </c>
      <c r="J258" s="16">
        <v>41621</v>
      </c>
      <c r="K258" s="29">
        <f t="shared" si="21"/>
        <v>6.9710700592540142E-3</v>
      </c>
      <c r="L258" s="29">
        <f t="shared" si="22"/>
        <v>-1.0218300046447304E-3</v>
      </c>
      <c r="M258" s="29">
        <f t="shared" si="23"/>
        <v>-4.8665388585754643E-3</v>
      </c>
      <c r="N258" s="29">
        <f t="shared" si="24"/>
        <v>9.0931533903884088E-3</v>
      </c>
      <c r="O258" s="29">
        <f t="shared" si="25"/>
        <v>2.0470321575293937E-2</v>
      </c>
      <c r="P258" s="30">
        <f t="shared" si="26"/>
        <v>-4.5220645563698314E-3</v>
      </c>
      <c r="Z258" s="3"/>
      <c r="AA258" s="3"/>
      <c r="AB258" s="3"/>
      <c r="AC258" s="3"/>
      <c r="AD258" s="3"/>
      <c r="AE258" s="7"/>
    </row>
    <row r="259" spans="2:31" x14ac:dyDescent="0.15">
      <c r="B259" s="16">
        <v>41628</v>
      </c>
      <c r="C259" s="23">
        <v>20809</v>
      </c>
      <c r="D259" s="23">
        <v>10769</v>
      </c>
      <c r="E259" s="23">
        <v>20356</v>
      </c>
      <c r="F259" s="23">
        <v>25185</v>
      </c>
      <c r="G259" s="23">
        <v>14444</v>
      </c>
      <c r="H259" s="24">
        <v>26016</v>
      </c>
      <c r="I259" s="2">
        <f t="shared" si="27"/>
        <v>255</v>
      </c>
      <c r="J259" s="16">
        <v>41628</v>
      </c>
      <c r="K259" s="29">
        <f t="shared" si="21"/>
        <v>2.8976907481580438E-2</v>
      </c>
      <c r="L259" s="29">
        <f t="shared" si="22"/>
        <v>1.3948298307606688E-3</v>
      </c>
      <c r="M259" s="29">
        <f t="shared" si="23"/>
        <v>5.5325034578146415E-3</v>
      </c>
      <c r="N259" s="29">
        <f t="shared" si="24"/>
        <v>2.6911314984709556E-2</v>
      </c>
      <c r="O259" s="29">
        <f t="shared" si="25"/>
        <v>2.5681960158256967E-3</v>
      </c>
      <c r="P259" s="30">
        <f t="shared" si="26"/>
        <v>1.8796992481203034E-2</v>
      </c>
      <c r="Z259" s="3"/>
      <c r="AA259" s="3"/>
      <c r="AB259" s="3"/>
      <c r="AC259" s="3"/>
      <c r="AD259" s="3"/>
      <c r="AE259" s="7"/>
    </row>
    <row r="260" spans="2:31" x14ac:dyDescent="0.15">
      <c r="B260" s="16">
        <v>41635</v>
      </c>
      <c r="C260" s="23">
        <v>21232</v>
      </c>
      <c r="D260" s="23">
        <v>10751</v>
      </c>
      <c r="E260" s="23">
        <v>20654</v>
      </c>
      <c r="F260" s="23">
        <v>25818</v>
      </c>
      <c r="G260" s="23">
        <v>14540</v>
      </c>
      <c r="H260" s="24">
        <v>26518</v>
      </c>
      <c r="I260" s="2">
        <f t="shared" si="27"/>
        <v>256</v>
      </c>
      <c r="J260" s="16">
        <v>41635</v>
      </c>
      <c r="K260" s="29">
        <f t="shared" si="21"/>
        <v>2.0327742803594617E-2</v>
      </c>
      <c r="L260" s="29">
        <f t="shared" si="22"/>
        <v>-1.6714643885226144E-3</v>
      </c>
      <c r="M260" s="29">
        <f t="shared" si="23"/>
        <v>1.4639418353311173E-2</v>
      </c>
      <c r="N260" s="29">
        <f t="shared" si="24"/>
        <v>2.5134008338296709E-2</v>
      </c>
      <c r="O260" s="29">
        <f t="shared" si="25"/>
        <v>6.6463583494875689E-3</v>
      </c>
      <c r="P260" s="30">
        <f t="shared" si="26"/>
        <v>1.9295817958179473E-2</v>
      </c>
      <c r="Z260" s="3"/>
      <c r="AA260" s="3"/>
      <c r="AB260" s="3"/>
      <c r="AC260" s="3"/>
      <c r="AD260" s="3"/>
      <c r="AE260" s="7"/>
    </row>
    <row r="261" spans="2:31" x14ac:dyDescent="0.15">
      <c r="B261" s="16">
        <v>41642</v>
      </c>
      <c r="C261" s="23">
        <v>21375</v>
      </c>
      <c r="D261" s="23">
        <v>10736</v>
      </c>
      <c r="E261" s="23">
        <v>21415</v>
      </c>
      <c r="F261" s="23">
        <v>26007</v>
      </c>
      <c r="G261" s="23">
        <v>14591</v>
      </c>
      <c r="H261" s="24">
        <v>26647</v>
      </c>
      <c r="I261" s="2">
        <f t="shared" si="27"/>
        <v>257</v>
      </c>
      <c r="J261" s="16">
        <v>41642</v>
      </c>
      <c r="K261" s="29">
        <f t="shared" ref="K261:K324" si="28">C261/C260-1</f>
        <v>6.7351168048228605E-3</v>
      </c>
      <c r="L261" s="29">
        <f t="shared" ref="L261:L324" si="29">D261/D260-1</f>
        <v>-1.3952190493907723E-3</v>
      </c>
      <c r="M261" s="29">
        <f t="shared" ref="M261:M324" si="30">E261/E260-1</f>
        <v>3.6845163164520134E-2</v>
      </c>
      <c r="N261" s="29">
        <f t="shared" ref="N261:N324" si="31">F261/F260-1</f>
        <v>7.3204740878456409E-3</v>
      </c>
      <c r="O261" s="29">
        <f t="shared" ref="O261:O324" si="32">G261/G260-1</f>
        <v>3.5075653370013615E-3</v>
      </c>
      <c r="P261" s="30">
        <f t="shared" ref="P261:P324" si="33">H261/H260-1</f>
        <v>4.8646202579381015E-3</v>
      </c>
      <c r="Z261" s="3"/>
      <c r="AA261" s="3"/>
      <c r="AB261" s="3"/>
      <c r="AC261" s="3"/>
      <c r="AD261" s="3"/>
      <c r="AE261" s="7"/>
    </row>
    <row r="262" spans="2:31" x14ac:dyDescent="0.15">
      <c r="B262" s="16">
        <v>41649</v>
      </c>
      <c r="C262" s="23">
        <v>20874</v>
      </c>
      <c r="D262" s="23">
        <v>10767</v>
      </c>
      <c r="E262" s="23">
        <v>20952</v>
      </c>
      <c r="F262" s="23">
        <v>25787</v>
      </c>
      <c r="G262" s="23">
        <v>14514</v>
      </c>
      <c r="H262" s="24">
        <v>26694</v>
      </c>
      <c r="I262" s="2">
        <f t="shared" si="27"/>
        <v>258</v>
      </c>
      <c r="J262" s="16">
        <v>41649</v>
      </c>
      <c r="K262" s="29">
        <f t="shared" si="28"/>
        <v>-2.3438596491228036E-2</v>
      </c>
      <c r="L262" s="29">
        <f t="shared" si="29"/>
        <v>2.8874813710879632E-3</v>
      </c>
      <c r="M262" s="29">
        <f t="shared" si="30"/>
        <v>-2.1620359561055347E-2</v>
      </c>
      <c r="N262" s="29">
        <f t="shared" si="31"/>
        <v>-8.4592609682008213E-3</v>
      </c>
      <c r="O262" s="29">
        <f t="shared" si="32"/>
        <v>-5.277225687067344E-3</v>
      </c>
      <c r="P262" s="30">
        <f t="shared" si="33"/>
        <v>1.7638008030922414E-3</v>
      </c>
      <c r="Z262" s="3"/>
      <c r="AA262" s="3"/>
      <c r="AB262" s="3"/>
      <c r="AC262" s="3"/>
      <c r="AD262" s="3"/>
      <c r="AE262" s="7"/>
    </row>
    <row r="263" spans="2:31" x14ac:dyDescent="0.15">
      <c r="B263" s="16">
        <v>41656</v>
      </c>
      <c r="C263" s="23">
        <v>20637</v>
      </c>
      <c r="D263" s="23">
        <v>10775</v>
      </c>
      <c r="E263" s="23">
        <v>21290</v>
      </c>
      <c r="F263" s="23">
        <v>25863</v>
      </c>
      <c r="G263" s="23">
        <v>14505</v>
      </c>
      <c r="H263" s="24">
        <v>26963</v>
      </c>
      <c r="I263" s="2">
        <f t="shared" ref="I263:I326" si="34">I262+1</f>
        <v>259</v>
      </c>
      <c r="J263" s="16">
        <v>41656</v>
      </c>
      <c r="K263" s="29">
        <f t="shared" si="28"/>
        <v>-1.1353837309571735E-2</v>
      </c>
      <c r="L263" s="29">
        <f t="shared" si="29"/>
        <v>7.4301105228946618E-4</v>
      </c>
      <c r="M263" s="29">
        <f t="shared" si="30"/>
        <v>1.6132111492936252E-2</v>
      </c>
      <c r="N263" s="29">
        <f t="shared" si="31"/>
        <v>2.9472214681816045E-3</v>
      </c>
      <c r="O263" s="29">
        <f t="shared" si="32"/>
        <v>-6.2009094667214715E-4</v>
      </c>
      <c r="P263" s="30">
        <f t="shared" si="33"/>
        <v>1.0077170899827737E-2</v>
      </c>
      <c r="Z263" s="3"/>
      <c r="AA263" s="3"/>
      <c r="AB263" s="3"/>
      <c r="AC263" s="3"/>
      <c r="AD263" s="3"/>
      <c r="AE263" s="7"/>
    </row>
    <row r="264" spans="2:31" x14ac:dyDescent="0.15">
      <c r="B264" s="16">
        <v>41663</v>
      </c>
      <c r="C264" s="23">
        <v>20189</v>
      </c>
      <c r="D264" s="23">
        <v>10814</v>
      </c>
      <c r="E264" s="23">
        <v>20999</v>
      </c>
      <c r="F264" s="23">
        <v>25488</v>
      </c>
      <c r="G264" s="23">
        <v>14457</v>
      </c>
      <c r="H264" s="24">
        <v>26792</v>
      </c>
      <c r="I264" s="2">
        <f t="shared" si="34"/>
        <v>260</v>
      </c>
      <c r="J264" s="16">
        <v>41663</v>
      </c>
      <c r="K264" s="29">
        <f t="shared" si="28"/>
        <v>-2.1708581673692828E-2</v>
      </c>
      <c r="L264" s="29">
        <f t="shared" si="29"/>
        <v>3.6194895591648013E-3</v>
      </c>
      <c r="M264" s="29">
        <f t="shared" si="30"/>
        <v>-1.3668388914983565E-2</v>
      </c>
      <c r="N264" s="29">
        <f t="shared" si="31"/>
        <v>-1.4499478018791367E-2</v>
      </c>
      <c r="O264" s="29">
        <f t="shared" si="32"/>
        <v>-3.3092037228541482E-3</v>
      </c>
      <c r="P264" s="30">
        <f t="shared" si="33"/>
        <v>-6.3420242554611539E-3</v>
      </c>
      <c r="Z264" s="3"/>
      <c r="AA264" s="3"/>
      <c r="AB264" s="3"/>
      <c r="AC264" s="3"/>
      <c r="AD264" s="3"/>
      <c r="AE264" s="7"/>
    </row>
    <row r="265" spans="2:31" x14ac:dyDescent="0.15">
      <c r="B265" s="16">
        <v>41670</v>
      </c>
      <c r="C265" s="23">
        <v>19540</v>
      </c>
      <c r="D265" s="23">
        <v>10813</v>
      </c>
      <c r="E265" s="23">
        <v>21200</v>
      </c>
      <c r="F265" s="23">
        <v>24712</v>
      </c>
      <c r="G265" s="23">
        <v>14343</v>
      </c>
      <c r="H265" s="24">
        <v>26527</v>
      </c>
      <c r="I265" s="2">
        <f t="shared" si="34"/>
        <v>261</v>
      </c>
      <c r="J265" s="16">
        <v>41670</v>
      </c>
      <c r="K265" s="29">
        <f t="shared" si="28"/>
        <v>-3.2146218237654178E-2</v>
      </c>
      <c r="L265" s="29">
        <f t="shared" si="29"/>
        <v>-9.2472720547465137E-5</v>
      </c>
      <c r="M265" s="29">
        <f t="shared" si="30"/>
        <v>9.5718843754464267E-3</v>
      </c>
      <c r="N265" s="29">
        <f t="shared" si="31"/>
        <v>-3.0445699937225346E-2</v>
      </c>
      <c r="O265" s="29">
        <f t="shared" si="32"/>
        <v>-7.885453413571275E-3</v>
      </c>
      <c r="P265" s="30">
        <f t="shared" si="33"/>
        <v>-9.8910122424604729E-3</v>
      </c>
      <c r="Z265" s="3"/>
      <c r="AA265" s="3"/>
      <c r="AB265" s="3"/>
      <c r="AC265" s="3"/>
      <c r="AD265" s="3"/>
      <c r="AE265" s="7"/>
    </row>
    <row r="266" spans="2:31" x14ac:dyDescent="0.15">
      <c r="B266" s="16">
        <v>41677</v>
      </c>
      <c r="C266" s="23">
        <v>18969</v>
      </c>
      <c r="D266" s="23">
        <v>10817</v>
      </c>
      <c r="E266" s="23">
        <v>20753</v>
      </c>
      <c r="F266" s="23">
        <v>24360</v>
      </c>
      <c r="G266" s="23">
        <v>14261</v>
      </c>
      <c r="H266" s="24">
        <v>26409</v>
      </c>
      <c r="I266" s="2">
        <f t="shared" si="34"/>
        <v>262</v>
      </c>
      <c r="J266" s="16">
        <v>41677</v>
      </c>
      <c r="K266" s="29">
        <f t="shared" si="28"/>
        <v>-2.9222108495394084E-2</v>
      </c>
      <c r="L266" s="29">
        <f t="shared" si="29"/>
        <v>3.6992509016919861E-4</v>
      </c>
      <c r="M266" s="29">
        <f t="shared" si="30"/>
        <v>-2.1084905660377351E-2</v>
      </c>
      <c r="N266" s="29">
        <f t="shared" si="31"/>
        <v>-1.4244091939138892E-2</v>
      </c>
      <c r="O266" s="29">
        <f t="shared" si="32"/>
        <v>-5.7170745311301285E-3</v>
      </c>
      <c r="P266" s="30">
        <f t="shared" si="33"/>
        <v>-4.4482979605684481E-3</v>
      </c>
      <c r="Z266" s="3"/>
      <c r="AA266" s="3"/>
      <c r="AB266" s="3"/>
      <c r="AC266" s="3"/>
      <c r="AD266" s="3"/>
      <c r="AE266" s="7"/>
    </row>
    <row r="267" spans="2:31" x14ac:dyDescent="0.15">
      <c r="B267" s="16">
        <v>41684</v>
      </c>
      <c r="C267" s="23">
        <v>18763</v>
      </c>
      <c r="D267" s="23">
        <v>10833</v>
      </c>
      <c r="E267" s="23">
        <v>20625</v>
      </c>
      <c r="F267" s="23">
        <v>25227</v>
      </c>
      <c r="G267" s="23">
        <v>14370</v>
      </c>
      <c r="H267" s="24">
        <v>27134</v>
      </c>
      <c r="I267" s="2">
        <f t="shared" si="34"/>
        <v>263</v>
      </c>
      <c r="J267" s="16">
        <v>41684</v>
      </c>
      <c r="K267" s="29">
        <f t="shared" si="28"/>
        <v>-1.0859823923243139E-2</v>
      </c>
      <c r="L267" s="29">
        <f t="shared" si="29"/>
        <v>1.4791531848017403E-3</v>
      </c>
      <c r="M267" s="29">
        <f t="shared" si="30"/>
        <v>-6.1677829711367371E-3</v>
      </c>
      <c r="N267" s="29">
        <f t="shared" si="31"/>
        <v>3.5591133004926112E-2</v>
      </c>
      <c r="O267" s="29">
        <f t="shared" si="32"/>
        <v>7.6432227754015258E-3</v>
      </c>
      <c r="P267" s="30">
        <f t="shared" si="33"/>
        <v>2.7452762315877122E-2</v>
      </c>
      <c r="Z267" s="3"/>
      <c r="AA267" s="3"/>
      <c r="AB267" s="3"/>
      <c r="AC267" s="3"/>
      <c r="AD267" s="3"/>
      <c r="AE267" s="7"/>
    </row>
    <row r="268" spans="2:31" x14ac:dyDescent="0.15">
      <c r="B268" s="16">
        <v>41691</v>
      </c>
      <c r="C268" s="23">
        <v>19471</v>
      </c>
      <c r="D268" s="23">
        <v>10821</v>
      </c>
      <c r="E268" s="23">
        <v>21136</v>
      </c>
      <c r="F268" s="23">
        <v>25506</v>
      </c>
      <c r="G268" s="23">
        <v>14413</v>
      </c>
      <c r="H268" s="24">
        <v>27508</v>
      </c>
      <c r="I268" s="2">
        <f t="shared" si="34"/>
        <v>264</v>
      </c>
      <c r="J268" s="16">
        <v>41691</v>
      </c>
      <c r="K268" s="29">
        <f t="shared" si="28"/>
        <v>3.773383787240836E-2</v>
      </c>
      <c r="L268" s="29">
        <f t="shared" si="29"/>
        <v>-1.1077263915812985E-3</v>
      </c>
      <c r="M268" s="29">
        <f t="shared" si="30"/>
        <v>2.4775757575757673E-2</v>
      </c>
      <c r="N268" s="29">
        <f t="shared" si="31"/>
        <v>1.1059579022475896E-2</v>
      </c>
      <c r="O268" s="29">
        <f t="shared" si="32"/>
        <v>2.9923451635351928E-3</v>
      </c>
      <c r="P268" s="30">
        <f t="shared" si="33"/>
        <v>1.378344512419849E-2</v>
      </c>
      <c r="Z268" s="3"/>
      <c r="AA268" s="3"/>
      <c r="AB268" s="3"/>
      <c r="AC268" s="3"/>
      <c r="AD268" s="3"/>
      <c r="AE268" s="7"/>
    </row>
    <row r="269" spans="2:31" x14ac:dyDescent="0.15">
      <c r="B269" s="16">
        <v>41698</v>
      </c>
      <c r="C269" s="23">
        <v>19453</v>
      </c>
      <c r="D269" s="23">
        <v>10834</v>
      </c>
      <c r="E269" s="23">
        <v>21394</v>
      </c>
      <c r="F269" s="23">
        <v>25554</v>
      </c>
      <c r="G269" s="23">
        <v>14430</v>
      </c>
      <c r="H269" s="24">
        <v>27513</v>
      </c>
      <c r="I269" s="2">
        <f t="shared" si="34"/>
        <v>265</v>
      </c>
      <c r="J269" s="16">
        <v>41698</v>
      </c>
      <c r="K269" s="29">
        <f t="shared" si="28"/>
        <v>-9.2445174875455116E-4</v>
      </c>
      <c r="L269" s="29">
        <f t="shared" si="29"/>
        <v>1.2013677109323773E-3</v>
      </c>
      <c r="M269" s="29">
        <f t="shared" si="30"/>
        <v>1.220666161998496E-2</v>
      </c>
      <c r="N269" s="29">
        <f t="shared" si="31"/>
        <v>1.8819101387907988E-3</v>
      </c>
      <c r="O269" s="29">
        <f t="shared" si="32"/>
        <v>1.1794907375286545E-3</v>
      </c>
      <c r="P269" s="30">
        <f t="shared" si="33"/>
        <v>1.8176530463875906E-4</v>
      </c>
      <c r="Z269" s="3"/>
      <c r="AA269" s="3"/>
      <c r="AB269" s="3"/>
      <c r="AC269" s="3"/>
      <c r="AD269" s="3"/>
      <c r="AE269" s="7"/>
    </row>
    <row r="270" spans="2:31" x14ac:dyDescent="0.15">
      <c r="B270" s="16">
        <v>41705</v>
      </c>
      <c r="C270" s="23">
        <v>20019</v>
      </c>
      <c r="D270" s="23">
        <v>10819</v>
      </c>
      <c r="E270" s="23">
        <v>21272</v>
      </c>
      <c r="F270" s="23">
        <v>26151</v>
      </c>
      <c r="G270" s="23">
        <v>14646</v>
      </c>
      <c r="H270" s="24">
        <v>28131</v>
      </c>
      <c r="I270" s="2">
        <f t="shared" si="34"/>
        <v>266</v>
      </c>
      <c r="J270" s="16">
        <v>41705</v>
      </c>
      <c r="K270" s="29">
        <f t="shared" si="28"/>
        <v>2.9095769290083728E-2</v>
      </c>
      <c r="L270" s="29">
        <f t="shared" si="29"/>
        <v>-1.3845301827579704E-3</v>
      </c>
      <c r="M270" s="29">
        <f t="shared" si="30"/>
        <v>-5.7025334205852429E-3</v>
      </c>
      <c r="N270" s="29">
        <f t="shared" si="31"/>
        <v>2.3362291617750719E-2</v>
      </c>
      <c r="O270" s="29">
        <f t="shared" si="32"/>
        <v>1.496881496881497E-2</v>
      </c>
      <c r="P270" s="30">
        <f t="shared" si="33"/>
        <v>2.246210882128441E-2</v>
      </c>
      <c r="Z270" s="3"/>
      <c r="AA270" s="3"/>
      <c r="AB270" s="3"/>
      <c r="AC270" s="3"/>
      <c r="AD270" s="3"/>
      <c r="AE270" s="7"/>
    </row>
    <row r="271" spans="2:31" x14ac:dyDescent="0.15">
      <c r="B271" s="16">
        <v>41712</v>
      </c>
      <c r="C271" s="23">
        <v>18769</v>
      </c>
      <c r="D271" s="23">
        <v>10811</v>
      </c>
      <c r="E271" s="23">
        <v>20730</v>
      </c>
      <c r="F271" s="23">
        <v>25253</v>
      </c>
      <c r="G271" s="23">
        <v>14499</v>
      </c>
      <c r="H271" s="24">
        <v>27395</v>
      </c>
      <c r="I271" s="2">
        <f t="shared" si="34"/>
        <v>267</v>
      </c>
      <c r="J271" s="16">
        <v>41712</v>
      </c>
      <c r="K271" s="29">
        <f t="shared" si="28"/>
        <v>-6.2440681352714966E-2</v>
      </c>
      <c r="L271" s="29">
        <f t="shared" si="29"/>
        <v>-7.3943987429525571E-4</v>
      </c>
      <c r="M271" s="29">
        <f t="shared" si="30"/>
        <v>-2.5479503572771733E-2</v>
      </c>
      <c r="N271" s="29">
        <f t="shared" si="31"/>
        <v>-3.4339031012198373E-2</v>
      </c>
      <c r="O271" s="29">
        <f t="shared" si="32"/>
        <v>-1.0036870135190501E-2</v>
      </c>
      <c r="P271" s="30">
        <f t="shared" si="33"/>
        <v>-2.6163307383313739E-2</v>
      </c>
      <c r="Z271" s="3"/>
      <c r="AA271" s="3"/>
      <c r="AB271" s="3"/>
      <c r="AC271" s="3"/>
      <c r="AD271" s="3"/>
      <c r="AE271" s="7"/>
    </row>
    <row r="272" spans="2:31" x14ac:dyDescent="0.15">
      <c r="B272" s="16">
        <v>41719</v>
      </c>
      <c r="C272" s="23">
        <v>18630</v>
      </c>
      <c r="D272" s="23">
        <v>10831</v>
      </c>
      <c r="E272" s="23">
        <v>20553</v>
      </c>
      <c r="F272" s="23">
        <v>25522</v>
      </c>
      <c r="G272" s="23">
        <v>14510</v>
      </c>
      <c r="H272" s="24">
        <v>27287</v>
      </c>
      <c r="I272" s="2">
        <f t="shared" si="34"/>
        <v>268</v>
      </c>
      <c r="J272" s="16">
        <v>41719</v>
      </c>
      <c r="K272" s="29">
        <f t="shared" si="28"/>
        <v>-7.4058287601896922E-3</v>
      </c>
      <c r="L272" s="29">
        <f t="shared" si="29"/>
        <v>1.8499676255665509E-3</v>
      </c>
      <c r="M272" s="29">
        <f t="shared" si="30"/>
        <v>-8.5383502170767178E-3</v>
      </c>
      <c r="N272" s="29">
        <f t="shared" si="31"/>
        <v>1.0652199738644841E-2</v>
      </c>
      <c r="O272" s="29">
        <f t="shared" si="32"/>
        <v>7.5867301193177639E-4</v>
      </c>
      <c r="P272" s="30">
        <f t="shared" si="33"/>
        <v>-3.9423252418324672E-3</v>
      </c>
      <c r="Z272" s="3"/>
      <c r="AA272" s="3"/>
      <c r="AB272" s="3"/>
      <c r="AC272" s="3"/>
      <c r="AD272" s="3"/>
      <c r="AE272" s="7"/>
    </row>
    <row r="273" spans="2:31" x14ac:dyDescent="0.15">
      <c r="B273" s="16">
        <v>41726</v>
      </c>
      <c r="C273" s="23">
        <v>19380</v>
      </c>
      <c r="D273" s="23">
        <v>10814</v>
      </c>
      <c r="E273" s="23">
        <v>20901</v>
      </c>
      <c r="F273" s="23">
        <v>25447</v>
      </c>
      <c r="G273" s="23">
        <v>14514</v>
      </c>
      <c r="H273" s="24">
        <v>27431</v>
      </c>
      <c r="I273" s="2">
        <f t="shared" si="34"/>
        <v>269</v>
      </c>
      <c r="J273" s="16">
        <v>41726</v>
      </c>
      <c r="K273" s="29">
        <f t="shared" si="28"/>
        <v>4.0257648953301084E-2</v>
      </c>
      <c r="L273" s="29">
        <f t="shared" si="29"/>
        <v>-1.5695688302095334E-3</v>
      </c>
      <c r="M273" s="29">
        <f t="shared" si="30"/>
        <v>1.6931834768646903E-2</v>
      </c>
      <c r="N273" s="29">
        <f t="shared" si="31"/>
        <v>-2.9386411723218986E-3</v>
      </c>
      <c r="O273" s="29">
        <f t="shared" si="32"/>
        <v>2.7567195037914161E-4</v>
      </c>
      <c r="P273" s="30">
        <f t="shared" si="33"/>
        <v>5.2772382453183386E-3</v>
      </c>
      <c r="Z273" s="3"/>
      <c r="AA273" s="3"/>
      <c r="AB273" s="3"/>
      <c r="AC273" s="3"/>
      <c r="AD273" s="3"/>
      <c r="AE273" s="7"/>
    </row>
    <row r="274" spans="2:31" x14ac:dyDescent="0.15">
      <c r="B274" s="16">
        <v>41733</v>
      </c>
      <c r="C274" s="23">
        <v>19865</v>
      </c>
      <c r="D274" s="23">
        <v>10810</v>
      </c>
      <c r="E274" s="23">
        <v>20946</v>
      </c>
      <c r="F274" s="23">
        <v>26422</v>
      </c>
      <c r="G274" s="23">
        <v>14716</v>
      </c>
      <c r="H274" s="24">
        <v>28244</v>
      </c>
      <c r="I274" s="2">
        <f t="shared" si="34"/>
        <v>270</v>
      </c>
      <c r="J274" s="16">
        <v>41733</v>
      </c>
      <c r="K274" s="29">
        <f t="shared" si="28"/>
        <v>2.5025799793601644E-2</v>
      </c>
      <c r="L274" s="29">
        <f t="shared" si="29"/>
        <v>-3.6989088218974953E-4</v>
      </c>
      <c r="M274" s="29">
        <f t="shared" si="30"/>
        <v>2.1530070331563511E-3</v>
      </c>
      <c r="N274" s="29">
        <f t="shared" si="31"/>
        <v>3.8314929068259618E-2</v>
      </c>
      <c r="O274" s="29">
        <f t="shared" si="32"/>
        <v>1.3917596803086685E-2</v>
      </c>
      <c r="P274" s="30">
        <f t="shared" si="33"/>
        <v>2.9638000802012288E-2</v>
      </c>
      <c r="Z274" s="3"/>
      <c r="AA274" s="3"/>
      <c r="AB274" s="3"/>
      <c r="AC274" s="3"/>
      <c r="AD274" s="3"/>
      <c r="AE274" s="7"/>
    </row>
    <row r="275" spans="2:31" x14ac:dyDescent="0.15">
      <c r="B275" s="16">
        <v>41740</v>
      </c>
      <c r="C275" s="23">
        <v>18426</v>
      </c>
      <c r="D275" s="23">
        <v>10822</v>
      </c>
      <c r="E275" s="23">
        <v>20712</v>
      </c>
      <c r="F275" s="23">
        <v>25416</v>
      </c>
      <c r="G275" s="23">
        <v>14582</v>
      </c>
      <c r="H275" s="24">
        <v>27873</v>
      </c>
      <c r="I275" s="2">
        <f t="shared" si="34"/>
        <v>271</v>
      </c>
      <c r="J275" s="16">
        <v>41740</v>
      </c>
      <c r="K275" s="29">
        <f t="shared" si="28"/>
        <v>-7.2438963000251655E-2</v>
      </c>
      <c r="L275" s="29">
        <f t="shared" si="29"/>
        <v>1.1100832562442875E-3</v>
      </c>
      <c r="M275" s="29">
        <f t="shared" si="30"/>
        <v>-1.1171584073331409E-2</v>
      </c>
      <c r="N275" s="29">
        <f t="shared" si="31"/>
        <v>-3.8074331996063915E-2</v>
      </c>
      <c r="O275" s="29">
        <f t="shared" si="32"/>
        <v>-9.1057352541451531E-3</v>
      </c>
      <c r="P275" s="30">
        <f t="shared" si="33"/>
        <v>-1.3135533210593353E-2</v>
      </c>
      <c r="Z275" s="3"/>
      <c r="AA275" s="3"/>
      <c r="AB275" s="3"/>
      <c r="AC275" s="3"/>
      <c r="AD275" s="3"/>
      <c r="AE275" s="7"/>
    </row>
    <row r="276" spans="2:31" x14ac:dyDescent="0.15">
      <c r="B276" s="16">
        <v>41747</v>
      </c>
      <c r="C276" s="23">
        <v>19131</v>
      </c>
      <c r="D276" s="23">
        <v>10829</v>
      </c>
      <c r="E276" s="23">
        <v>21175</v>
      </c>
      <c r="F276" s="23">
        <v>25879</v>
      </c>
      <c r="G276" s="23">
        <v>14674</v>
      </c>
      <c r="H276" s="24">
        <v>28430</v>
      </c>
      <c r="I276" s="2">
        <f t="shared" si="34"/>
        <v>272</v>
      </c>
      <c r="J276" s="16">
        <v>41747</v>
      </c>
      <c r="K276" s="29">
        <f t="shared" si="28"/>
        <v>3.8261152718984004E-2</v>
      </c>
      <c r="L276" s="29">
        <f t="shared" si="29"/>
        <v>6.4683053040104355E-4</v>
      </c>
      <c r="M276" s="29">
        <f t="shared" si="30"/>
        <v>2.2354190807261531E-2</v>
      </c>
      <c r="N276" s="29">
        <f t="shared" si="31"/>
        <v>1.8216871262197065E-2</v>
      </c>
      <c r="O276" s="29">
        <f t="shared" si="32"/>
        <v>6.3091482649841879E-3</v>
      </c>
      <c r="P276" s="30">
        <f t="shared" si="33"/>
        <v>1.9983496573745096E-2</v>
      </c>
      <c r="Z276" s="3"/>
      <c r="AA276" s="3"/>
      <c r="AB276" s="3"/>
      <c r="AC276" s="3"/>
      <c r="AD276" s="3"/>
      <c r="AE276" s="7"/>
    </row>
    <row r="277" spans="2:31" x14ac:dyDescent="0.15">
      <c r="B277" s="16">
        <v>41754</v>
      </c>
      <c r="C277" s="23">
        <v>19018</v>
      </c>
      <c r="D277" s="23">
        <v>10816</v>
      </c>
      <c r="E277" s="23">
        <v>21289</v>
      </c>
      <c r="F277" s="23">
        <v>26063</v>
      </c>
      <c r="G277" s="23">
        <v>14663</v>
      </c>
      <c r="H277" s="24">
        <v>28598</v>
      </c>
      <c r="I277" s="2">
        <f t="shared" si="34"/>
        <v>273</v>
      </c>
      <c r="J277" s="16">
        <v>41754</v>
      </c>
      <c r="K277" s="29">
        <f t="shared" si="28"/>
        <v>-5.9066436673461675E-3</v>
      </c>
      <c r="L277" s="29">
        <f t="shared" si="29"/>
        <v>-1.2004801920768582E-3</v>
      </c>
      <c r="M277" s="29">
        <f t="shared" si="30"/>
        <v>5.3837072018889653E-3</v>
      </c>
      <c r="N277" s="29">
        <f t="shared" si="31"/>
        <v>7.1100119788245486E-3</v>
      </c>
      <c r="O277" s="29">
        <f t="shared" si="32"/>
        <v>-7.496251874062887E-4</v>
      </c>
      <c r="P277" s="30">
        <f t="shared" si="33"/>
        <v>5.9092507914175751E-3</v>
      </c>
      <c r="Z277" s="3"/>
      <c r="AA277" s="3"/>
      <c r="AB277" s="3"/>
      <c r="AC277" s="3"/>
      <c r="AD277" s="3"/>
      <c r="AE277" s="7"/>
    </row>
    <row r="278" spans="2:31" x14ac:dyDescent="0.15">
      <c r="B278" s="16">
        <v>41761</v>
      </c>
      <c r="C278" s="23">
        <v>19052</v>
      </c>
      <c r="D278" s="23">
        <v>10823</v>
      </c>
      <c r="E278" s="23">
        <v>21350</v>
      </c>
      <c r="F278" s="23">
        <v>26190</v>
      </c>
      <c r="G278" s="23">
        <v>14735</v>
      </c>
      <c r="H278" s="24">
        <v>28839</v>
      </c>
      <c r="I278" s="2">
        <f t="shared" si="34"/>
        <v>274</v>
      </c>
      <c r="J278" s="16">
        <v>41761</v>
      </c>
      <c r="K278" s="29">
        <f t="shared" si="28"/>
        <v>1.7877799978966991E-3</v>
      </c>
      <c r="L278" s="29">
        <f t="shared" si="29"/>
        <v>6.4718934911245363E-4</v>
      </c>
      <c r="M278" s="29">
        <f t="shared" si="30"/>
        <v>2.8653295128939771E-3</v>
      </c>
      <c r="N278" s="29">
        <f t="shared" si="31"/>
        <v>4.8728081955262681E-3</v>
      </c>
      <c r="O278" s="29">
        <f t="shared" si="32"/>
        <v>4.9103184887131501E-3</v>
      </c>
      <c r="P278" s="30">
        <f t="shared" si="33"/>
        <v>8.4271627386529602E-3</v>
      </c>
      <c r="Z278" s="3"/>
      <c r="AA278" s="3"/>
      <c r="AB278" s="3"/>
      <c r="AC278" s="3"/>
      <c r="AD278" s="3"/>
      <c r="AE278" s="7"/>
    </row>
    <row r="279" spans="2:31" x14ac:dyDescent="0.15">
      <c r="B279" s="16">
        <v>41768</v>
      </c>
      <c r="C279" s="23">
        <v>18707</v>
      </c>
      <c r="D279" s="23">
        <v>10825</v>
      </c>
      <c r="E279" s="23">
        <v>21421</v>
      </c>
      <c r="F279" s="23">
        <v>25994</v>
      </c>
      <c r="G279" s="23">
        <v>14677</v>
      </c>
      <c r="H279" s="24">
        <v>29068</v>
      </c>
      <c r="I279" s="2">
        <f t="shared" si="34"/>
        <v>275</v>
      </c>
      <c r="J279" s="16">
        <v>41768</v>
      </c>
      <c r="K279" s="29">
        <f t="shared" si="28"/>
        <v>-1.8108335082930971E-2</v>
      </c>
      <c r="L279" s="29">
        <f t="shared" si="29"/>
        <v>1.8479164741758147E-4</v>
      </c>
      <c r="M279" s="29">
        <f t="shared" si="30"/>
        <v>3.3255269320842107E-3</v>
      </c>
      <c r="N279" s="29">
        <f t="shared" si="31"/>
        <v>-7.4837724322260879E-3</v>
      </c>
      <c r="O279" s="29">
        <f t="shared" si="32"/>
        <v>-3.9362063115032653E-3</v>
      </c>
      <c r="P279" s="30">
        <f t="shared" si="33"/>
        <v>7.9406359443807695E-3</v>
      </c>
      <c r="Z279" s="3"/>
      <c r="AA279" s="3"/>
      <c r="AB279" s="3"/>
      <c r="AC279" s="3"/>
      <c r="AD279" s="3"/>
      <c r="AE279" s="7"/>
    </row>
    <row r="280" spans="2:31" x14ac:dyDescent="0.15">
      <c r="B280" s="16">
        <v>41775</v>
      </c>
      <c r="C280" s="23">
        <v>18575</v>
      </c>
      <c r="D280" s="23">
        <v>10834</v>
      </c>
      <c r="E280" s="23">
        <v>21640</v>
      </c>
      <c r="F280" s="23">
        <v>25912</v>
      </c>
      <c r="G280" s="23">
        <v>14651</v>
      </c>
      <c r="H280" s="24">
        <v>29014</v>
      </c>
      <c r="I280" s="2">
        <f t="shared" si="34"/>
        <v>276</v>
      </c>
      <c r="J280" s="16">
        <v>41775</v>
      </c>
      <c r="K280" s="29">
        <f t="shared" si="28"/>
        <v>-7.0561821777943567E-3</v>
      </c>
      <c r="L280" s="29">
        <f t="shared" si="29"/>
        <v>8.3140877598153473E-4</v>
      </c>
      <c r="M280" s="29">
        <f t="shared" si="30"/>
        <v>1.0223612343027932E-2</v>
      </c>
      <c r="N280" s="29">
        <f t="shared" si="31"/>
        <v>-3.154574132492094E-3</v>
      </c>
      <c r="O280" s="29">
        <f t="shared" si="32"/>
        <v>-1.771479185119551E-3</v>
      </c>
      <c r="P280" s="30">
        <f t="shared" si="33"/>
        <v>-1.857712948947321E-3</v>
      </c>
      <c r="Z280" s="3"/>
      <c r="AA280" s="3"/>
      <c r="AB280" s="3"/>
      <c r="AC280" s="3"/>
      <c r="AD280" s="3"/>
      <c r="AE280" s="7"/>
    </row>
    <row r="281" spans="2:31" x14ac:dyDescent="0.15">
      <c r="B281" s="16">
        <v>41782</v>
      </c>
      <c r="C281" s="23">
        <v>19038</v>
      </c>
      <c r="D281" s="23">
        <v>10835</v>
      </c>
      <c r="E281" s="23">
        <v>21720</v>
      </c>
      <c r="F281" s="23">
        <v>26171</v>
      </c>
      <c r="G281" s="23">
        <v>14595</v>
      </c>
      <c r="H281" s="24">
        <v>28929</v>
      </c>
      <c r="I281" s="2">
        <f t="shared" si="34"/>
        <v>277</v>
      </c>
      <c r="J281" s="16">
        <v>41782</v>
      </c>
      <c r="K281" s="29">
        <f t="shared" si="28"/>
        <v>2.4925975773889553E-2</v>
      </c>
      <c r="L281" s="29">
        <f t="shared" si="29"/>
        <v>9.2302012183909099E-5</v>
      </c>
      <c r="M281" s="29">
        <f t="shared" si="30"/>
        <v>3.6968576709797141E-3</v>
      </c>
      <c r="N281" s="29">
        <f t="shared" si="31"/>
        <v>9.9953689410312574E-3</v>
      </c>
      <c r="O281" s="29">
        <f t="shared" si="32"/>
        <v>-3.8222646918298908E-3</v>
      </c>
      <c r="P281" s="30">
        <f t="shared" si="33"/>
        <v>-2.929620183359738E-3</v>
      </c>
      <c r="Z281" s="3"/>
      <c r="AA281" s="3"/>
      <c r="AB281" s="3"/>
      <c r="AC281" s="3"/>
      <c r="AD281" s="3"/>
      <c r="AE281" s="7"/>
    </row>
    <row r="282" spans="2:31" x14ac:dyDescent="0.15">
      <c r="B282" s="16">
        <v>41789</v>
      </c>
      <c r="C282" s="23">
        <v>19269</v>
      </c>
      <c r="D282" s="23">
        <v>10843</v>
      </c>
      <c r="E282" s="23">
        <v>22346</v>
      </c>
      <c r="F282" s="23">
        <v>26428</v>
      </c>
      <c r="G282" s="23">
        <v>14640</v>
      </c>
      <c r="H282" s="24">
        <v>29257</v>
      </c>
      <c r="I282" s="2">
        <f t="shared" si="34"/>
        <v>278</v>
      </c>
      <c r="J282" s="16">
        <v>41789</v>
      </c>
      <c r="K282" s="29">
        <f t="shared" si="28"/>
        <v>1.2133627481878406E-2</v>
      </c>
      <c r="L282" s="29">
        <f t="shared" si="29"/>
        <v>7.3834794646976398E-4</v>
      </c>
      <c r="M282" s="29">
        <f t="shared" si="30"/>
        <v>2.8821362799263284E-2</v>
      </c>
      <c r="N282" s="29">
        <f t="shared" si="31"/>
        <v>9.8200298039814449E-3</v>
      </c>
      <c r="O282" s="29">
        <f t="shared" si="32"/>
        <v>3.0832476875641834E-3</v>
      </c>
      <c r="P282" s="30">
        <f t="shared" si="33"/>
        <v>1.133810363303267E-2</v>
      </c>
      <c r="Z282" s="3"/>
      <c r="AA282" s="3"/>
      <c r="AB282" s="3"/>
      <c r="AC282" s="3"/>
      <c r="AD282" s="3"/>
      <c r="AE282" s="7"/>
    </row>
    <row r="283" spans="2:31" x14ac:dyDescent="0.15">
      <c r="B283" s="16">
        <v>41796</v>
      </c>
      <c r="C283" s="23">
        <v>19851</v>
      </c>
      <c r="D283" s="23">
        <v>10839</v>
      </c>
      <c r="E283" s="23">
        <v>22123</v>
      </c>
      <c r="F283" s="23">
        <v>26816</v>
      </c>
      <c r="G283" s="23">
        <v>14711</v>
      </c>
      <c r="H283" s="24">
        <v>30028</v>
      </c>
      <c r="I283" s="2">
        <f t="shared" si="34"/>
        <v>279</v>
      </c>
      <c r="J283" s="16">
        <v>41796</v>
      </c>
      <c r="K283" s="29">
        <f t="shared" si="28"/>
        <v>3.0203954538377653E-2</v>
      </c>
      <c r="L283" s="29">
        <f t="shared" si="29"/>
        <v>-3.689015954994046E-4</v>
      </c>
      <c r="M283" s="29">
        <f t="shared" si="30"/>
        <v>-9.979414660341912E-3</v>
      </c>
      <c r="N283" s="29">
        <f t="shared" si="31"/>
        <v>1.4681398516724675E-2</v>
      </c>
      <c r="O283" s="29">
        <f t="shared" si="32"/>
        <v>4.8497267759561868E-3</v>
      </c>
      <c r="P283" s="30">
        <f t="shared" si="33"/>
        <v>2.6352667737635338E-2</v>
      </c>
      <c r="Z283" s="3"/>
      <c r="AA283" s="3"/>
      <c r="AB283" s="3"/>
      <c r="AC283" s="3"/>
      <c r="AD283" s="3"/>
      <c r="AE283" s="7"/>
    </row>
    <row r="284" spans="2:31" x14ac:dyDescent="0.15">
      <c r="B284" s="16">
        <v>41803</v>
      </c>
      <c r="C284" s="23">
        <v>19883</v>
      </c>
      <c r="D284" s="23">
        <v>10839</v>
      </c>
      <c r="E284" s="23">
        <v>22350</v>
      </c>
      <c r="F284" s="23">
        <v>26643</v>
      </c>
      <c r="G284" s="23">
        <v>14614</v>
      </c>
      <c r="H284" s="24">
        <v>29427</v>
      </c>
      <c r="I284" s="2">
        <f t="shared" si="34"/>
        <v>280</v>
      </c>
      <c r="J284" s="16">
        <v>41803</v>
      </c>
      <c r="K284" s="29">
        <f t="shared" si="28"/>
        <v>1.6120094705556198E-3</v>
      </c>
      <c r="L284" s="29">
        <f t="shared" si="29"/>
        <v>0</v>
      </c>
      <c r="M284" s="29">
        <f t="shared" si="30"/>
        <v>1.0260814536907192E-2</v>
      </c>
      <c r="N284" s="29">
        <f t="shared" si="31"/>
        <v>-6.451372315035786E-3</v>
      </c>
      <c r="O284" s="29">
        <f t="shared" si="32"/>
        <v>-6.5937053905240628E-3</v>
      </c>
      <c r="P284" s="30">
        <f t="shared" si="33"/>
        <v>-2.001465299054217E-2</v>
      </c>
      <c r="Z284" s="3"/>
      <c r="AA284" s="3"/>
      <c r="AB284" s="3"/>
      <c r="AC284" s="3"/>
      <c r="AD284" s="3"/>
      <c r="AE284" s="7"/>
    </row>
    <row r="285" spans="2:31" x14ac:dyDescent="0.15">
      <c r="B285" s="16">
        <v>41810</v>
      </c>
      <c r="C285" s="23">
        <v>20205</v>
      </c>
      <c r="D285" s="23">
        <v>10846</v>
      </c>
      <c r="E285" s="23">
        <v>23068</v>
      </c>
      <c r="F285" s="23">
        <v>26977</v>
      </c>
      <c r="G285" s="23">
        <v>14676</v>
      </c>
      <c r="H285" s="24">
        <v>29708</v>
      </c>
      <c r="I285" s="2">
        <f t="shared" si="34"/>
        <v>281</v>
      </c>
      <c r="J285" s="16">
        <v>41810</v>
      </c>
      <c r="K285" s="29">
        <f t="shared" si="28"/>
        <v>1.6194739224463017E-2</v>
      </c>
      <c r="L285" s="29">
        <f t="shared" si="29"/>
        <v>6.458160346896058E-4</v>
      </c>
      <c r="M285" s="29">
        <f t="shared" si="30"/>
        <v>3.2125279642058135E-2</v>
      </c>
      <c r="N285" s="29">
        <f t="shared" si="31"/>
        <v>1.2536125811657861E-2</v>
      </c>
      <c r="O285" s="29">
        <f t="shared" si="32"/>
        <v>4.2425071848912754E-3</v>
      </c>
      <c r="P285" s="30">
        <f t="shared" si="33"/>
        <v>9.5490535902402751E-3</v>
      </c>
      <c r="Z285" s="3"/>
      <c r="AA285" s="3"/>
      <c r="AB285" s="3"/>
      <c r="AC285" s="3"/>
      <c r="AD285" s="3"/>
      <c r="AE285" s="7"/>
    </row>
    <row r="286" spans="2:31" x14ac:dyDescent="0.15">
      <c r="B286" s="16">
        <v>41817</v>
      </c>
      <c r="C286" s="23">
        <v>19883</v>
      </c>
      <c r="D286" s="23">
        <v>10873</v>
      </c>
      <c r="E286" s="23">
        <v>22715</v>
      </c>
      <c r="F286" s="23">
        <v>26740</v>
      </c>
      <c r="G286" s="23">
        <v>14699</v>
      </c>
      <c r="H286" s="24">
        <v>29659</v>
      </c>
      <c r="I286" s="2">
        <f t="shared" si="34"/>
        <v>282</v>
      </c>
      <c r="J286" s="16">
        <v>41817</v>
      </c>
      <c r="K286" s="29">
        <f t="shared" si="28"/>
        <v>-1.5936649344221676E-2</v>
      </c>
      <c r="L286" s="29">
        <f t="shared" si="29"/>
        <v>2.4893970127235487E-3</v>
      </c>
      <c r="M286" s="29">
        <f t="shared" si="30"/>
        <v>-1.5302583665684044E-2</v>
      </c>
      <c r="N286" s="29">
        <f t="shared" si="31"/>
        <v>-8.7852615190717742E-3</v>
      </c>
      <c r="O286" s="29">
        <f t="shared" si="32"/>
        <v>1.5671845189424438E-3</v>
      </c>
      <c r="P286" s="30">
        <f t="shared" si="33"/>
        <v>-1.6493873704053197E-3</v>
      </c>
      <c r="Z286" s="3"/>
      <c r="AA286" s="3"/>
      <c r="AB286" s="3"/>
      <c r="AC286" s="3"/>
      <c r="AD286" s="3"/>
      <c r="AE286" s="7"/>
    </row>
    <row r="287" spans="2:31" x14ac:dyDescent="0.15">
      <c r="B287" s="16">
        <v>41824</v>
      </c>
      <c r="C287" s="23">
        <v>20326</v>
      </c>
      <c r="D287" s="23">
        <v>10864</v>
      </c>
      <c r="E287" s="23">
        <v>22732</v>
      </c>
      <c r="F287" s="23">
        <v>27320</v>
      </c>
      <c r="G287" s="23">
        <v>14732</v>
      </c>
      <c r="H287" s="24">
        <v>29898</v>
      </c>
      <c r="I287" s="2">
        <f t="shared" si="34"/>
        <v>283</v>
      </c>
      <c r="J287" s="16">
        <v>41824</v>
      </c>
      <c r="K287" s="29">
        <f t="shared" si="28"/>
        <v>2.2280339988935305E-2</v>
      </c>
      <c r="L287" s="29">
        <f t="shared" si="29"/>
        <v>-8.277384346546679E-4</v>
      </c>
      <c r="M287" s="29">
        <f t="shared" si="30"/>
        <v>7.4840413823462626E-4</v>
      </c>
      <c r="N287" s="29">
        <f t="shared" si="31"/>
        <v>2.1690351533283581E-2</v>
      </c>
      <c r="O287" s="29">
        <f t="shared" si="32"/>
        <v>2.2450506837199402E-3</v>
      </c>
      <c r="P287" s="30">
        <f t="shared" si="33"/>
        <v>8.0582622475471322E-3</v>
      </c>
      <c r="Z287" s="3"/>
      <c r="AA287" s="3"/>
      <c r="AB287" s="3"/>
      <c r="AC287" s="3"/>
      <c r="AD287" s="3"/>
      <c r="AE287" s="7"/>
    </row>
    <row r="288" spans="2:31" x14ac:dyDescent="0.15">
      <c r="B288" s="16">
        <v>41831</v>
      </c>
      <c r="C288" s="23">
        <v>19964</v>
      </c>
      <c r="D288" s="23">
        <v>10878</v>
      </c>
      <c r="E288" s="23">
        <v>22668</v>
      </c>
      <c r="F288" s="23">
        <v>26639</v>
      </c>
      <c r="G288" s="23">
        <v>14672</v>
      </c>
      <c r="H288" s="24">
        <v>29836</v>
      </c>
      <c r="I288" s="2">
        <f t="shared" si="34"/>
        <v>284</v>
      </c>
      <c r="J288" s="16">
        <v>41831</v>
      </c>
      <c r="K288" s="29">
        <f t="shared" si="28"/>
        <v>-1.780970185968711E-2</v>
      </c>
      <c r="L288" s="29">
        <f t="shared" si="29"/>
        <v>1.2886597938144284E-3</v>
      </c>
      <c r="M288" s="29">
        <f t="shared" si="30"/>
        <v>-2.8154143938060594E-3</v>
      </c>
      <c r="N288" s="29">
        <f t="shared" si="31"/>
        <v>-2.4926793557833116E-2</v>
      </c>
      <c r="O288" s="29">
        <f t="shared" si="32"/>
        <v>-4.0727667662231459E-3</v>
      </c>
      <c r="P288" s="30">
        <f t="shared" si="33"/>
        <v>-2.0737173055054292E-3</v>
      </c>
      <c r="Z288" s="3"/>
      <c r="AA288" s="3"/>
      <c r="AB288" s="3"/>
      <c r="AC288" s="3"/>
      <c r="AD288" s="3"/>
      <c r="AE288" s="7"/>
    </row>
    <row r="289" spans="2:31" x14ac:dyDescent="0.15">
      <c r="B289" s="16">
        <v>41838</v>
      </c>
      <c r="C289" s="23">
        <v>20025</v>
      </c>
      <c r="D289" s="23">
        <v>10882</v>
      </c>
      <c r="E289" s="23">
        <v>23003</v>
      </c>
      <c r="F289" s="23">
        <v>26599</v>
      </c>
      <c r="G289" s="23">
        <v>14665</v>
      </c>
      <c r="H289" s="24">
        <v>29965</v>
      </c>
      <c r="I289" s="2">
        <f t="shared" si="34"/>
        <v>285</v>
      </c>
      <c r="J289" s="16">
        <v>41838</v>
      </c>
      <c r="K289" s="29">
        <f t="shared" si="28"/>
        <v>3.0554998998195693E-3</v>
      </c>
      <c r="L289" s="29">
        <f t="shared" si="29"/>
        <v>3.6771465342888554E-4</v>
      </c>
      <c r="M289" s="29">
        <f t="shared" si="30"/>
        <v>1.4778542438680153E-2</v>
      </c>
      <c r="N289" s="29">
        <f t="shared" si="31"/>
        <v>-1.5015578662862517E-3</v>
      </c>
      <c r="O289" s="29">
        <f t="shared" si="32"/>
        <v>-4.7709923664118747E-4</v>
      </c>
      <c r="P289" s="30">
        <f t="shared" si="33"/>
        <v>4.3236358761227223E-3</v>
      </c>
      <c r="Z289" s="3"/>
      <c r="AA289" s="3"/>
      <c r="AB289" s="3"/>
      <c r="AC289" s="3"/>
      <c r="AD289" s="3"/>
      <c r="AE289" s="7"/>
    </row>
    <row r="290" spans="2:31" x14ac:dyDescent="0.15">
      <c r="B290" s="16">
        <v>41845</v>
      </c>
      <c r="C290" s="23">
        <v>20338</v>
      </c>
      <c r="D290" s="23">
        <v>10886</v>
      </c>
      <c r="E290" s="23">
        <v>22994</v>
      </c>
      <c r="F290" s="23">
        <v>27115</v>
      </c>
      <c r="G290" s="23">
        <v>14715</v>
      </c>
      <c r="H290" s="24">
        <v>30421</v>
      </c>
      <c r="I290" s="2">
        <f t="shared" si="34"/>
        <v>286</v>
      </c>
      <c r="J290" s="16">
        <v>41845</v>
      </c>
      <c r="K290" s="29">
        <f t="shared" si="28"/>
        <v>1.563046192259665E-2</v>
      </c>
      <c r="L290" s="29">
        <f t="shared" si="29"/>
        <v>3.6757948906451787E-4</v>
      </c>
      <c r="M290" s="29">
        <f t="shared" si="30"/>
        <v>-3.912533147850672E-4</v>
      </c>
      <c r="N290" s="29">
        <f t="shared" si="31"/>
        <v>1.9399225534794562E-2</v>
      </c>
      <c r="O290" s="29">
        <f t="shared" si="32"/>
        <v>3.4094783498124226E-3</v>
      </c>
      <c r="P290" s="30">
        <f t="shared" si="33"/>
        <v>1.5217754046387366E-2</v>
      </c>
      <c r="Z290" s="3"/>
      <c r="AA290" s="3"/>
      <c r="AB290" s="3"/>
      <c r="AC290" s="3"/>
      <c r="AD290" s="3"/>
      <c r="AE290" s="7"/>
    </row>
    <row r="291" spans="2:31" x14ac:dyDescent="0.15">
      <c r="B291" s="16">
        <v>41852</v>
      </c>
      <c r="C291" s="23">
        <v>20435</v>
      </c>
      <c r="D291" s="23">
        <v>10883</v>
      </c>
      <c r="E291" s="23">
        <v>23138</v>
      </c>
      <c r="F291" s="23">
        <v>26665</v>
      </c>
      <c r="G291" s="23">
        <v>14802</v>
      </c>
      <c r="H291" s="24">
        <v>30137</v>
      </c>
      <c r="I291" s="2">
        <f t="shared" si="34"/>
        <v>287</v>
      </c>
      <c r="J291" s="16">
        <v>41852</v>
      </c>
      <c r="K291" s="29">
        <f t="shared" si="28"/>
        <v>4.7693971875306662E-3</v>
      </c>
      <c r="L291" s="29">
        <f t="shared" si="29"/>
        <v>-2.7558331802313152E-4</v>
      </c>
      <c r="M291" s="29">
        <f t="shared" si="30"/>
        <v>6.262503261720509E-3</v>
      </c>
      <c r="N291" s="29">
        <f t="shared" si="31"/>
        <v>-1.659598008482388E-2</v>
      </c>
      <c r="O291" s="29">
        <f t="shared" si="32"/>
        <v>5.9123343527012207E-3</v>
      </c>
      <c r="P291" s="30">
        <f t="shared" si="33"/>
        <v>-9.3356562900628326E-3</v>
      </c>
      <c r="Z291" s="3"/>
      <c r="AA291" s="3"/>
      <c r="AB291" s="3"/>
      <c r="AC291" s="3"/>
      <c r="AD291" s="3"/>
      <c r="AE291" s="7"/>
    </row>
    <row r="292" spans="2:31" x14ac:dyDescent="0.15">
      <c r="B292" s="16">
        <v>41859</v>
      </c>
      <c r="C292" s="23">
        <v>19442</v>
      </c>
      <c r="D292" s="23">
        <v>10897</v>
      </c>
      <c r="E292" s="23">
        <v>22853</v>
      </c>
      <c r="F292" s="23">
        <v>26033</v>
      </c>
      <c r="G292" s="23">
        <v>14736</v>
      </c>
      <c r="H292" s="24">
        <v>29620</v>
      </c>
      <c r="I292" s="2">
        <f t="shared" si="34"/>
        <v>288</v>
      </c>
      <c r="J292" s="16">
        <v>41859</v>
      </c>
      <c r="K292" s="29">
        <f t="shared" si="28"/>
        <v>-4.859310007340345E-2</v>
      </c>
      <c r="L292" s="29">
        <f t="shared" si="29"/>
        <v>1.2864099972433873E-3</v>
      </c>
      <c r="M292" s="29">
        <f t="shared" si="30"/>
        <v>-1.2317399948137298E-2</v>
      </c>
      <c r="N292" s="29">
        <f t="shared" si="31"/>
        <v>-2.3701481342583874E-2</v>
      </c>
      <c r="O292" s="29">
        <f t="shared" si="32"/>
        <v>-4.4588569112281595E-3</v>
      </c>
      <c r="P292" s="30">
        <f t="shared" si="33"/>
        <v>-1.7154992202276231E-2</v>
      </c>
      <c r="Z292" s="3"/>
      <c r="AA292" s="3"/>
      <c r="AB292" s="3"/>
      <c r="AC292" s="3"/>
      <c r="AD292" s="3"/>
      <c r="AE292" s="7"/>
    </row>
    <row r="293" spans="2:31" x14ac:dyDescent="0.15">
      <c r="B293" s="16">
        <v>41866</v>
      </c>
      <c r="C293" s="23">
        <v>20150</v>
      </c>
      <c r="D293" s="23">
        <v>10900</v>
      </c>
      <c r="E293" s="23">
        <v>23379</v>
      </c>
      <c r="F293" s="23">
        <v>26656</v>
      </c>
      <c r="G293" s="23">
        <v>14855</v>
      </c>
      <c r="H293" s="24">
        <v>30427</v>
      </c>
      <c r="I293" s="2">
        <f t="shared" si="34"/>
        <v>289</v>
      </c>
      <c r="J293" s="16">
        <v>41866</v>
      </c>
      <c r="K293" s="29">
        <f t="shared" si="28"/>
        <v>3.6416006583684712E-2</v>
      </c>
      <c r="L293" s="29">
        <f t="shared" si="29"/>
        <v>2.7530512985229905E-4</v>
      </c>
      <c r="M293" s="29">
        <f t="shared" si="30"/>
        <v>2.301667177175859E-2</v>
      </c>
      <c r="N293" s="29">
        <f t="shared" si="31"/>
        <v>2.3931164291476126E-2</v>
      </c>
      <c r="O293" s="29">
        <f t="shared" si="32"/>
        <v>8.0754614549403136E-3</v>
      </c>
      <c r="P293" s="30">
        <f t="shared" si="33"/>
        <v>2.7245104659014086E-2</v>
      </c>
      <c r="Z293" s="3"/>
      <c r="AA293" s="3"/>
      <c r="AB293" s="3"/>
      <c r="AC293" s="3"/>
      <c r="AD293" s="3"/>
      <c r="AE293" s="7"/>
    </row>
    <row r="294" spans="2:31" x14ac:dyDescent="0.15">
      <c r="B294" s="16">
        <v>41873</v>
      </c>
      <c r="C294" s="23">
        <v>20439</v>
      </c>
      <c r="D294" s="23">
        <v>10897</v>
      </c>
      <c r="E294" s="23">
        <v>23616</v>
      </c>
      <c r="F294" s="23">
        <v>27489</v>
      </c>
      <c r="G294" s="23">
        <v>15034</v>
      </c>
      <c r="H294" s="24">
        <v>31215</v>
      </c>
      <c r="I294" s="2">
        <f t="shared" si="34"/>
        <v>290</v>
      </c>
      <c r="J294" s="16">
        <v>41873</v>
      </c>
      <c r="K294" s="29">
        <f t="shared" si="28"/>
        <v>1.4342431761786623E-2</v>
      </c>
      <c r="L294" s="29">
        <f t="shared" si="29"/>
        <v>-2.7522935779811242E-4</v>
      </c>
      <c r="M294" s="29">
        <f t="shared" si="30"/>
        <v>1.0137302707557971E-2</v>
      </c>
      <c r="N294" s="29">
        <f t="shared" si="31"/>
        <v>3.125E-2</v>
      </c>
      <c r="O294" s="29">
        <f t="shared" si="32"/>
        <v>1.2049814877145737E-2</v>
      </c>
      <c r="P294" s="30">
        <f t="shared" si="33"/>
        <v>2.5898051073060202E-2</v>
      </c>
      <c r="Z294" s="3"/>
      <c r="AA294" s="3"/>
      <c r="AB294" s="3"/>
      <c r="AC294" s="3"/>
      <c r="AD294" s="3"/>
      <c r="AE294" s="7"/>
    </row>
    <row r="295" spans="2:31" x14ac:dyDescent="0.15">
      <c r="B295" s="16">
        <v>41880</v>
      </c>
      <c r="C295" s="23">
        <v>20292</v>
      </c>
      <c r="D295" s="23">
        <v>10911</v>
      </c>
      <c r="E295" s="23">
        <v>23710</v>
      </c>
      <c r="F295" s="23">
        <v>27514</v>
      </c>
      <c r="G295" s="23">
        <v>15052</v>
      </c>
      <c r="H295" s="24">
        <v>31010</v>
      </c>
      <c r="I295" s="2">
        <f t="shared" si="34"/>
        <v>291</v>
      </c>
      <c r="J295" s="16">
        <v>41880</v>
      </c>
      <c r="K295" s="29">
        <f t="shared" si="28"/>
        <v>-7.1921326875091784E-3</v>
      </c>
      <c r="L295" s="29">
        <f t="shared" si="29"/>
        <v>1.2847572726437662E-3</v>
      </c>
      <c r="M295" s="29">
        <f t="shared" si="30"/>
        <v>3.9803523035231159E-3</v>
      </c>
      <c r="N295" s="29">
        <f t="shared" si="31"/>
        <v>9.0945469096737064E-4</v>
      </c>
      <c r="O295" s="29">
        <f t="shared" si="32"/>
        <v>1.1972861513902533E-3</v>
      </c>
      <c r="P295" s="30">
        <f t="shared" si="33"/>
        <v>-6.5673554380906163E-3</v>
      </c>
      <c r="Z295" s="3"/>
      <c r="AA295" s="3"/>
      <c r="AB295" s="3"/>
      <c r="AC295" s="3"/>
      <c r="AD295" s="3"/>
      <c r="AE295" s="7"/>
    </row>
    <row r="296" spans="2:31" x14ac:dyDescent="0.15">
      <c r="B296" s="16">
        <v>41887</v>
      </c>
      <c r="C296" s="23">
        <v>20617</v>
      </c>
      <c r="D296" s="23">
        <v>10895</v>
      </c>
      <c r="E296" s="23">
        <v>23503</v>
      </c>
      <c r="F296" s="23">
        <v>28040</v>
      </c>
      <c r="G296" s="23">
        <v>15086</v>
      </c>
      <c r="H296" s="24">
        <v>31550</v>
      </c>
      <c r="I296" s="2">
        <f t="shared" si="34"/>
        <v>292</v>
      </c>
      <c r="J296" s="16">
        <v>41887</v>
      </c>
      <c r="K296" s="29">
        <f t="shared" si="28"/>
        <v>1.6016164005519418E-2</v>
      </c>
      <c r="L296" s="29">
        <f t="shared" si="29"/>
        <v>-1.4664100449087725E-3</v>
      </c>
      <c r="M296" s="29">
        <f t="shared" si="30"/>
        <v>-8.7304934626739605E-3</v>
      </c>
      <c r="N296" s="29">
        <f t="shared" si="31"/>
        <v>1.9117540161372348E-2</v>
      </c>
      <c r="O296" s="29">
        <f t="shared" si="32"/>
        <v>2.2588360350783709E-3</v>
      </c>
      <c r="P296" s="30">
        <f t="shared" si="33"/>
        <v>1.7413737504030857E-2</v>
      </c>
      <c r="Z296" s="3"/>
      <c r="AA296" s="3"/>
      <c r="AB296" s="3"/>
      <c r="AC296" s="3"/>
      <c r="AD296" s="3"/>
      <c r="AE296" s="7"/>
    </row>
    <row r="297" spans="2:31" x14ac:dyDescent="0.15">
      <c r="B297" s="16">
        <v>41894</v>
      </c>
      <c r="C297" s="23">
        <v>20979</v>
      </c>
      <c r="D297" s="23">
        <v>10871</v>
      </c>
      <c r="E297" s="23">
        <v>23535</v>
      </c>
      <c r="F297" s="23">
        <v>28316</v>
      </c>
      <c r="G297" s="23">
        <v>15241</v>
      </c>
      <c r="H297" s="24">
        <v>31519</v>
      </c>
      <c r="I297" s="2">
        <f t="shared" si="34"/>
        <v>293</v>
      </c>
      <c r="J297" s="16">
        <v>41894</v>
      </c>
      <c r="K297" s="29">
        <f t="shared" si="28"/>
        <v>1.7558325653586948E-2</v>
      </c>
      <c r="L297" s="29">
        <f t="shared" si="29"/>
        <v>-2.2028453418999616E-3</v>
      </c>
      <c r="M297" s="29">
        <f t="shared" si="30"/>
        <v>1.3615283155341551E-3</v>
      </c>
      <c r="N297" s="29">
        <f t="shared" si="31"/>
        <v>9.8430813124108507E-3</v>
      </c>
      <c r="O297" s="29">
        <f t="shared" si="32"/>
        <v>1.0274426620707988E-2</v>
      </c>
      <c r="P297" s="30">
        <f t="shared" si="33"/>
        <v>-9.8256735340729318E-4</v>
      </c>
      <c r="Z297" s="3"/>
      <c r="AA297" s="3"/>
      <c r="AB297" s="3"/>
      <c r="AC297" s="3"/>
      <c r="AD297" s="3"/>
      <c r="AE297" s="7"/>
    </row>
    <row r="298" spans="2:31" x14ac:dyDescent="0.15">
      <c r="B298" s="16">
        <v>41901</v>
      </c>
      <c r="C298" s="23">
        <v>21462</v>
      </c>
      <c r="D298" s="23">
        <v>10876</v>
      </c>
      <c r="E298" s="23">
        <v>23565</v>
      </c>
      <c r="F298" s="23">
        <v>28907</v>
      </c>
      <c r="G298" s="23">
        <v>15439</v>
      </c>
      <c r="H298" s="24">
        <v>31116</v>
      </c>
      <c r="I298" s="2">
        <f t="shared" si="34"/>
        <v>294</v>
      </c>
      <c r="J298" s="16">
        <v>41901</v>
      </c>
      <c r="K298" s="29">
        <f t="shared" si="28"/>
        <v>2.3023023023023059E-2</v>
      </c>
      <c r="L298" s="29">
        <f t="shared" si="29"/>
        <v>4.5993928801402184E-4</v>
      </c>
      <c r="M298" s="29">
        <f t="shared" si="30"/>
        <v>1.274697259400881E-3</v>
      </c>
      <c r="N298" s="29">
        <f t="shared" si="31"/>
        <v>2.087159203277289E-2</v>
      </c>
      <c r="O298" s="29">
        <f t="shared" si="32"/>
        <v>1.2991273538481618E-2</v>
      </c>
      <c r="P298" s="30">
        <f t="shared" si="33"/>
        <v>-1.278593864018529E-2</v>
      </c>
      <c r="Z298" s="3"/>
      <c r="AA298" s="3"/>
      <c r="AB298" s="3"/>
      <c r="AC298" s="3"/>
      <c r="AD298" s="3"/>
      <c r="AE298" s="7"/>
    </row>
    <row r="299" spans="2:31" x14ac:dyDescent="0.15">
      <c r="B299" s="16">
        <v>41908</v>
      </c>
      <c r="C299" s="23">
        <v>21464</v>
      </c>
      <c r="D299" s="23">
        <v>10915</v>
      </c>
      <c r="E299" s="23">
        <v>23704</v>
      </c>
      <c r="F299" s="23">
        <v>28046</v>
      </c>
      <c r="G299" s="23">
        <v>15387</v>
      </c>
      <c r="H299" s="24">
        <v>30384</v>
      </c>
      <c r="I299" s="2">
        <f t="shared" si="34"/>
        <v>295</v>
      </c>
      <c r="J299" s="16">
        <v>41908</v>
      </c>
      <c r="K299" s="29">
        <f t="shared" si="28"/>
        <v>9.3187960115592716E-5</v>
      </c>
      <c r="L299" s="29">
        <f t="shared" si="29"/>
        <v>3.5858771607208961E-3</v>
      </c>
      <c r="M299" s="29">
        <f t="shared" si="30"/>
        <v>5.8985784001697183E-3</v>
      </c>
      <c r="N299" s="29">
        <f t="shared" si="31"/>
        <v>-2.978517314145368E-2</v>
      </c>
      <c r="O299" s="29">
        <f t="shared" si="32"/>
        <v>-3.3680937884578155E-3</v>
      </c>
      <c r="P299" s="30">
        <f t="shared" si="33"/>
        <v>-2.3524874662553041E-2</v>
      </c>
      <c r="Z299" s="3"/>
      <c r="AA299" s="3"/>
      <c r="AB299" s="3"/>
      <c r="AC299" s="3"/>
      <c r="AD299" s="3"/>
      <c r="AE299" s="7"/>
    </row>
    <row r="300" spans="2:31" x14ac:dyDescent="0.15">
      <c r="B300" s="16">
        <v>41915</v>
      </c>
      <c r="C300" s="23">
        <v>20775</v>
      </c>
      <c r="D300" s="23">
        <v>10913</v>
      </c>
      <c r="E300" s="23">
        <v>23610</v>
      </c>
      <c r="F300" s="23">
        <v>27604</v>
      </c>
      <c r="G300" s="23">
        <v>15403</v>
      </c>
      <c r="H300" s="24">
        <v>30446</v>
      </c>
      <c r="I300" s="2">
        <f t="shared" si="34"/>
        <v>296</v>
      </c>
      <c r="J300" s="16">
        <v>41915</v>
      </c>
      <c r="K300" s="29">
        <f t="shared" si="28"/>
        <v>-3.2100260901975375E-2</v>
      </c>
      <c r="L300" s="29">
        <f t="shared" si="29"/>
        <v>-1.832340815391964E-4</v>
      </c>
      <c r="M300" s="29">
        <f t="shared" si="30"/>
        <v>-3.9655754303070667E-3</v>
      </c>
      <c r="N300" s="29">
        <f t="shared" si="31"/>
        <v>-1.5759823147685981E-2</v>
      </c>
      <c r="O300" s="29">
        <f t="shared" si="32"/>
        <v>1.0398388249821533E-3</v>
      </c>
      <c r="P300" s="30">
        <f t="shared" si="33"/>
        <v>2.0405476566613956E-3</v>
      </c>
      <c r="Z300" s="3"/>
      <c r="AA300" s="3"/>
      <c r="AB300" s="3"/>
      <c r="AC300" s="3"/>
      <c r="AD300" s="3"/>
      <c r="AE300" s="7"/>
    </row>
    <row r="301" spans="2:31" x14ac:dyDescent="0.15">
      <c r="B301" s="16">
        <v>41922</v>
      </c>
      <c r="C301" s="23">
        <v>20231</v>
      </c>
      <c r="D301" s="23">
        <v>10921</v>
      </c>
      <c r="E301" s="23">
        <v>23595</v>
      </c>
      <c r="F301" s="23">
        <v>27083</v>
      </c>
      <c r="G301" s="23">
        <v>15342</v>
      </c>
      <c r="H301" s="24">
        <v>30615</v>
      </c>
      <c r="I301" s="2">
        <f t="shared" si="34"/>
        <v>297</v>
      </c>
      <c r="J301" s="16">
        <v>41922</v>
      </c>
      <c r="K301" s="29">
        <f t="shared" si="28"/>
        <v>-2.61853188929001E-2</v>
      </c>
      <c r="L301" s="29">
        <f t="shared" si="29"/>
        <v>7.3307064968375357E-4</v>
      </c>
      <c r="M301" s="29">
        <f t="shared" si="30"/>
        <v>-6.3532401524779569E-4</v>
      </c>
      <c r="N301" s="29">
        <f t="shared" si="31"/>
        <v>-1.8874076220837588E-2</v>
      </c>
      <c r="O301" s="29">
        <f t="shared" si="32"/>
        <v>-3.960267480360935E-3</v>
      </c>
      <c r="P301" s="30">
        <f t="shared" si="33"/>
        <v>5.5508112724167447E-3</v>
      </c>
      <c r="Z301" s="3"/>
      <c r="AA301" s="3"/>
      <c r="AB301" s="3"/>
      <c r="AC301" s="3"/>
      <c r="AD301" s="3"/>
      <c r="AE301" s="7"/>
    </row>
    <row r="302" spans="2:31" x14ac:dyDescent="0.15">
      <c r="B302" s="16">
        <v>41929</v>
      </c>
      <c r="C302" s="23">
        <v>19204</v>
      </c>
      <c r="D302" s="23">
        <v>10944</v>
      </c>
      <c r="E302" s="23">
        <v>23032</v>
      </c>
      <c r="F302" s="23">
        <v>25803</v>
      </c>
      <c r="G302" s="23">
        <v>15239</v>
      </c>
      <c r="H302" s="24">
        <v>30384</v>
      </c>
      <c r="I302" s="2">
        <f t="shared" si="34"/>
        <v>298</v>
      </c>
      <c r="J302" s="16">
        <v>41929</v>
      </c>
      <c r="K302" s="29">
        <f t="shared" si="28"/>
        <v>-5.0763679501754755E-2</v>
      </c>
      <c r="L302" s="29">
        <f t="shared" si="29"/>
        <v>2.1060342459482406E-3</v>
      </c>
      <c r="M302" s="29">
        <f t="shared" si="30"/>
        <v>-2.3860987497351105E-2</v>
      </c>
      <c r="N302" s="29">
        <f t="shared" si="31"/>
        <v>-4.7262120149171083E-2</v>
      </c>
      <c r="O302" s="29">
        <f t="shared" si="32"/>
        <v>-6.7135966627558386E-3</v>
      </c>
      <c r="P302" s="30">
        <f t="shared" si="33"/>
        <v>-7.545320921117149E-3</v>
      </c>
      <c r="Z302" s="3"/>
      <c r="AA302" s="3"/>
      <c r="AB302" s="3"/>
      <c r="AC302" s="3"/>
      <c r="AD302" s="3"/>
      <c r="AE302" s="7"/>
    </row>
    <row r="303" spans="2:31" x14ac:dyDescent="0.15">
      <c r="B303" s="16">
        <v>41936</v>
      </c>
      <c r="C303" s="23">
        <v>20205</v>
      </c>
      <c r="D303" s="23">
        <v>10946</v>
      </c>
      <c r="E303" s="23">
        <v>23454</v>
      </c>
      <c r="F303" s="23">
        <v>27368</v>
      </c>
      <c r="G303" s="23">
        <v>15325</v>
      </c>
      <c r="H303" s="24">
        <v>31810</v>
      </c>
      <c r="I303" s="2">
        <f t="shared" si="34"/>
        <v>299</v>
      </c>
      <c r="J303" s="16">
        <v>41936</v>
      </c>
      <c r="K303" s="29">
        <f t="shared" si="28"/>
        <v>5.2124557383878445E-2</v>
      </c>
      <c r="L303" s="29">
        <f t="shared" si="29"/>
        <v>1.827485380117011E-4</v>
      </c>
      <c r="M303" s="29">
        <f t="shared" si="30"/>
        <v>1.8322334143799912E-2</v>
      </c>
      <c r="N303" s="29">
        <f t="shared" si="31"/>
        <v>6.0651862186567485E-2</v>
      </c>
      <c r="O303" s="29">
        <f t="shared" si="32"/>
        <v>5.6434149222390761E-3</v>
      </c>
      <c r="P303" s="30">
        <f t="shared" si="33"/>
        <v>4.6932596103212321E-2</v>
      </c>
      <c r="Z303" s="3"/>
      <c r="AA303" s="3"/>
      <c r="AB303" s="3"/>
      <c r="AC303" s="3"/>
      <c r="AD303" s="3"/>
      <c r="AE303" s="7"/>
    </row>
    <row r="304" spans="2:31" x14ac:dyDescent="0.15">
      <c r="B304" s="16">
        <v>41943</v>
      </c>
      <c r="C304" s="23">
        <v>21689</v>
      </c>
      <c r="D304" s="23">
        <v>10959</v>
      </c>
      <c r="E304" s="23">
        <v>24734</v>
      </c>
      <c r="F304" s="23">
        <v>28141</v>
      </c>
      <c r="G304" s="23">
        <v>15494</v>
      </c>
      <c r="H304" s="24">
        <v>32636</v>
      </c>
      <c r="I304" s="2">
        <f t="shared" si="34"/>
        <v>300</v>
      </c>
      <c r="J304" s="16">
        <v>41943</v>
      </c>
      <c r="K304" s="29">
        <f t="shared" si="28"/>
        <v>7.3447166542934816E-2</v>
      </c>
      <c r="L304" s="29">
        <f t="shared" si="29"/>
        <v>1.1876484560569001E-3</v>
      </c>
      <c r="M304" s="29">
        <f t="shared" si="30"/>
        <v>5.4574912594866465E-2</v>
      </c>
      <c r="N304" s="29">
        <f t="shared" si="31"/>
        <v>2.8244665302543215E-2</v>
      </c>
      <c r="O304" s="29">
        <f t="shared" si="32"/>
        <v>1.1027732463295248E-2</v>
      </c>
      <c r="P304" s="30">
        <f t="shared" si="33"/>
        <v>2.5966677145551786E-2</v>
      </c>
      <c r="Z304" s="3"/>
      <c r="AA304" s="3"/>
      <c r="AB304" s="3"/>
      <c r="AC304" s="3"/>
      <c r="AD304" s="3"/>
      <c r="AE304" s="7"/>
    </row>
    <row r="305" spans="2:31" x14ac:dyDescent="0.15">
      <c r="B305" s="16">
        <v>41950</v>
      </c>
      <c r="C305" s="23">
        <v>22338</v>
      </c>
      <c r="D305" s="23">
        <v>10965</v>
      </c>
      <c r="E305" s="23">
        <v>24253</v>
      </c>
      <c r="F305" s="23">
        <v>29919</v>
      </c>
      <c r="G305" s="23">
        <v>16124</v>
      </c>
      <c r="H305" s="24">
        <v>34384</v>
      </c>
      <c r="I305" s="2">
        <f t="shared" si="34"/>
        <v>301</v>
      </c>
      <c r="J305" s="16">
        <v>41950</v>
      </c>
      <c r="K305" s="29">
        <f t="shared" si="28"/>
        <v>2.9923002443634994E-2</v>
      </c>
      <c r="L305" s="29">
        <f t="shared" si="29"/>
        <v>5.4749520941688168E-4</v>
      </c>
      <c r="M305" s="29">
        <f t="shared" si="30"/>
        <v>-1.9446915177488533E-2</v>
      </c>
      <c r="N305" s="29">
        <f t="shared" si="31"/>
        <v>6.3181834334245401E-2</v>
      </c>
      <c r="O305" s="29">
        <f t="shared" si="32"/>
        <v>4.0660900993933158E-2</v>
      </c>
      <c r="P305" s="30">
        <f t="shared" si="33"/>
        <v>5.3560485353597365E-2</v>
      </c>
      <c r="Z305" s="3"/>
      <c r="AA305" s="3"/>
      <c r="AB305" s="3"/>
      <c r="AC305" s="3"/>
      <c r="AD305" s="3"/>
      <c r="AE305" s="7"/>
    </row>
    <row r="306" spans="2:31" x14ac:dyDescent="0.15">
      <c r="B306" s="16">
        <v>41957</v>
      </c>
      <c r="C306" s="23">
        <v>23126</v>
      </c>
      <c r="D306" s="23">
        <v>10973</v>
      </c>
      <c r="E306" s="23">
        <v>25245</v>
      </c>
      <c r="F306" s="23">
        <v>30361</v>
      </c>
      <c r="G306" s="23">
        <v>16357</v>
      </c>
      <c r="H306" s="24">
        <v>34908</v>
      </c>
      <c r="I306" s="2">
        <f t="shared" si="34"/>
        <v>302</v>
      </c>
      <c r="J306" s="16">
        <v>41957</v>
      </c>
      <c r="K306" s="29">
        <f t="shared" si="28"/>
        <v>3.5276210940997421E-2</v>
      </c>
      <c r="L306" s="29">
        <f t="shared" si="29"/>
        <v>7.2959416324680504E-4</v>
      </c>
      <c r="M306" s="29">
        <f t="shared" si="30"/>
        <v>4.0902156434255543E-2</v>
      </c>
      <c r="N306" s="29">
        <f t="shared" si="31"/>
        <v>1.4773221030114581E-2</v>
      </c>
      <c r="O306" s="29">
        <f t="shared" si="32"/>
        <v>1.4450508558670361E-2</v>
      </c>
      <c r="P306" s="30">
        <f t="shared" si="33"/>
        <v>1.5239646347138258E-2</v>
      </c>
      <c r="Z306" s="3"/>
      <c r="AA306" s="3"/>
      <c r="AB306" s="3"/>
      <c r="AC306" s="3"/>
      <c r="AD306" s="3"/>
      <c r="AE306" s="7"/>
    </row>
    <row r="307" spans="2:31" x14ac:dyDescent="0.15">
      <c r="B307" s="16">
        <v>41964</v>
      </c>
      <c r="C307" s="23">
        <v>22954</v>
      </c>
      <c r="D307" s="23">
        <v>10988</v>
      </c>
      <c r="E307" s="23">
        <v>25768</v>
      </c>
      <c r="F307" s="23">
        <v>31123</v>
      </c>
      <c r="G307" s="23">
        <v>16703</v>
      </c>
      <c r="H307" s="24">
        <v>35347</v>
      </c>
      <c r="I307" s="2">
        <f t="shared" si="34"/>
        <v>303</v>
      </c>
      <c r="J307" s="16">
        <v>41964</v>
      </c>
      <c r="K307" s="29">
        <f t="shared" si="28"/>
        <v>-7.4375162155150276E-3</v>
      </c>
      <c r="L307" s="29">
        <f t="shared" si="29"/>
        <v>1.366991706917009E-3</v>
      </c>
      <c r="M307" s="29">
        <f t="shared" si="30"/>
        <v>2.0716973658150062E-2</v>
      </c>
      <c r="N307" s="29">
        <f t="shared" si="31"/>
        <v>2.509798754981718E-2</v>
      </c>
      <c r="O307" s="29">
        <f t="shared" si="32"/>
        <v>2.1153023170507934E-2</v>
      </c>
      <c r="P307" s="30">
        <f t="shared" si="33"/>
        <v>1.2575913830640495E-2</v>
      </c>
      <c r="Z307" s="3"/>
      <c r="AA307" s="3"/>
      <c r="AB307" s="3"/>
      <c r="AC307" s="3"/>
      <c r="AD307" s="3"/>
      <c r="AE307" s="7"/>
    </row>
    <row r="308" spans="2:31" x14ac:dyDescent="0.15">
      <c r="B308" s="16">
        <v>41971</v>
      </c>
      <c r="C308" s="23">
        <v>23076</v>
      </c>
      <c r="D308" s="23">
        <v>11019</v>
      </c>
      <c r="E308" s="23">
        <v>26350</v>
      </c>
      <c r="F308" s="23">
        <v>31526</v>
      </c>
      <c r="G308" s="23">
        <v>16797</v>
      </c>
      <c r="H308" s="24">
        <v>36084</v>
      </c>
      <c r="I308" s="2">
        <f t="shared" si="34"/>
        <v>304</v>
      </c>
      <c r="J308" s="16">
        <v>41971</v>
      </c>
      <c r="K308" s="29">
        <f t="shared" si="28"/>
        <v>5.3149777816503541E-3</v>
      </c>
      <c r="L308" s="29">
        <f t="shared" si="29"/>
        <v>2.8212595558791964E-3</v>
      </c>
      <c r="M308" s="29">
        <f t="shared" si="30"/>
        <v>2.2586153368518991E-2</v>
      </c>
      <c r="N308" s="29">
        <f t="shared" si="31"/>
        <v>1.2948623204704024E-2</v>
      </c>
      <c r="O308" s="29">
        <f t="shared" si="32"/>
        <v>5.6277315452313292E-3</v>
      </c>
      <c r="P308" s="30">
        <f t="shared" si="33"/>
        <v>2.0850425778708326E-2</v>
      </c>
      <c r="Z308" s="3"/>
      <c r="AA308" s="3"/>
      <c r="AB308" s="3"/>
      <c r="AC308" s="3"/>
      <c r="AD308" s="3"/>
      <c r="AE308" s="7"/>
    </row>
    <row r="309" spans="2:31" x14ac:dyDescent="0.15">
      <c r="B309" s="16">
        <v>41978</v>
      </c>
      <c r="C309" s="23">
        <v>23686</v>
      </c>
      <c r="D309" s="23">
        <v>11025</v>
      </c>
      <c r="E309" s="23">
        <v>26708</v>
      </c>
      <c r="F309" s="23">
        <v>31734</v>
      </c>
      <c r="G309" s="23">
        <v>16944</v>
      </c>
      <c r="H309" s="24">
        <v>36713</v>
      </c>
      <c r="I309" s="2">
        <f t="shared" si="34"/>
        <v>305</v>
      </c>
      <c r="J309" s="16">
        <v>41978</v>
      </c>
      <c r="K309" s="29">
        <f t="shared" si="28"/>
        <v>2.6434390708961697E-2</v>
      </c>
      <c r="L309" s="29">
        <f t="shared" si="29"/>
        <v>5.4451402123611992E-4</v>
      </c>
      <c r="M309" s="29">
        <f t="shared" si="30"/>
        <v>1.3586337760910894E-2</v>
      </c>
      <c r="N309" s="29">
        <f t="shared" si="31"/>
        <v>6.5977288587197869E-3</v>
      </c>
      <c r="O309" s="29">
        <f t="shared" si="32"/>
        <v>8.7515627790677453E-3</v>
      </c>
      <c r="P309" s="30">
        <f t="shared" si="33"/>
        <v>1.7431548608801695E-2</v>
      </c>
      <c r="Z309" s="3"/>
      <c r="AA309" s="3"/>
      <c r="AB309" s="3"/>
      <c r="AC309" s="3"/>
      <c r="AD309" s="3"/>
      <c r="AE309" s="7"/>
    </row>
    <row r="310" spans="2:31" x14ac:dyDescent="0.15">
      <c r="B310" s="16">
        <v>41985</v>
      </c>
      <c r="C310" s="23">
        <v>22965</v>
      </c>
      <c r="D310" s="23">
        <v>11047</v>
      </c>
      <c r="E310" s="23">
        <v>26879</v>
      </c>
      <c r="F310" s="23">
        <v>30877</v>
      </c>
      <c r="G310" s="23">
        <v>16859</v>
      </c>
      <c r="H310" s="24">
        <v>36427</v>
      </c>
      <c r="I310" s="2">
        <f t="shared" si="34"/>
        <v>306</v>
      </c>
      <c r="J310" s="16">
        <v>41985</v>
      </c>
      <c r="K310" s="29">
        <f t="shared" si="28"/>
        <v>-3.043992231698045E-2</v>
      </c>
      <c r="L310" s="29">
        <f t="shared" si="29"/>
        <v>1.995464852607709E-3</v>
      </c>
      <c r="M310" s="29">
        <f t="shared" si="30"/>
        <v>6.4025760071888538E-3</v>
      </c>
      <c r="N310" s="29">
        <f t="shared" si="31"/>
        <v>-2.7005735173630807E-2</v>
      </c>
      <c r="O310" s="29">
        <f t="shared" si="32"/>
        <v>-5.0165250236071657E-3</v>
      </c>
      <c r="P310" s="30">
        <f t="shared" si="33"/>
        <v>-7.7901560755045951E-3</v>
      </c>
      <c r="Z310" s="3"/>
      <c r="AA310" s="3"/>
      <c r="AB310" s="3"/>
      <c r="AC310" s="3"/>
      <c r="AD310" s="3"/>
      <c r="AE310" s="7"/>
    </row>
    <row r="311" spans="2:31" x14ac:dyDescent="0.15">
      <c r="B311" s="16">
        <v>41992</v>
      </c>
      <c r="C311" s="23">
        <v>23302</v>
      </c>
      <c r="D311" s="23">
        <v>11094</v>
      </c>
      <c r="E311" s="23">
        <v>26903</v>
      </c>
      <c r="F311" s="23">
        <v>31078</v>
      </c>
      <c r="G311" s="23">
        <v>16819</v>
      </c>
      <c r="H311" s="24">
        <v>36567</v>
      </c>
      <c r="I311" s="2">
        <f t="shared" si="34"/>
        <v>307</v>
      </c>
      <c r="J311" s="16">
        <v>41992</v>
      </c>
      <c r="K311" s="29">
        <f t="shared" si="28"/>
        <v>1.4674504681036371E-2</v>
      </c>
      <c r="L311" s="29">
        <f t="shared" si="29"/>
        <v>4.2545487462659626E-3</v>
      </c>
      <c r="M311" s="29">
        <f t="shared" si="30"/>
        <v>8.9289036050455017E-4</v>
      </c>
      <c r="N311" s="29">
        <f t="shared" si="31"/>
        <v>6.5096997765325959E-3</v>
      </c>
      <c r="O311" s="29">
        <f t="shared" si="32"/>
        <v>-2.3726199655970115E-3</v>
      </c>
      <c r="P311" s="30">
        <f t="shared" si="33"/>
        <v>3.8433030444451344E-3</v>
      </c>
      <c r="Z311" s="3"/>
      <c r="AA311" s="3"/>
      <c r="AB311" s="3"/>
      <c r="AC311" s="3"/>
      <c r="AD311" s="3"/>
      <c r="AE311" s="7"/>
    </row>
    <row r="312" spans="2:31" x14ac:dyDescent="0.15">
      <c r="B312" s="16">
        <v>41999</v>
      </c>
      <c r="C312" s="23">
        <v>23579</v>
      </c>
      <c r="D312" s="23">
        <v>11117</v>
      </c>
      <c r="E312" s="23">
        <v>27213</v>
      </c>
      <c r="F312" s="23">
        <v>31766</v>
      </c>
      <c r="G312" s="23">
        <v>16935</v>
      </c>
      <c r="H312" s="24">
        <v>37393</v>
      </c>
      <c r="I312" s="2">
        <f t="shared" si="34"/>
        <v>308</v>
      </c>
      <c r="J312" s="16">
        <v>41999</v>
      </c>
      <c r="K312" s="29">
        <f t="shared" si="28"/>
        <v>1.1887391640202472E-2</v>
      </c>
      <c r="L312" s="29">
        <f t="shared" si="29"/>
        <v>2.073192716783856E-3</v>
      </c>
      <c r="M312" s="29">
        <f t="shared" si="30"/>
        <v>1.1522878489387711E-2</v>
      </c>
      <c r="N312" s="29">
        <f t="shared" si="31"/>
        <v>2.2137846708282449E-2</v>
      </c>
      <c r="O312" s="29">
        <f t="shared" si="32"/>
        <v>6.8969617694274454E-3</v>
      </c>
      <c r="P312" s="30">
        <f t="shared" si="33"/>
        <v>2.2588672847102531E-2</v>
      </c>
      <c r="Z312" s="3"/>
      <c r="AA312" s="3"/>
      <c r="AB312" s="3"/>
      <c r="AC312" s="3"/>
      <c r="AD312" s="3"/>
      <c r="AE312" s="7"/>
    </row>
    <row r="313" spans="2:31" x14ac:dyDescent="0.15">
      <c r="B313" s="16">
        <v>42006</v>
      </c>
      <c r="C313" s="23">
        <v>23082</v>
      </c>
      <c r="D313" s="23">
        <v>11128</v>
      </c>
      <c r="E313" s="23">
        <v>27435</v>
      </c>
      <c r="F313" s="23">
        <v>31917</v>
      </c>
      <c r="G313" s="23">
        <v>16969</v>
      </c>
      <c r="H313" s="24">
        <v>37713</v>
      </c>
      <c r="I313" s="2">
        <f t="shared" si="34"/>
        <v>309</v>
      </c>
      <c r="J313" s="16">
        <v>42006</v>
      </c>
      <c r="K313" s="29">
        <f t="shared" si="28"/>
        <v>-2.107807795071881E-2</v>
      </c>
      <c r="L313" s="29">
        <f t="shared" si="29"/>
        <v>9.894755779435993E-4</v>
      </c>
      <c r="M313" s="29">
        <f t="shared" si="30"/>
        <v>8.1578657259397946E-3</v>
      </c>
      <c r="N313" s="29">
        <f t="shared" si="31"/>
        <v>4.7535100421833842E-3</v>
      </c>
      <c r="O313" s="29">
        <f t="shared" si="32"/>
        <v>2.0076764098022615E-3</v>
      </c>
      <c r="P313" s="30">
        <f t="shared" si="33"/>
        <v>8.5577514508063945E-3</v>
      </c>
      <c r="Z313" s="3"/>
      <c r="AA313" s="3"/>
      <c r="AB313" s="3"/>
      <c r="AC313" s="3"/>
      <c r="AD313" s="3"/>
      <c r="AE313" s="7"/>
    </row>
    <row r="314" spans="2:31" x14ac:dyDescent="0.15">
      <c r="B314" s="16">
        <v>42013</v>
      </c>
      <c r="C314" s="23">
        <v>22742</v>
      </c>
      <c r="D314" s="23">
        <v>11178</v>
      </c>
      <c r="E314" s="23">
        <v>28024</v>
      </c>
      <c r="F314" s="23">
        <v>31091</v>
      </c>
      <c r="G314" s="23">
        <v>16742</v>
      </c>
      <c r="H314" s="24">
        <v>38327</v>
      </c>
      <c r="I314" s="2">
        <f t="shared" si="34"/>
        <v>310</v>
      </c>
      <c r="J314" s="16">
        <v>42013</v>
      </c>
      <c r="K314" s="29">
        <f t="shared" si="28"/>
        <v>-1.473009271293646E-2</v>
      </c>
      <c r="L314" s="29">
        <f t="shared" si="29"/>
        <v>4.4931703810209278E-3</v>
      </c>
      <c r="M314" s="29">
        <f t="shared" si="30"/>
        <v>2.1468926553672274E-2</v>
      </c>
      <c r="N314" s="29">
        <f t="shared" si="31"/>
        <v>-2.5879625278064977E-2</v>
      </c>
      <c r="O314" s="29">
        <f t="shared" si="32"/>
        <v>-1.3377335140550395E-2</v>
      </c>
      <c r="P314" s="30">
        <f t="shared" si="33"/>
        <v>1.6280858059555037E-2</v>
      </c>
      <c r="Z314" s="3"/>
      <c r="AA314" s="3"/>
      <c r="AB314" s="3"/>
      <c r="AC314" s="3"/>
      <c r="AD314" s="3"/>
      <c r="AE314" s="7"/>
    </row>
    <row r="315" spans="2:31" x14ac:dyDescent="0.15">
      <c r="B315" s="16">
        <v>42020</v>
      </c>
      <c r="C315" s="23">
        <v>22279</v>
      </c>
      <c r="D315" s="23">
        <v>11207</v>
      </c>
      <c r="E315" s="23">
        <v>28733</v>
      </c>
      <c r="F315" s="23">
        <v>29604</v>
      </c>
      <c r="G315" s="23">
        <v>16333</v>
      </c>
      <c r="H315" s="24">
        <v>37950</v>
      </c>
      <c r="I315" s="2">
        <f t="shared" si="34"/>
        <v>311</v>
      </c>
      <c r="J315" s="16">
        <v>42020</v>
      </c>
      <c r="K315" s="29">
        <f t="shared" si="28"/>
        <v>-2.0358807492744657E-2</v>
      </c>
      <c r="L315" s="29">
        <f t="shared" si="29"/>
        <v>2.594381821434899E-3</v>
      </c>
      <c r="M315" s="29">
        <f t="shared" si="30"/>
        <v>2.5299743077362269E-2</v>
      </c>
      <c r="N315" s="29">
        <f t="shared" si="31"/>
        <v>-4.7827345534077415E-2</v>
      </c>
      <c r="O315" s="29">
        <f t="shared" si="32"/>
        <v>-2.4429578306056632E-2</v>
      </c>
      <c r="P315" s="30">
        <f t="shared" si="33"/>
        <v>-9.8364077543245942E-3</v>
      </c>
      <c r="Z315" s="3"/>
      <c r="AA315" s="3"/>
      <c r="AB315" s="3"/>
      <c r="AC315" s="3"/>
      <c r="AD315" s="3"/>
      <c r="AE315" s="7"/>
    </row>
    <row r="316" spans="2:31" x14ac:dyDescent="0.15">
      <c r="B316" s="16">
        <v>42027</v>
      </c>
      <c r="C316" s="23">
        <v>23148</v>
      </c>
      <c r="D316" s="23">
        <v>11131</v>
      </c>
      <c r="E316" s="23">
        <v>28338</v>
      </c>
      <c r="F316" s="23">
        <v>30952</v>
      </c>
      <c r="G316" s="23">
        <v>16443</v>
      </c>
      <c r="H316" s="24">
        <v>39071</v>
      </c>
      <c r="I316" s="2">
        <f t="shared" si="34"/>
        <v>312</v>
      </c>
      <c r="J316" s="16">
        <v>42027</v>
      </c>
      <c r="K316" s="29">
        <f t="shared" si="28"/>
        <v>3.9005341352843503E-2</v>
      </c>
      <c r="L316" s="29">
        <f t="shared" si="29"/>
        <v>-6.7814758632996908E-3</v>
      </c>
      <c r="M316" s="29">
        <f t="shared" si="30"/>
        <v>-1.3747259248947152E-2</v>
      </c>
      <c r="N316" s="29">
        <f t="shared" si="31"/>
        <v>4.5534387244966945E-2</v>
      </c>
      <c r="O316" s="29">
        <f t="shared" si="32"/>
        <v>6.734831323088164E-3</v>
      </c>
      <c r="P316" s="30">
        <f t="shared" si="33"/>
        <v>2.953886693017127E-2</v>
      </c>
      <c r="Z316" s="3"/>
      <c r="AA316" s="3"/>
      <c r="AB316" s="3"/>
      <c r="AC316" s="3"/>
      <c r="AD316" s="3"/>
      <c r="AE316" s="7"/>
    </row>
    <row r="317" spans="2:31" x14ac:dyDescent="0.15">
      <c r="B317" s="16">
        <v>42034</v>
      </c>
      <c r="C317" s="23">
        <v>23345</v>
      </c>
      <c r="D317" s="23">
        <v>11126</v>
      </c>
      <c r="E317" s="23">
        <v>27303</v>
      </c>
      <c r="F317" s="23">
        <v>30547</v>
      </c>
      <c r="G317" s="23">
        <v>16461</v>
      </c>
      <c r="H317" s="24">
        <v>39045</v>
      </c>
      <c r="I317" s="2">
        <f t="shared" si="34"/>
        <v>313</v>
      </c>
      <c r="J317" s="16">
        <v>42034</v>
      </c>
      <c r="K317" s="29">
        <f t="shared" si="28"/>
        <v>8.510454466908568E-3</v>
      </c>
      <c r="L317" s="29">
        <f t="shared" si="29"/>
        <v>-4.4919593926873169E-4</v>
      </c>
      <c r="M317" s="29">
        <f t="shared" si="30"/>
        <v>-3.6523396146517006E-2</v>
      </c>
      <c r="N317" s="29">
        <f t="shared" si="31"/>
        <v>-1.308477642801753E-2</v>
      </c>
      <c r="O317" s="29">
        <f t="shared" si="32"/>
        <v>1.0946907498632363E-3</v>
      </c>
      <c r="P317" s="30">
        <f t="shared" si="33"/>
        <v>-6.6545519694916067E-4</v>
      </c>
      <c r="Z317" s="3"/>
      <c r="AA317" s="3"/>
      <c r="AB317" s="3"/>
      <c r="AC317" s="3"/>
      <c r="AD317" s="3"/>
      <c r="AE317" s="7"/>
    </row>
    <row r="318" spans="2:31" x14ac:dyDescent="0.15">
      <c r="B318" s="16">
        <v>42041</v>
      </c>
      <c r="C318" s="23">
        <v>23302</v>
      </c>
      <c r="D318" s="23">
        <v>11085</v>
      </c>
      <c r="E318" s="23">
        <v>27337</v>
      </c>
      <c r="F318" s="23">
        <v>31056</v>
      </c>
      <c r="G318" s="23">
        <v>16470</v>
      </c>
      <c r="H318" s="24">
        <v>39026</v>
      </c>
      <c r="I318" s="2">
        <f t="shared" si="34"/>
        <v>314</v>
      </c>
      <c r="J318" s="16">
        <v>42041</v>
      </c>
      <c r="K318" s="29">
        <f t="shared" si="28"/>
        <v>-1.8419361747697982E-3</v>
      </c>
      <c r="L318" s="29">
        <f t="shared" si="29"/>
        <v>-3.6850620168973336E-3</v>
      </c>
      <c r="M318" s="29">
        <f t="shared" si="30"/>
        <v>1.2452844009815944E-3</v>
      </c>
      <c r="N318" s="29">
        <f t="shared" si="31"/>
        <v>1.6662847415458204E-2</v>
      </c>
      <c r="O318" s="29">
        <f t="shared" si="32"/>
        <v>5.4674685620548225E-4</v>
      </c>
      <c r="P318" s="30">
        <f t="shared" si="33"/>
        <v>-4.8661800486615725E-4</v>
      </c>
      <c r="Z318" s="3"/>
      <c r="AA318" s="3"/>
      <c r="AB318" s="3"/>
      <c r="AC318" s="3"/>
      <c r="AD318" s="3"/>
      <c r="AE318" s="7"/>
    </row>
    <row r="319" spans="2:31" x14ac:dyDescent="0.15">
      <c r="B319" s="16">
        <v>42048</v>
      </c>
      <c r="C319" s="23">
        <v>23634</v>
      </c>
      <c r="D319" s="23">
        <v>11004</v>
      </c>
      <c r="E319" s="23">
        <v>26819</v>
      </c>
      <c r="F319" s="23">
        <v>31696</v>
      </c>
      <c r="G319" s="23">
        <v>16535</v>
      </c>
      <c r="H319" s="24">
        <v>38601</v>
      </c>
      <c r="I319" s="2">
        <f t="shared" si="34"/>
        <v>315</v>
      </c>
      <c r="J319" s="16">
        <v>42048</v>
      </c>
      <c r="K319" s="29">
        <f t="shared" si="28"/>
        <v>1.4247704059737298E-2</v>
      </c>
      <c r="L319" s="29">
        <f t="shared" si="29"/>
        <v>-7.3071718538565422E-3</v>
      </c>
      <c r="M319" s="29">
        <f t="shared" si="30"/>
        <v>-1.8948677616417275E-2</v>
      </c>
      <c r="N319" s="29">
        <f t="shared" si="31"/>
        <v>2.0607934054611032E-2</v>
      </c>
      <c r="O319" s="29">
        <f t="shared" si="32"/>
        <v>3.9465695203400042E-3</v>
      </c>
      <c r="P319" s="30">
        <f t="shared" si="33"/>
        <v>-1.0890175780249089E-2</v>
      </c>
      <c r="Z319" s="3"/>
      <c r="AA319" s="3"/>
      <c r="AB319" s="3"/>
      <c r="AC319" s="3"/>
      <c r="AD319" s="3"/>
      <c r="AE319" s="7"/>
    </row>
    <row r="320" spans="2:31" x14ac:dyDescent="0.15">
      <c r="B320" s="16">
        <v>42055</v>
      </c>
      <c r="C320" s="23">
        <v>24184</v>
      </c>
      <c r="D320" s="23">
        <v>11023</v>
      </c>
      <c r="E320" s="23">
        <v>26932</v>
      </c>
      <c r="F320" s="23">
        <v>31999</v>
      </c>
      <c r="G320" s="23">
        <v>16447</v>
      </c>
      <c r="H320" s="24">
        <v>38082</v>
      </c>
      <c r="I320" s="2">
        <f t="shared" si="34"/>
        <v>316</v>
      </c>
      <c r="J320" s="16">
        <v>42055</v>
      </c>
      <c r="K320" s="29">
        <f t="shared" si="28"/>
        <v>2.3271557925023334E-2</v>
      </c>
      <c r="L320" s="29">
        <f t="shared" si="29"/>
        <v>1.7266448564159376E-3</v>
      </c>
      <c r="M320" s="29">
        <f t="shared" si="30"/>
        <v>4.2134307766881207E-3</v>
      </c>
      <c r="N320" s="29">
        <f t="shared" si="31"/>
        <v>9.5595658758202973E-3</v>
      </c>
      <c r="O320" s="29">
        <f t="shared" si="32"/>
        <v>-5.3220441487753511E-3</v>
      </c>
      <c r="P320" s="30">
        <f t="shared" si="33"/>
        <v>-1.3445247532447357E-2</v>
      </c>
      <c r="Z320" s="3"/>
      <c r="AA320" s="3"/>
      <c r="AB320" s="3"/>
      <c r="AC320" s="3"/>
      <c r="AD320" s="3"/>
      <c r="AE320" s="7"/>
    </row>
    <row r="321" spans="2:31" x14ac:dyDescent="0.15">
      <c r="B321" s="16">
        <v>42062</v>
      </c>
      <c r="C321" s="23">
        <v>24804</v>
      </c>
      <c r="D321" s="23">
        <v>11062</v>
      </c>
      <c r="E321" s="23">
        <v>27653</v>
      </c>
      <c r="F321" s="23">
        <v>32284</v>
      </c>
      <c r="G321" s="23">
        <v>16496</v>
      </c>
      <c r="H321" s="24">
        <v>37913</v>
      </c>
      <c r="I321" s="2">
        <f t="shared" si="34"/>
        <v>317</v>
      </c>
      <c r="J321" s="16">
        <v>42062</v>
      </c>
      <c r="K321" s="29">
        <f t="shared" si="28"/>
        <v>2.5636784651008826E-2</v>
      </c>
      <c r="L321" s="29">
        <f t="shared" si="29"/>
        <v>3.5380567903473548E-3</v>
      </c>
      <c r="M321" s="29">
        <f t="shared" si="30"/>
        <v>2.6771127283528928E-2</v>
      </c>
      <c r="N321" s="29">
        <f t="shared" si="31"/>
        <v>8.9065283290101771E-3</v>
      </c>
      <c r="O321" s="29">
        <f t="shared" si="32"/>
        <v>2.9792667355748037E-3</v>
      </c>
      <c r="P321" s="30">
        <f t="shared" si="33"/>
        <v>-4.4377921327661829E-3</v>
      </c>
      <c r="Z321" s="3"/>
      <c r="AA321" s="3"/>
      <c r="AB321" s="3"/>
      <c r="AC321" s="3"/>
      <c r="AD321" s="3"/>
      <c r="AE321" s="7"/>
    </row>
    <row r="322" spans="2:31" x14ac:dyDescent="0.15">
      <c r="B322" s="16">
        <v>42069</v>
      </c>
      <c r="C322" s="23">
        <v>25029</v>
      </c>
      <c r="D322" s="23">
        <v>11049</v>
      </c>
      <c r="E322" s="23">
        <v>27183</v>
      </c>
      <c r="F322" s="23">
        <v>32319</v>
      </c>
      <c r="G322" s="23">
        <v>16381</v>
      </c>
      <c r="H322" s="24">
        <v>38198</v>
      </c>
      <c r="I322" s="2">
        <f t="shared" si="34"/>
        <v>318</v>
      </c>
      <c r="J322" s="16">
        <v>42069</v>
      </c>
      <c r="K322" s="29">
        <f t="shared" si="28"/>
        <v>9.0711175616835504E-3</v>
      </c>
      <c r="L322" s="29">
        <f t="shared" si="29"/>
        <v>-1.1751943590670999E-3</v>
      </c>
      <c r="M322" s="29">
        <f t="shared" si="30"/>
        <v>-1.6996347593389527E-2</v>
      </c>
      <c r="N322" s="29">
        <f t="shared" si="31"/>
        <v>1.0841283607978536E-3</v>
      </c>
      <c r="O322" s="29">
        <f t="shared" si="32"/>
        <v>-6.9713870029097791E-3</v>
      </c>
      <c r="P322" s="30">
        <f t="shared" si="33"/>
        <v>7.5172104555165653E-3</v>
      </c>
      <c r="Z322" s="3"/>
      <c r="AA322" s="3"/>
      <c r="AB322" s="3"/>
      <c r="AC322" s="3"/>
      <c r="AD322" s="3"/>
      <c r="AE322" s="7"/>
    </row>
    <row r="323" spans="2:31" x14ac:dyDescent="0.15">
      <c r="B323" s="16">
        <v>42076</v>
      </c>
      <c r="C323" s="23">
        <v>25397</v>
      </c>
      <c r="D323" s="23">
        <v>11014</v>
      </c>
      <c r="E323" s="23">
        <v>26426</v>
      </c>
      <c r="F323" s="23">
        <v>31984</v>
      </c>
      <c r="G323" s="23">
        <v>16383</v>
      </c>
      <c r="H323" s="24">
        <v>37854</v>
      </c>
      <c r="I323" s="2">
        <f t="shared" si="34"/>
        <v>319</v>
      </c>
      <c r="J323" s="16">
        <v>42076</v>
      </c>
      <c r="K323" s="29">
        <f t="shared" si="28"/>
        <v>1.470294458428234E-2</v>
      </c>
      <c r="L323" s="29">
        <f t="shared" si="29"/>
        <v>-3.1677074848402986E-3</v>
      </c>
      <c r="M323" s="29">
        <f t="shared" si="30"/>
        <v>-2.7848287532649119E-2</v>
      </c>
      <c r="N323" s="29">
        <f t="shared" si="31"/>
        <v>-1.0365419722144886E-2</v>
      </c>
      <c r="O323" s="29">
        <f t="shared" si="32"/>
        <v>1.2209266833518306E-4</v>
      </c>
      <c r="P323" s="30">
        <f t="shared" si="33"/>
        <v>-9.005707105084082E-3</v>
      </c>
      <c r="Z323" s="3"/>
      <c r="AA323" s="3"/>
      <c r="AB323" s="3"/>
      <c r="AC323" s="3"/>
      <c r="AD323" s="3"/>
      <c r="AE323" s="7"/>
    </row>
    <row r="324" spans="2:31" x14ac:dyDescent="0.15">
      <c r="B324" s="16">
        <v>42083</v>
      </c>
      <c r="C324" s="23">
        <v>25801</v>
      </c>
      <c r="D324" s="23">
        <v>11107</v>
      </c>
      <c r="E324" s="23">
        <v>26849</v>
      </c>
      <c r="F324" s="23">
        <v>32243</v>
      </c>
      <c r="G324" s="23">
        <v>16384</v>
      </c>
      <c r="H324" s="24">
        <v>38653</v>
      </c>
      <c r="I324" s="2">
        <f t="shared" si="34"/>
        <v>320</v>
      </c>
      <c r="J324" s="16">
        <v>42083</v>
      </c>
      <c r="K324" s="29">
        <f t="shared" si="28"/>
        <v>1.5907390636689334E-2</v>
      </c>
      <c r="L324" s="29">
        <f t="shared" si="29"/>
        <v>8.4437988015253485E-3</v>
      </c>
      <c r="M324" s="29">
        <f t="shared" si="30"/>
        <v>1.6006962839627548E-2</v>
      </c>
      <c r="N324" s="29">
        <f t="shared" si="31"/>
        <v>8.0977988994497263E-3</v>
      </c>
      <c r="O324" s="29">
        <f t="shared" si="32"/>
        <v>6.1038881767672137E-5</v>
      </c>
      <c r="P324" s="30">
        <f t="shared" si="33"/>
        <v>2.1107412690864802E-2</v>
      </c>
      <c r="Z324" s="3"/>
      <c r="AA324" s="3"/>
      <c r="AB324" s="3"/>
      <c r="AC324" s="3"/>
      <c r="AD324" s="3"/>
      <c r="AE324" s="7"/>
    </row>
    <row r="325" spans="2:31" x14ac:dyDescent="0.15">
      <c r="B325" s="16">
        <v>42090</v>
      </c>
      <c r="C325" s="23">
        <v>25579</v>
      </c>
      <c r="D325" s="23">
        <v>11061</v>
      </c>
      <c r="E325" s="23">
        <v>27525</v>
      </c>
      <c r="F325" s="23">
        <v>31616</v>
      </c>
      <c r="G325" s="23">
        <v>16313</v>
      </c>
      <c r="H325" s="24">
        <v>38110</v>
      </c>
      <c r="I325" s="2">
        <f t="shared" si="34"/>
        <v>321</v>
      </c>
      <c r="J325" s="16">
        <v>42090</v>
      </c>
      <c r="K325" s="29">
        <f t="shared" ref="K325:K388" si="35">C325/C324-1</f>
        <v>-8.6043176621061201E-3</v>
      </c>
      <c r="L325" s="29">
        <f t="shared" ref="L325:L388" si="36">D325/D324-1</f>
        <v>-4.1415323669757864E-3</v>
      </c>
      <c r="M325" s="29">
        <f t="shared" ref="M325:M388" si="37">E325/E324-1</f>
        <v>2.5177846474728982E-2</v>
      </c>
      <c r="N325" s="29">
        <f t="shared" ref="N325:N388" si="38">F325/F324-1</f>
        <v>-1.9446081319976383E-2</v>
      </c>
      <c r="O325" s="29">
        <f t="shared" ref="O325:O388" si="39">G325/G324-1</f>
        <v>-4.33349609375E-3</v>
      </c>
      <c r="P325" s="30">
        <f t="shared" ref="P325:P388" si="40">H325/H324-1</f>
        <v>-1.4048068713942041E-2</v>
      </c>
      <c r="Z325" s="3"/>
      <c r="AA325" s="3"/>
      <c r="AB325" s="3"/>
      <c r="AC325" s="3"/>
      <c r="AD325" s="3"/>
      <c r="AE325" s="7"/>
    </row>
    <row r="326" spans="2:31" x14ac:dyDescent="0.15">
      <c r="B326" s="16">
        <v>42097</v>
      </c>
      <c r="C326" s="23">
        <v>25771</v>
      </c>
      <c r="D326" s="23">
        <v>11076</v>
      </c>
      <c r="E326" s="23">
        <v>26872</v>
      </c>
      <c r="F326" s="23">
        <v>31915</v>
      </c>
      <c r="G326" s="23">
        <v>16417</v>
      </c>
      <c r="H326" s="24">
        <v>38502</v>
      </c>
      <c r="I326" s="2">
        <f t="shared" si="34"/>
        <v>322</v>
      </c>
      <c r="J326" s="16">
        <v>42097</v>
      </c>
      <c r="K326" s="29">
        <f t="shared" si="35"/>
        <v>7.5061573947379223E-3</v>
      </c>
      <c r="L326" s="29">
        <f t="shared" si="36"/>
        <v>1.3561160835366959E-3</v>
      </c>
      <c r="M326" s="29">
        <f t="shared" si="37"/>
        <v>-2.372388737511355E-2</v>
      </c>
      <c r="N326" s="29">
        <f t="shared" si="38"/>
        <v>9.4572368421053099E-3</v>
      </c>
      <c r="O326" s="29">
        <f t="shared" si="39"/>
        <v>6.3752835162140808E-3</v>
      </c>
      <c r="P326" s="30">
        <f t="shared" si="40"/>
        <v>1.0286014169509361E-2</v>
      </c>
      <c r="Z326" s="3"/>
      <c r="AA326" s="3"/>
      <c r="AB326" s="3"/>
      <c r="AC326" s="3"/>
      <c r="AD326" s="3"/>
      <c r="AE326" s="7"/>
    </row>
    <row r="327" spans="2:31" x14ac:dyDescent="0.15">
      <c r="B327" s="16">
        <v>42104</v>
      </c>
      <c r="C327" s="23">
        <v>26400</v>
      </c>
      <c r="D327" s="23">
        <v>11081</v>
      </c>
      <c r="E327" s="23">
        <v>27856</v>
      </c>
      <c r="F327" s="23">
        <v>32530</v>
      </c>
      <c r="G327" s="23">
        <v>16378</v>
      </c>
      <c r="H327" s="24">
        <v>38299</v>
      </c>
      <c r="I327" s="2">
        <f t="shared" ref="I327:I390" si="41">I326+1</f>
        <v>323</v>
      </c>
      <c r="J327" s="16">
        <v>42104</v>
      </c>
      <c r="K327" s="29">
        <f t="shared" si="35"/>
        <v>2.4407279500213486E-2</v>
      </c>
      <c r="L327" s="29">
        <f t="shared" si="36"/>
        <v>4.5142650776464066E-4</v>
      </c>
      <c r="M327" s="29">
        <f t="shared" si="37"/>
        <v>3.661804108365585E-2</v>
      </c>
      <c r="N327" s="29">
        <f t="shared" si="38"/>
        <v>1.9269935766880852E-2</v>
      </c>
      <c r="O327" s="29">
        <f t="shared" si="39"/>
        <v>-2.3755862825119989E-3</v>
      </c>
      <c r="P327" s="30">
        <f t="shared" si="40"/>
        <v>-5.2724533790452499E-3</v>
      </c>
      <c r="Z327" s="3"/>
      <c r="AA327" s="3"/>
      <c r="AB327" s="3"/>
      <c r="AC327" s="3"/>
      <c r="AD327" s="3"/>
      <c r="AE327" s="7"/>
    </row>
    <row r="328" spans="2:31" x14ac:dyDescent="0.15">
      <c r="B328" s="16">
        <v>42111</v>
      </c>
      <c r="C328" s="23">
        <v>26054</v>
      </c>
      <c r="D328" s="23">
        <v>11123</v>
      </c>
      <c r="E328" s="23">
        <v>27645</v>
      </c>
      <c r="F328" s="23">
        <v>32467</v>
      </c>
      <c r="G328" s="23">
        <v>16327</v>
      </c>
      <c r="H328" s="24">
        <v>37815</v>
      </c>
      <c r="I328" s="2">
        <f t="shared" si="41"/>
        <v>324</v>
      </c>
      <c r="J328" s="16">
        <v>42111</v>
      </c>
      <c r="K328" s="29">
        <f t="shared" si="35"/>
        <v>-1.3106060606060566E-2</v>
      </c>
      <c r="L328" s="29">
        <f t="shared" si="36"/>
        <v>3.7902716361339905E-3</v>
      </c>
      <c r="M328" s="29">
        <f t="shared" si="37"/>
        <v>-7.5746697300401733E-3</v>
      </c>
      <c r="N328" s="29">
        <f t="shared" si="38"/>
        <v>-1.9366738395327765E-3</v>
      </c>
      <c r="O328" s="29">
        <f t="shared" si="39"/>
        <v>-3.1139333251923862E-3</v>
      </c>
      <c r="P328" s="30">
        <f t="shared" si="40"/>
        <v>-1.263740567638838E-2</v>
      </c>
      <c r="Z328" s="3"/>
      <c r="AA328" s="3"/>
      <c r="AB328" s="3"/>
      <c r="AC328" s="3"/>
      <c r="AD328" s="3"/>
      <c r="AE328" s="7"/>
    </row>
    <row r="329" spans="2:31" x14ac:dyDescent="0.15">
      <c r="B329" s="16">
        <v>42118</v>
      </c>
      <c r="C329" s="23">
        <v>26533</v>
      </c>
      <c r="D329" s="23">
        <v>11127</v>
      </c>
      <c r="E329" s="23">
        <v>27512</v>
      </c>
      <c r="F329" s="23">
        <v>32636</v>
      </c>
      <c r="G329" s="23">
        <v>16358</v>
      </c>
      <c r="H329" s="24">
        <v>37908</v>
      </c>
      <c r="I329" s="2">
        <f t="shared" si="41"/>
        <v>325</v>
      </c>
      <c r="J329" s="16">
        <v>42118</v>
      </c>
      <c r="K329" s="29">
        <f t="shared" si="35"/>
        <v>1.8384892914715678E-2</v>
      </c>
      <c r="L329" s="29">
        <f t="shared" si="36"/>
        <v>3.5961521172356292E-4</v>
      </c>
      <c r="M329" s="29">
        <f t="shared" si="37"/>
        <v>-4.8109965635738661E-3</v>
      </c>
      <c r="N329" s="29">
        <f t="shared" si="38"/>
        <v>5.2052853666799681E-3</v>
      </c>
      <c r="O329" s="29">
        <f t="shared" si="39"/>
        <v>1.8986954125068678E-3</v>
      </c>
      <c r="P329" s="30">
        <f t="shared" si="40"/>
        <v>2.4593415311384703E-3</v>
      </c>
      <c r="Z329" s="3"/>
      <c r="AA329" s="3"/>
      <c r="AB329" s="3"/>
      <c r="AC329" s="3"/>
      <c r="AD329" s="3"/>
      <c r="AE329" s="7"/>
    </row>
    <row r="330" spans="2:31" x14ac:dyDescent="0.15">
      <c r="B330" s="16">
        <v>42125</v>
      </c>
      <c r="C330" s="23">
        <v>25898</v>
      </c>
      <c r="D330" s="23">
        <v>11069</v>
      </c>
      <c r="E330" s="23">
        <v>27048</v>
      </c>
      <c r="F330" s="23">
        <v>32464</v>
      </c>
      <c r="G330" s="23">
        <v>16518</v>
      </c>
      <c r="H330" s="24">
        <v>37069</v>
      </c>
      <c r="I330" s="2">
        <f t="shared" si="41"/>
        <v>326</v>
      </c>
      <c r="J330" s="16">
        <v>42125</v>
      </c>
      <c r="K330" s="29">
        <f t="shared" si="35"/>
        <v>-2.3932461463083698E-2</v>
      </c>
      <c r="L330" s="29">
        <f t="shared" si="36"/>
        <v>-5.2125460591354589E-3</v>
      </c>
      <c r="M330" s="29">
        <f t="shared" si="37"/>
        <v>-1.6865367839488221E-2</v>
      </c>
      <c r="N330" s="29">
        <f t="shared" si="38"/>
        <v>-5.270253707562178E-3</v>
      </c>
      <c r="O330" s="29">
        <f t="shared" si="39"/>
        <v>9.7811468394668477E-3</v>
      </c>
      <c r="P330" s="30">
        <f t="shared" si="40"/>
        <v>-2.2132531391790611E-2</v>
      </c>
      <c r="Z330" s="3"/>
      <c r="AA330" s="3"/>
      <c r="AB330" s="3"/>
      <c r="AC330" s="3"/>
      <c r="AD330" s="3"/>
      <c r="AE330" s="7"/>
    </row>
    <row r="331" spans="2:31" x14ac:dyDescent="0.15">
      <c r="B331" s="16">
        <v>42132</v>
      </c>
      <c r="C331" s="23">
        <v>25694</v>
      </c>
      <c r="D331" s="23">
        <v>11028</v>
      </c>
      <c r="E331" s="23">
        <v>26795</v>
      </c>
      <c r="F331" s="23">
        <v>32409</v>
      </c>
      <c r="G331" s="23">
        <v>16371</v>
      </c>
      <c r="H331" s="24">
        <v>36799</v>
      </c>
      <c r="I331" s="2">
        <f t="shared" si="41"/>
        <v>327</v>
      </c>
      <c r="J331" s="16">
        <v>42132</v>
      </c>
      <c r="K331" s="29">
        <f t="shared" si="35"/>
        <v>-7.8770561433315622E-3</v>
      </c>
      <c r="L331" s="29">
        <f t="shared" si="36"/>
        <v>-3.7040383051766268E-3</v>
      </c>
      <c r="M331" s="29">
        <f t="shared" si="37"/>
        <v>-9.3537414965986221E-3</v>
      </c>
      <c r="N331" s="29">
        <f t="shared" si="38"/>
        <v>-1.6941843272547663E-3</v>
      </c>
      <c r="O331" s="29">
        <f t="shared" si="39"/>
        <v>-8.8993824918270903E-3</v>
      </c>
      <c r="P331" s="30">
        <f t="shared" si="40"/>
        <v>-7.2837141546845396E-3</v>
      </c>
      <c r="Z331" s="3"/>
      <c r="AA331" s="3"/>
      <c r="AB331" s="3"/>
      <c r="AC331" s="3"/>
      <c r="AD331" s="3"/>
      <c r="AE331" s="7"/>
    </row>
    <row r="332" spans="2:31" x14ac:dyDescent="0.15">
      <c r="B332" s="16">
        <v>42139</v>
      </c>
      <c r="C332" s="23">
        <v>26167</v>
      </c>
      <c r="D332" s="23">
        <v>11045</v>
      </c>
      <c r="E332" s="23">
        <v>26950</v>
      </c>
      <c r="F332" s="23">
        <v>32955</v>
      </c>
      <c r="G332" s="23">
        <v>16383</v>
      </c>
      <c r="H332" s="24">
        <v>37353</v>
      </c>
      <c r="I332" s="2">
        <f t="shared" si="41"/>
        <v>328</v>
      </c>
      <c r="J332" s="16">
        <v>42139</v>
      </c>
      <c r="K332" s="29">
        <f t="shared" si="35"/>
        <v>1.8408967074025062E-2</v>
      </c>
      <c r="L332" s="29">
        <f t="shared" si="36"/>
        <v>1.5415306492563285E-3</v>
      </c>
      <c r="M332" s="29">
        <f t="shared" si="37"/>
        <v>5.7846613174099559E-3</v>
      </c>
      <c r="N332" s="29">
        <f t="shared" si="38"/>
        <v>1.6847172081829065E-2</v>
      </c>
      <c r="O332" s="29">
        <f t="shared" si="39"/>
        <v>7.3300348176652541E-4</v>
      </c>
      <c r="P332" s="30">
        <f t="shared" si="40"/>
        <v>1.5054756922742385E-2</v>
      </c>
      <c r="Z332" s="3"/>
      <c r="AA332" s="3"/>
      <c r="AB332" s="3"/>
      <c r="AC332" s="3"/>
      <c r="AD332" s="3"/>
      <c r="AE332" s="7"/>
    </row>
    <row r="333" spans="2:31" x14ac:dyDescent="0.15">
      <c r="B333" s="16">
        <v>42146</v>
      </c>
      <c r="C333" s="23">
        <v>26873</v>
      </c>
      <c r="D333" s="23">
        <v>11021</v>
      </c>
      <c r="E333" s="23">
        <v>27133</v>
      </c>
      <c r="F333" s="23">
        <v>33528</v>
      </c>
      <c r="G333" s="23">
        <v>16462</v>
      </c>
      <c r="H333" s="24">
        <v>37693</v>
      </c>
      <c r="I333" s="2">
        <f t="shared" si="41"/>
        <v>329</v>
      </c>
      <c r="J333" s="16">
        <v>42146</v>
      </c>
      <c r="K333" s="29">
        <f t="shared" si="35"/>
        <v>2.6980548018496586E-2</v>
      </c>
      <c r="L333" s="29">
        <f t="shared" si="36"/>
        <v>-2.172928927116291E-3</v>
      </c>
      <c r="M333" s="29">
        <f t="shared" si="37"/>
        <v>6.7903525046382196E-3</v>
      </c>
      <c r="N333" s="29">
        <f t="shared" si="38"/>
        <v>1.7387346381429136E-2</v>
      </c>
      <c r="O333" s="29">
        <f t="shared" si="39"/>
        <v>4.8220716596472091E-3</v>
      </c>
      <c r="P333" s="30">
        <f t="shared" si="40"/>
        <v>9.1023478703182725E-3</v>
      </c>
      <c r="Z333" s="3"/>
      <c r="AA333" s="3"/>
      <c r="AB333" s="3"/>
      <c r="AC333" s="3"/>
      <c r="AD333" s="3"/>
      <c r="AE333" s="7"/>
    </row>
    <row r="334" spans="2:31" x14ac:dyDescent="0.15">
      <c r="B334" s="16">
        <v>42153</v>
      </c>
      <c r="C334" s="23">
        <v>27263</v>
      </c>
      <c r="D334" s="23">
        <v>11036</v>
      </c>
      <c r="E334" s="23">
        <v>27214</v>
      </c>
      <c r="F334" s="23">
        <v>33940</v>
      </c>
      <c r="G334" s="23">
        <v>16728</v>
      </c>
      <c r="H334" s="24">
        <v>38219</v>
      </c>
      <c r="I334" s="2">
        <f t="shared" si="41"/>
        <v>330</v>
      </c>
      <c r="J334" s="16">
        <v>42153</v>
      </c>
      <c r="K334" s="29">
        <f t="shared" si="35"/>
        <v>1.4512707922450074E-2</v>
      </c>
      <c r="L334" s="29">
        <f t="shared" si="36"/>
        <v>1.361038018328653E-3</v>
      </c>
      <c r="M334" s="29">
        <f t="shared" si="37"/>
        <v>2.9852946596395924E-3</v>
      </c>
      <c r="N334" s="29">
        <f t="shared" si="38"/>
        <v>1.2288236697685528E-2</v>
      </c>
      <c r="O334" s="29">
        <f t="shared" si="39"/>
        <v>1.6158425464706694E-2</v>
      </c>
      <c r="P334" s="30">
        <f t="shared" si="40"/>
        <v>1.3954845727323306E-2</v>
      </c>
      <c r="Z334" s="3"/>
      <c r="AA334" s="3"/>
      <c r="AB334" s="3"/>
      <c r="AC334" s="3"/>
      <c r="AD334" s="3"/>
      <c r="AE334" s="7"/>
    </row>
    <row r="335" spans="2:31" x14ac:dyDescent="0.15">
      <c r="B335" s="16">
        <v>42160</v>
      </c>
      <c r="C335" s="23">
        <v>27123</v>
      </c>
      <c r="D335" s="23">
        <v>10981</v>
      </c>
      <c r="E335" s="23">
        <v>26705</v>
      </c>
      <c r="F335" s="23">
        <v>33752</v>
      </c>
      <c r="G335" s="23">
        <v>16782</v>
      </c>
      <c r="H335" s="24">
        <v>37593</v>
      </c>
      <c r="I335" s="2">
        <f t="shared" si="41"/>
        <v>331</v>
      </c>
      <c r="J335" s="16">
        <v>42160</v>
      </c>
      <c r="K335" s="29">
        <f t="shared" si="35"/>
        <v>-5.1351648754722756E-3</v>
      </c>
      <c r="L335" s="29">
        <f t="shared" si="36"/>
        <v>-4.983689742660391E-3</v>
      </c>
      <c r="M335" s="29">
        <f t="shared" si="37"/>
        <v>-1.8703608436833941E-2</v>
      </c>
      <c r="N335" s="29">
        <f t="shared" si="38"/>
        <v>-5.5391868002356848E-3</v>
      </c>
      <c r="O335" s="29">
        <f t="shared" si="39"/>
        <v>3.2281205164992333E-3</v>
      </c>
      <c r="P335" s="30">
        <f t="shared" si="40"/>
        <v>-1.637928778879616E-2</v>
      </c>
      <c r="Z335" s="3"/>
      <c r="AA335" s="3"/>
      <c r="AB335" s="3"/>
      <c r="AC335" s="3"/>
      <c r="AD335" s="3"/>
      <c r="AE335" s="7"/>
    </row>
    <row r="336" spans="2:31" x14ac:dyDescent="0.15">
      <c r="B336" s="16">
        <v>42167</v>
      </c>
      <c r="C336" s="23">
        <v>27039</v>
      </c>
      <c r="D336" s="23">
        <v>10979</v>
      </c>
      <c r="E336" s="23">
        <v>26636</v>
      </c>
      <c r="F336" s="23">
        <v>33662</v>
      </c>
      <c r="G336" s="23">
        <v>16611</v>
      </c>
      <c r="H336" s="24">
        <v>37227</v>
      </c>
      <c r="I336" s="2">
        <f t="shared" si="41"/>
        <v>332</v>
      </c>
      <c r="J336" s="16">
        <v>42167</v>
      </c>
      <c r="K336" s="29">
        <f t="shared" si="35"/>
        <v>-3.0970025439663873E-3</v>
      </c>
      <c r="L336" s="29">
        <f t="shared" si="36"/>
        <v>-1.8213277479284251E-4</v>
      </c>
      <c r="M336" s="29">
        <f t="shared" si="37"/>
        <v>-2.5837858079011955E-3</v>
      </c>
      <c r="N336" s="29">
        <f t="shared" si="38"/>
        <v>-2.6665086513392167E-3</v>
      </c>
      <c r="O336" s="29">
        <f t="shared" si="39"/>
        <v>-1.0189488737933461E-2</v>
      </c>
      <c r="P336" s="30">
        <f t="shared" si="40"/>
        <v>-9.7358550794031107E-3</v>
      </c>
      <c r="Z336" s="3"/>
      <c r="AA336" s="3"/>
      <c r="AB336" s="3"/>
      <c r="AC336" s="3"/>
      <c r="AD336" s="3"/>
      <c r="AE336" s="7"/>
    </row>
    <row r="337" spans="2:31" x14ac:dyDescent="0.15">
      <c r="B337" s="16">
        <v>42174</v>
      </c>
      <c r="C337" s="23">
        <v>26731</v>
      </c>
      <c r="D337" s="23">
        <v>11038</v>
      </c>
      <c r="E337" s="23">
        <v>26475</v>
      </c>
      <c r="F337" s="23">
        <v>33567</v>
      </c>
      <c r="G337" s="23">
        <v>16686</v>
      </c>
      <c r="H337" s="24">
        <v>37540</v>
      </c>
      <c r="I337" s="2">
        <f t="shared" si="41"/>
        <v>333</v>
      </c>
      <c r="J337" s="16">
        <v>42174</v>
      </c>
      <c r="K337" s="29">
        <f t="shared" si="35"/>
        <v>-1.1390953807463244E-2</v>
      </c>
      <c r="L337" s="29">
        <f t="shared" si="36"/>
        <v>5.373895618908886E-3</v>
      </c>
      <c r="M337" s="29">
        <f t="shared" si="37"/>
        <v>-6.0444511187865979E-3</v>
      </c>
      <c r="N337" s="29">
        <f t="shared" si="38"/>
        <v>-2.8221733705662277E-3</v>
      </c>
      <c r="O337" s="29">
        <f t="shared" si="39"/>
        <v>4.515080368430624E-3</v>
      </c>
      <c r="P337" s="30">
        <f t="shared" si="40"/>
        <v>8.4078760039756339E-3</v>
      </c>
      <c r="Z337" s="3"/>
      <c r="AA337" s="3"/>
      <c r="AB337" s="3"/>
      <c r="AC337" s="3"/>
      <c r="AD337" s="3"/>
      <c r="AE337" s="7"/>
    </row>
    <row r="338" spans="2:31" x14ac:dyDescent="0.15">
      <c r="B338" s="16">
        <v>42181</v>
      </c>
      <c r="C338" s="23">
        <v>27471</v>
      </c>
      <c r="D338" s="23">
        <v>11008</v>
      </c>
      <c r="E338" s="23">
        <v>26723</v>
      </c>
      <c r="F338" s="23">
        <v>33669</v>
      </c>
      <c r="G338" s="23">
        <v>16595</v>
      </c>
      <c r="H338" s="24">
        <v>36780</v>
      </c>
      <c r="I338" s="2">
        <f t="shared" si="41"/>
        <v>334</v>
      </c>
      <c r="J338" s="16">
        <v>42181</v>
      </c>
      <c r="K338" s="29">
        <f t="shared" si="35"/>
        <v>2.768321424563247E-2</v>
      </c>
      <c r="L338" s="29">
        <f t="shared" si="36"/>
        <v>-2.7178836745787027E-3</v>
      </c>
      <c r="M338" s="29">
        <f t="shared" si="37"/>
        <v>9.3673276676109474E-3</v>
      </c>
      <c r="N338" s="29">
        <f t="shared" si="38"/>
        <v>3.0386987219590544E-3</v>
      </c>
      <c r="O338" s="29">
        <f t="shared" si="39"/>
        <v>-5.4536737384633938E-3</v>
      </c>
      <c r="P338" s="30">
        <f t="shared" si="40"/>
        <v>-2.0245071923281843E-2</v>
      </c>
      <c r="Z338" s="3"/>
      <c r="AA338" s="3"/>
      <c r="AB338" s="3"/>
      <c r="AC338" s="3"/>
      <c r="AD338" s="3"/>
      <c r="AE338" s="7"/>
    </row>
    <row r="339" spans="2:31" x14ac:dyDescent="0.15">
      <c r="B339" s="16">
        <v>42188</v>
      </c>
      <c r="C339" s="23">
        <v>27231</v>
      </c>
      <c r="D339" s="23">
        <v>10999</v>
      </c>
      <c r="E339" s="23">
        <v>25736</v>
      </c>
      <c r="F339" s="23">
        <v>32866</v>
      </c>
      <c r="G339" s="23">
        <v>16412</v>
      </c>
      <c r="H339" s="24">
        <v>36585</v>
      </c>
      <c r="I339" s="2">
        <f t="shared" si="41"/>
        <v>335</v>
      </c>
      <c r="J339" s="16">
        <v>42188</v>
      </c>
      <c r="K339" s="29">
        <f t="shared" si="35"/>
        <v>-8.7364857486076364E-3</v>
      </c>
      <c r="L339" s="29">
        <f t="shared" si="36"/>
        <v>-8.1758720930236173E-4</v>
      </c>
      <c r="M339" s="29">
        <f t="shared" si="37"/>
        <v>-3.6934475919619847E-2</v>
      </c>
      <c r="N339" s="29">
        <f t="shared" si="38"/>
        <v>-2.3849832189848263E-2</v>
      </c>
      <c r="O339" s="29">
        <f t="shared" si="39"/>
        <v>-1.1027417896956937E-2</v>
      </c>
      <c r="P339" s="30">
        <f t="shared" si="40"/>
        <v>-5.3017944535073136E-3</v>
      </c>
      <c r="Z339" s="3"/>
      <c r="AA339" s="3"/>
      <c r="AB339" s="3"/>
      <c r="AC339" s="3"/>
      <c r="AD339" s="3"/>
      <c r="AE339" s="7"/>
    </row>
    <row r="340" spans="2:31" x14ac:dyDescent="0.15">
      <c r="B340" s="16">
        <v>42195</v>
      </c>
      <c r="C340" s="23">
        <v>26240</v>
      </c>
      <c r="D340" s="23">
        <v>11029</v>
      </c>
      <c r="E340" s="23">
        <v>24104</v>
      </c>
      <c r="F340" s="23">
        <v>32000</v>
      </c>
      <c r="G340" s="23">
        <v>16309</v>
      </c>
      <c r="H340" s="24">
        <v>36229</v>
      </c>
      <c r="I340" s="2">
        <f t="shared" si="41"/>
        <v>336</v>
      </c>
      <c r="J340" s="16">
        <v>42195</v>
      </c>
      <c r="K340" s="29">
        <f t="shared" si="35"/>
        <v>-3.6392346957511701E-2</v>
      </c>
      <c r="L340" s="29">
        <f t="shared" si="36"/>
        <v>2.7275206836985255E-3</v>
      </c>
      <c r="M340" s="29">
        <f t="shared" si="37"/>
        <v>-6.341311781162573E-2</v>
      </c>
      <c r="N340" s="29">
        <f t="shared" si="38"/>
        <v>-2.6349418852309348E-2</v>
      </c>
      <c r="O340" s="29">
        <f t="shared" si="39"/>
        <v>-6.2758956860833326E-3</v>
      </c>
      <c r="P340" s="30">
        <f t="shared" si="40"/>
        <v>-9.730763974306389E-3</v>
      </c>
      <c r="Z340" s="3"/>
      <c r="AA340" s="3"/>
      <c r="AB340" s="3"/>
      <c r="AC340" s="3"/>
      <c r="AD340" s="3"/>
      <c r="AE340" s="7"/>
    </row>
    <row r="341" spans="2:31" x14ac:dyDescent="0.15">
      <c r="B341" s="16">
        <v>42202</v>
      </c>
      <c r="C341" s="23">
        <v>27374</v>
      </c>
      <c r="D341" s="23">
        <v>11033</v>
      </c>
      <c r="E341" s="23">
        <v>25771</v>
      </c>
      <c r="F341" s="23">
        <v>33907</v>
      </c>
      <c r="G341" s="23">
        <v>16535</v>
      </c>
      <c r="H341" s="24">
        <v>37990</v>
      </c>
      <c r="I341" s="2">
        <f t="shared" si="41"/>
        <v>337</v>
      </c>
      <c r="J341" s="16">
        <v>42202</v>
      </c>
      <c r="K341" s="29">
        <f t="shared" si="35"/>
        <v>4.3216463414634143E-2</v>
      </c>
      <c r="L341" s="29">
        <f t="shared" si="36"/>
        <v>3.6268020672780565E-4</v>
      </c>
      <c r="M341" s="29">
        <f t="shared" si="37"/>
        <v>6.9158645867905655E-2</v>
      </c>
      <c r="N341" s="29">
        <f t="shared" si="38"/>
        <v>5.959374999999989E-2</v>
      </c>
      <c r="O341" s="29">
        <f t="shared" si="39"/>
        <v>1.3857379361088995E-2</v>
      </c>
      <c r="P341" s="30">
        <f t="shared" si="40"/>
        <v>4.8607469154544614E-2</v>
      </c>
      <c r="Z341" s="3"/>
      <c r="AA341" s="3"/>
      <c r="AB341" s="3"/>
      <c r="AC341" s="3"/>
      <c r="AD341" s="3"/>
      <c r="AE341" s="7"/>
    </row>
    <row r="342" spans="2:31" x14ac:dyDescent="0.15">
      <c r="B342" s="16">
        <v>42209</v>
      </c>
      <c r="C342" s="23">
        <v>27222</v>
      </c>
      <c r="D342" s="23">
        <v>11053</v>
      </c>
      <c r="E342" s="23">
        <v>25799</v>
      </c>
      <c r="F342" s="23">
        <v>33474</v>
      </c>
      <c r="G342" s="23">
        <v>16649</v>
      </c>
      <c r="H342" s="24">
        <v>37434</v>
      </c>
      <c r="I342" s="2">
        <f t="shared" si="41"/>
        <v>338</v>
      </c>
      <c r="J342" s="16">
        <v>42209</v>
      </c>
      <c r="K342" s="29">
        <f t="shared" si="35"/>
        <v>-5.5527142544019581E-3</v>
      </c>
      <c r="L342" s="29">
        <f t="shared" si="36"/>
        <v>1.812743587419563E-3</v>
      </c>
      <c r="M342" s="29">
        <f t="shared" si="37"/>
        <v>1.0864925691669303E-3</v>
      </c>
      <c r="N342" s="29">
        <f t="shared" si="38"/>
        <v>-1.277022443743181E-2</v>
      </c>
      <c r="O342" s="29">
        <f t="shared" si="39"/>
        <v>6.8944662836407655E-3</v>
      </c>
      <c r="P342" s="30">
        <f t="shared" si="40"/>
        <v>-1.4635430376414793E-2</v>
      </c>
      <c r="Z342" s="3"/>
      <c r="AA342" s="3"/>
      <c r="AB342" s="3"/>
      <c r="AC342" s="3"/>
      <c r="AD342" s="3"/>
      <c r="AE342" s="7"/>
    </row>
    <row r="343" spans="2:31" x14ac:dyDescent="0.15">
      <c r="B343" s="16">
        <v>42216</v>
      </c>
      <c r="C343" s="23">
        <v>27279</v>
      </c>
      <c r="D343" s="23">
        <v>11052</v>
      </c>
      <c r="E343" s="23">
        <v>25886</v>
      </c>
      <c r="F343" s="23">
        <v>33474</v>
      </c>
      <c r="G343" s="23">
        <v>16679</v>
      </c>
      <c r="H343" s="24">
        <v>37631</v>
      </c>
      <c r="I343" s="2">
        <f t="shared" si="41"/>
        <v>339</v>
      </c>
      <c r="J343" s="16">
        <v>42216</v>
      </c>
      <c r="K343" s="29">
        <f t="shared" si="35"/>
        <v>2.0938946440378636E-3</v>
      </c>
      <c r="L343" s="29">
        <f t="shared" si="36"/>
        <v>-9.0473174703675774E-5</v>
      </c>
      <c r="M343" s="29">
        <f t="shared" si="37"/>
        <v>3.3722237296018864E-3</v>
      </c>
      <c r="N343" s="29">
        <f t="shared" si="38"/>
        <v>0</v>
      </c>
      <c r="O343" s="29">
        <f t="shared" si="39"/>
        <v>1.8019100246260411E-3</v>
      </c>
      <c r="P343" s="30">
        <f t="shared" si="40"/>
        <v>5.2625955014158343E-3</v>
      </c>
      <c r="Z343" s="3"/>
      <c r="AA343" s="3"/>
      <c r="AB343" s="3"/>
      <c r="AC343" s="3"/>
      <c r="AD343" s="3"/>
      <c r="AE343" s="7"/>
    </row>
    <row r="344" spans="2:31" x14ac:dyDescent="0.15">
      <c r="B344" s="16">
        <v>42223</v>
      </c>
      <c r="C344" s="23">
        <v>27459</v>
      </c>
      <c r="D344" s="23">
        <v>11039</v>
      </c>
      <c r="E344" s="23">
        <v>25880</v>
      </c>
      <c r="F344" s="23">
        <v>33493</v>
      </c>
      <c r="G344" s="23">
        <v>16751</v>
      </c>
      <c r="H344" s="24">
        <v>37969</v>
      </c>
      <c r="I344" s="2">
        <f t="shared" si="41"/>
        <v>340</v>
      </c>
      <c r="J344" s="16">
        <v>42223</v>
      </c>
      <c r="K344" s="29">
        <f t="shared" si="35"/>
        <v>6.5984823490596867E-3</v>
      </c>
      <c r="L344" s="29">
        <f t="shared" si="36"/>
        <v>-1.1762576909156719E-3</v>
      </c>
      <c r="M344" s="29">
        <f t="shared" si="37"/>
        <v>-2.3178552113112261E-4</v>
      </c>
      <c r="N344" s="29">
        <f t="shared" si="38"/>
        <v>5.6760470813177477E-4</v>
      </c>
      <c r="O344" s="29">
        <f t="shared" si="39"/>
        <v>4.3168055638826974E-3</v>
      </c>
      <c r="P344" s="30">
        <f t="shared" si="40"/>
        <v>8.981956365762267E-3</v>
      </c>
      <c r="Z344" s="3"/>
      <c r="AA344" s="3"/>
      <c r="AB344" s="3"/>
      <c r="AC344" s="3"/>
      <c r="AD344" s="3"/>
      <c r="AE344" s="7"/>
    </row>
    <row r="345" spans="2:31" x14ac:dyDescent="0.15">
      <c r="B345" s="16">
        <v>42230</v>
      </c>
      <c r="C345" s="23">
        <v>27192</v>
      </c>
      <c r="D345" s="23">
        <v>11062</v>
      </c>
      <c r="E345" s="23">
        <v>25496</v>
      </c>
      <c r="F345" s="23">
        <v>33218</v>
      </c>
      <c r="G345" s="23">
        <v>16931</v>
      </c>
      <c r="H345" s="24">
        <v>38085</v>
      </c>
      <c r="I345" s="2">
        <f t="shared" si="41"/>
        <v>341</v>
      </c>
      <c r="J345" s="16">
        <v>42230</v>
      </c>
      <c r="K345" s="29">
        <f t="shared" si="35"/>
        <v>-9.7235878946793086E-3</v>
      </c>
      <c r="L345" s="29">
        <f t="shared" si="36"/>
        <v>2.0835220581574276E-3</v>
      </c>
      <c r="M345" s="29">
        <f t="shared" si="37"/>
        <v>-1.4837712519319979E-2</v>
      </c>
      <c r="N345" s="29">
        <f t="shared" si="38"/>
        <v>-8.2106708864538858E-3</v>
      </c>
      <c r="O345" s="29">
        <f t="shared" si="39"/>
        <v>1.0745627126738766E-2</v>
      </c>
      <c r="P345" s="30">
        <f t="shared" si="40"/>
        <v>3.0551239168794542E-3</v>
      </c>
      <c r="Z345" s="3"/>
      <c r="AA345" s="3"/>
      <c r="AB345" s="3"/>
      <c r="AC345" s="3"/>
      <c r="AD345" s="3"/>
      <c r="AE345" s="7"/>
    </row>
    <row r="346" spans="2:31" x14ac:dyDescent="0.15">
      <c r="B346" s="16">
        <v>42237</v>
      </c>
      <c r="C346" s="23">
        <v>25761</v>
      </c>
      <c r="D346" s="23">
        <v>11085</v>
      </c>
      <c r="E346" s="23">
        <v>25198</v>
      </c>
      <c r="F346" s="23">
        <v>32127</v>
      </c>
      <c r="G346" s="23">
        <v>16904</v>
      </c>
      <c r="H346" s="24">
        <v>37743</v>
      </c>
      <c r="I346" s="2">
        <f t="shared" si="41"/>
        <v>342</v>
      </c>
      <c r="J346" s="16">
        <v>42237</v>
      </c>
      <c r="K346" s="29">
        <f t="shared" si="35"/>
        <v>-5.2625772285966432E-2</v>
      </c>
      <c r="L346" s="29">
        <f t="shared" si="36"/>
        <v>2.0791900198879887E-3</v>
      </c>
      <c r="M346" s="29">
        <f t="shared" si="37"/>
        <v>-1.168810793850017E-2</v>
      </c>
      <c r="N346" s="29">
        <f t="shared" si="38"/>
        <v>-3.2843638990908586E-2</v>
      </c>
      <c r="O346" s="29">
        <f t="shared" si="39"/>
        <v>-1.594707932195405E-3</v>
      </c>
      <c r="P346" s="30">
        <f t="shared" si="40"/>
        <v>-8.9799133517132201E-3</v>
      </c>
      <c r="Z346" s="3"/>
      <c r="AA346" s="3"/>
      <c r="AB346" s="3"/>
      <c r="AC346" s="3"/>
      <c r="AD346" s="3"/>
      <c r="AE346" s="7"/>
    </row>
    <row r="347" spans="2:31" x14ac:dyDescent="0.15">
      <c r="B347" s="16">
        <v>42244</v>
      </c>
      <c r="C347" s="23">
        <v>25375</v>
      </c>
      <c r="D347" s="23">
        <v>11065</v>
      </c>
      <c r="E347" s="23">
        <v>24204</v>
      </c>
      <c r="F347" s="23">
        <v>30738</v>
      </c>
      <c r="G347" s="23">
        <v>16429</v>
      </c>
      <c r="H347" s="24">
        <v>35492</v>
      </c>
      <c r="I347" s="2">
        <f t="shared" si="41"/>
        <v>343</v>
      </c>
      <c r="J347" s="16">
        <v>42244</v>
      </c>
      <c r="K347" s="29">
        <f t="shared" si="35"/>
        <v>-1.4983890376926379E-2</v>
      </c>
      <c r="L347" s="29">
        <f t="shared" si="36"/>
        <v>-1.8042399639152107E-3</v>
      </c>
      <c r="M347" s="29">
        <f t="shared" si="37"/>
        <v>-3.9447575204381247E-2</v>
      </c>
      <c r="N347" s="29">
        <f t="shared" si="38"/>
        <v>-4.3234662433467186E-2</v>
      </c>
      <c r="O347" s="29">
        <f t="shared" si="39"/>
        <v>-2.8099858021769952E-2</v>
      </c>
      <c r="P347" s="30">
        <f t="shared" si="40"/>
        <v>-5.9640198182444482E-2</v>
      </c>
      <c r="Z347" s="3"/>
      <c r="AA347" s="3"/>
      <c r="AB347" s="3"/>
      <c r="AC347" s="3"/>
      <c r="AD347" s="3"/>
      <c r="AE347" s="7"/>
    </row>
    <row r="348" spans="2:31" x14ac:dyDescent="0.15">
      <c r="B348" s="16">
        <v>42251</v>
      </c>
      <c r="C348" s="23">
        <v>23575</v>
      </c>
      <c r="D348" s="23">
        <v>11084</v>
      </c>
      <c r="E348" s="23">
        <v>22859</v>
      </c>
      <c r="F348" s="23">
        <v>29910</v>
      </c>
      <c r="G348" s="23">
        <v>16164</v>
      </c>
      <c r="H348" s="24">
        <v>34090</v>
      </c>
      <c r="I348" s="2">
        <f t="shared" si="41"/>
        <v>344</v>
      </c>
      <c r="J348" s="16">
        <v>42251</v>
      </c>
      <c r="K348" s="29">
        <f t="shared" si="35"/>
        <v>-7.0935960591133052E-2</v>
      </c>
      <c r="L348" s="29">
        <f t="shared" si="36"/>
        <v>1.7171260732038451E-3</v>
      </c>
      <c r="M348" s="29">
        <f t="shared" si="37"/>
        <v>-5.5569327383903522E-2</v>
      </c>
      <c r="N348" s="29">
        <f t="shared" si="38"/>
        <v>-2.6937341401522596E-2</v>
      </c>
      <c r="O348" s="29">
        <f t="shared" si="39"/>
        <v>-1.6130013999634762E-2</v>
      </c>
      <c r="P348" s="30">
        <f t="shared" si="40"/>
        <v>-3.9501859573988551E-2</v>
      </c>
      <c r="Z348" s="3"/>
      <c r="AA348" s="3"/>
      <c r="AB348" s="3"/>
      <c r="AC348" s="3"/>
      <c r="AD348" s="3"/>
      <c r="AE348" s="7"/>
    </row>
    <row r="349" spans="2:31" x14ac:dyDescent="0.15">
      <c r="B349" s="16">
        <v>42258</v>
      </c>
      <c r="C349" s="23">
        <v>24196</v>
      </c>
      <c r="D349" s="23">
        <v>11089</v>
      </c>
      <c r="E349" s="23">
        <v>23179</v>
      </c>
      <c r="F349" s="23">
        <v>30215</v>
      </c>
      <c r="G349" s="23">
        <v>16416</v>
      </c>
      <c r="H349" s="24">
        <v>34111</v>
      </c>
      <c r="I349" s="2">
        <f t="shared" si="41"/>
        <v>345</v>
      </c>
      <c r="J349" s="16">
        <v>42258</v>
      </c>
      <c r="K349" s="29">
        <f t="shared" si="35"/>
        <v>2.634146341463417E-2</v>
      </c>
      <c r="L349" s="29">
        <f t="shared" si="36"/>
        <v>4.5110068567311146E-4</v>
      </c>
      <c r="M349" s="29">
        <f t="shared" si="37"/>
        <v>1.3998862592414341E-2</v>
      </c>
      <c r="N349" s="29">
        <f t="shared" si="38"/>
        <v>1.0197258441992707E-2</v>
      </c>
      <c r="O349" s="29">
        <f t="shared" si="39"/>
        <v>1.5590200445434244E-2</v>
      </c>
      <c r="P349" s="30">
        <f t="shared" si="40"/>
        <v>6.1601642710473747E-4</v>
      </c>
      <c r="Z349" s="3"/>
      <c r="AA349" s="3"/>
      <c r="AB349" s="3"/>
      <c r="AC349" s="3"/>
      <c r="AD349" s="3"/>
      <c r="AE349" s="7"/>
    </row>
    <row r="350" spans="2:31" x14ac:dyDescent="0.15">
      <c r="B350" s="16">
        <v>42265</v>
      </c>
      <c r="C350" s="23">
        <v>23939</v>
      </c>
      <c r="D350" s="23">
        <v>11105</v>
      </c>
      <c r="E350" s="23">
        <v>23866</v>
      </c>
      <c r="F350" s="23">
        <v>30534</v>
      </c>
      <c r="G350" s="23">
        <v>16334</v>
      </c>
      <c r="H350" s="24">
        <v>35096</v>
      </c>
      <c r="I350" s="2">
        <f t="shared" si="41"/>
        <v>346</v>
      </c>
      <c r="J350" s="16">
        <v>42265</v>
      </c>
      <c r="K350" s="29">
        <f t="shared" si="35"/>
        <v>-1.0621590345511689E-2</v>
      </c>
      <c r="L350" s="29">
        <f t="shared" si="36"/>
        <v>1.4428713139147398E-3</v>
      </c>
      <c r="M350" s="29">
        <f t="shared" si="37"/>
        <v>2.9638897277708187E-2</v>
      </c>
      <c r="N350" s="29">
        <f t="shared" si="38"/>
        <v>1.0557670031441369E-2</v>
      </c>
      <c r="O350" s="29">
        <f t="shared" si="39"/>
        <v>-4.9951267056530524E-3</v>
      </c>
      <c r="P350" s="30">
        <f t="shared" si="40"/>
        <v>2.8876315558031163E-2</v>
      </c>
      <c r="Z350" s="3"/>
      <c r="AA350" s="3"/>
      <c r="AB350" s="3"/>
      <c r="AC350" s="3"/>
      <c r="AD350" s="3"/>
      <c r="AE350" s="7"/>
    </row>
    <row r="351" spans="2:31" x14ac:dyDescent="0.15">
      <c r="B351" s="16">
        <v>42272</v>
      </c>
      <c r="C351" s="23">
        <v>23678</v>
      </c>
      <c r="D351" s="23">
        <v>11116</v>
      </c>
      <c r="E351" s="23">
        <v>24860</v>
      </c>
      <c r="F351" s="23">
        <v>29316</v>
      </c>
      <c r="G351" s="23">
        <v>16357</v>
      </c>
      <c r="H351" s="24">
        <v>35006</v>
      </c>
      <c r="I351" s="2">
        <f t="shared" si="41"/>
        <v>347</v>
      </c>
      <c r="J351" s="16">
        <v>42272</v>
      </c>
      <c r="K351" s="29">
        <f t="shared" si="35"/>
        <v>-1.0902711057270587E-2</v>
      </c>
      <c r="L351" s="29">
        <f t="shared" si="36"/>
        <v>9.9054479963989195E-4</v>
      </c>
      <c r="M351" s="29">
        <f t="shared" si="37"/>
        <v>4.164920807843786E-2</v>
      </c>
      <c r="N351" s="29">
        <f t="shared" si="38"/>
        <v>-3.9889958734525499E-2</v>
      </c>
      <c r="O351" s="29">
        <f t="shared" si="39"/>
        <v>1.4081057916004447E-3</v>
      </c>
      <c r="P351" s="30">
        <f t="shared" si="40"/>
        <v>-2.5643948028265529E-3</v>
      </c>
      <c r="Z351" s="3"/>
      <c r="AA351" s="3"/>
      <c r="AB351" s="3"/>
      <c r="AC351" s="3"/>
      <c r="AD351" s="3"/>
      <c r="AE351" s="7"/>
    </row>
    <row r="352" spans="2:31" x14ac:dyDescent="0.15">
      <c r="B352" s="16">
        <v>42279</v>
      </c>
      <c r="C352" s="23">
        <v>23607</v>
      </c>
      <c r="D352" s="23">
        <v>11119</v>
      </c>
      <c r="E352" s="23">
        <v>24961</v>
      </c>
      <c r="F352" s="23">
        <v>29257</v>
      </c>
      <c r="G352" s="23">
        <v>16343</v>
      </c>
      <c r="H352" s="24">
        <v>35268</v>
      </c>
      <c r="I352" s="2">
        <f t="shared" si="41"/>
        <v>348</v>
      </c>
      <c r="J352" s="16">
        <v>42279</v>
      </c>
      <c r="K352" s="29">
        <f t="shared" si="35"/>
        <v>-2.9985640679111025E-3</v>
      </c>
      <c r="L352" s="29">
        <f t="shared" si="36"/>
        <v>2.6988125224902682E-4</v>
      </c>
      <c r="M352" s="29">
        <f t="shared" si="37"/>
        <v>4.0627514078841465E-3</v>
      </c>
      <c r="N352" s="29">
        <f t="shared" si="38"/>
        <v>-2.0125528721517405E-3</v>
      </c>
      <c r="O352" s="29">
        <f t="shared" si="39"/>
        <v>-8.5590267163904166E-4</v>
      </c>
      <c r="P352" s="30">
        <f t="shared" si="40"/>
        <v>7.484431240358802E-3</v>
      </c>
      <c r="Z352" s="3"/>
      <c r="AA352" s="3"/>
      <c r="AB352" s="3"/>
      <c r="AC352" s="3"/>
      <c r="AD352" s="3"/>
      <c r="AE352" s="7"/>
    </row>
    <row r="353" spans="2:31" x14ac:dyDescent="0.15">
      <c r="B353" s="16">
        <v>42286</v>
      </c>
      <c r="C353" s="23">
        <v>24560</v>
      </c>
      <c r="D353" s="23">
        <v>11120</v>
      </c>
      <c r="E353" s="23">
        <v>24971</v>
      </c>
      <c r="F353" s="23">
        <v>30782</v>
      </c>
      <c r="G353" s="23">
        <v>16434</v>
      </c>
      <c r="H353" s="24">
        <v>36595</v>
      </c>
      <c r="I353" s="2">
        <f t="shared" si="41"/>
        <v>349</v>
      </c>
      <c r="J353" s="16">
        <v>42286</v>
      </c>
      <c r="K353" s="29">
        <f t="shared" si="35"/>
        <v>4.0369381962977124E-2</v>
      </c>
      <c r="L353" s="29">
        <f t="shared" si="36"/>
        <v>8.9936145336810824E-5</v>
      </c>
      <c r="M353" s="29">
        <f t="shared" si="37"/>
        <v>4.0062497496085037E-4</v>
      </c>
      <c r="N353" s="29">
        <f t="shared" si="38"/>
        <v>5.2124277950575948E-2</v>
      </c>
      <c r="O353" s="29">
        <f t="shared" si="39"/>
        <v>5.5681331456893801E-3</v>
      </c>
      <c r="P353" s="30">
        <f t="shared" si="40"/>
        <v>3.7626176704094405E-2</v>
      </c>
      <c r="Z353" s="3"/>
      <c r="AA353" s="3"/>
      <c r="AB353" s="3"/>
      <c r="AC353" s="3"/>
      <c r="AD353" s="3"/>
      <c r="AE353" s="7"/>
    </row>
    <row r="354" spans="2:31" x14ac:dyDescent="0.15">
      <c r="B354" s="16">
        <v>42293</v>
      </c>
      <c r="C354" s="23">
        <v>24364</v>
      </c>
      <c r="D354" s="23">
        <v>11121</v>
      </c>
      <c r="E354" s="23">
        <v>25031</v>
      </c>
      <c r="F354" s="23">
        <v>30699</v>
      </c>
      <c r="G354" s="23">
        <v>16419</v>
      </c>
      <c r="H354" s="24">
        <v>36498</v>
      </c>
      <c r="I354" s="2">
        <f t="shared" si="41"/>
        <v>350</v>
      </c>
      <c r="J354" s="16">
        <v>42293</v>
      </c>
      <c r="K354" s="29">
        <f t="shared" si="35"/>
        <v>-7.9804560260586799E-3</v>
      </c>
      <c r="L354" s="29">
        <f t="shared" si="36"/>
        <v>8.9928057553922969E-5</v>
      </c>
      <c r="M354" s="29">
        <f t="shared" si="37"/>
        <v>2.4027872331904288E-3</v>
      </c>
      <c r="N354" s="29">
        <f t="shared" si="38"/>
        <v>-2.6963810018841849E-3</v>
      </c>
      <c r="O354" s="29">
        <f t="shared" si="39"/>
        <v>-9.1274187659728945E-4</v>
      </c>
      <c r="P354" s="30">
        <f t="shared" si="40"/>
        <v>-2.6506353326957166E-3</v>
      </c>
      <c r="Z354" s="3"/>
      <c r="AA354" s="3"/>
      <c r="AB354" s="3"/>
      <c r="AC354" s="3"/>
      <c r="AD354" s="3"/>
      <c r="AE354" s="7"/>
    </row>
    <row r="355" spans="2:31" x14ac:dyDescent="0.15">
      <c r="B355" s="16">
        <v>42300</v>
      </c>
      <c r="C355" s="23">
        <v>25063</v>
      </c>
      <c r="D355" s="23">
        <v>11128</v>
      </c>
      <c r="E355" s="23">
        <v>25101</v>
      </c>
      <c r="F355" s="23">
        <v>31451</v>
      </c>
      <c r="G355" s="23">
        <v>16530</v>
      </c>
      <c r="H355" s="24">
        <v>37865</v>
      </c>
      <c r="I355" s="2">
        <f t="shared" si="41"/>
        <v>351</v>
      </c>
      <c r="J355" s="16">
        <v>42300</v>
      </c>
      <c r="K355" s="29">
        <f t="shared" si="35"/>
        <v>2.8689870300443232E-2</v>
      </c>
      <c r="L355" s="29">
        <f t="shared" si="36"/>
        <v>6.294397985793232E-4</v>
      </c>
      <c r="M355" s="29">
        <f t="shared" si="37"/>
        <v>2.7965322999481401E-3</v>
      </c>
      <c r="N355" s="29">
        <f t="shared" si="38"/>
        <v>2.4495911918954949E-2</v>
      </c>
      <c r="O355" s="29">
        <f t="shared" si="39"/>
        <v>6.7604604421707126E-3</v>
      </c>
      <c r="P355" s="30">
        <f t="shared" si="40"/>
        <v>3.7454107074360143E-2</v>
      </c>
      <c r="Z355" s="3"/>
      <c r="AA355" s="3"/>
      <c r="AB355" s="3"/>
      <c r="AC355" s="3"/>
      <c r="AD355" s="3"/>
      <c r="AE355" s="7"/>
    </row>
    <row r="356" spans="2:31" x14ac:dyDescent="0.15">
      <c r="B356" s="16">
        <v>42307</v>
      </c>
      <c r="C356" s="23">
        <v>25409</v>
      </c>
      <c r="D356" s="23">
        <v>11131</v>
      </c>
      <c r="E356" s="23">
        <v>25518</v>
      </c>
      <c r="F356" s="23">
        <v>31805</v>
      </c>
      <c r="G356" s="23">
        <v>16377</v>
      </c>
      <c r="H356" s="24">
        <v>37648</v>
      </c>
      <c r="I356" s="2">
        <f t="shared" si="41"/>
        <v>352</v>
      </c>
      <c r="J356" s="16">
        <v>42307</v>
      </c>
      <c r="K356" s="29">
        <f t="shared" si="35"/>
        <v>1.3805210868611084E-2</v>
      </c>
      <c r="L356" s="29">
        <f t="shared" si="36"/>
        <v>2.6959022286132672E-4</v>
      </c>
      <c r="M356" s="29">
        <f t="shared" si="37"/>
        <v>1.6612883948846635E-2</v>
      </c>
      <c r="N356" s="29">
        <f t="shared" si="38"/>
        <v>1.1255603955359073E-2</v>
      </c>
      <c r="O356" s="29">
        <f t="shared" si="39"/>
        <v>-9.255898366606119E-3</v>
      </c>
      <c r="P356" s="30">
        <f t="shared" si="40"/>
        <v>-5.7308860425194785E-3</v>
      </c>
      <c r="Z356" s="3"/>
      <c r="AA356" s="3"/>
      <c r="AB356" s="3"/>
      <c r="AC356" s="3"/>
      <c r="AD356" s="3"/>
      <c r="AE356" s="7"/>
    </row>
    <row r="357" spans="2:31" x14ac:dyDescent="0.15">
      <c r="B357" s="16">
        <v>42314</v>
      </c>
      <c r="C357" s="23">
        <v>25643</v>
      </c>
      <c r="D357" s="23">
        <v>11115</v>
      </c>
      <c r="E357" s="23">
        <v>25317</v>
      </c>
      <c r="F357" s="23">
        <v>32091</v>
      </c>
      <c r="G357" s="23">
        <v>16320</v>
      </c>
      <c r="H357" s="24">
        <v>37718</v>
      </c>
      <c r="I357" s="2">
        <f t="shared" si="41"/>
        <v>353</v>
      </c>
      <c r="J357" s="16">
        <v>42314</v>
      </c>
      <c r="K357" s="29">
        <f t="shared" si="35"/>
        <v>9.2093352749025303E-3</v>
      </c>
      <c r="L357" s="29">
        <f t="shared" si="36"/>
        <v>-1.4374270056598526E-3</v>
      </c>
      <c r="M357" s="29">
        <f t="shared" si="37"/>
        <v>-7.8767928521044084E-3</v>
      </c>
      <c r="N357" s="29">
        <f t="shared" si="38"/>
        <v>8.9922968086779687E-3</v>
      </c>
      <c r="O357" s="29">
        <f t="shared" si="39"/>
        <v>-3.4804909324052113E-3</v>
      </c>
      <c r="P357" s="30">
        <f t="shared" si="40"/>
        <v>1.859328516787162E-3</v>
      </c>
      <c r="Z357" s="3"/>
      <c r="AA357" s="3"/>
      <c r="AB357" s="3"/>
      <c r="AC357" s="3"/>
      <c r="AD357" s="3"/>
      <c r="AE357" s="7"/>
    </row>
    <row r="358" spans="2:31" x14ac:dyDescent="0.15">
      <c r="B358" s="16">
        <v>42321</v>
      </c>
      <c r="C358" s="23">
        <v>26086</v>
      </c>
      <c r="D358" s="23">
        <v>11118</v>
      </c>
      <c r="E358" s="23">
        <v>25394</v>
      </c>
      <c r="F358" s="23">
        <v>31512</v>
      </c>
      <c r="G358" s="23">
        <v>16341</v>
      </c>
      <c r="H358" s="24">
        <v>36533</v>
      </c>
      <c r="I358" s="2">
        <f t="shared" si="41"/>
        <v>354</v>
      </c>
      <c r="J358" s="16">
        <v>42321</v>
      </c>
      <c r="K358" s="29">
        <f t="shared" si="35"/>
        <v>1.7275669773427538E-2</v>
      </c>
      <c r="L358" s="29">
        <f t="shared" si="36"/>
        <v>2.6990553306349696E-4</v>
      </c>
      <c r="M358" s="29">
        <f t="shared" si="37"/>
        <v>3.0414346091558464E-3</v>
      </c>
      <c r="N358" s="29">
        <f t="shared" si="38"/>
        <v>-1.8042441806113918E-2</v>
      </c>
      <c r="O358" s="29">
        <f t="shared" si="39"/>
        <v>1.2867647058822929E-3</v>
      </c>
      <c r="P358" s="30">
        <f t="shared" si="40"/>
        <v>-3.1417360411474582E-2</v>
      </c>
      <c r="Z358" s="3"/>
      <c r="AA358" s="3"/>
      <c r="AB358" s="3"/>
      <c r="AC358" s="3"/>
      <c r="AD358" s="3"/>
      <c r="AE358" s="7"/>
    </row>
    <row r="359" spans="2:31" x14ac:dyDescent="0.15">
      <c r="B359" s="16">
        <v>42328</v>
      </c>
      <c r="C359" s="23">
        <v>26456</v>
      </c>
      <c r="D359" s="23">
        <v>11114</v>
      </c>
      <c r="E359" s="23">
        <v>25857</v>
      </c>
      <c r="F359" s="23">
        <v>32155</v>
      </c>
      <c r="G359" s="23">
        <v>16444</v>
      </c>
      <c r="H359" s="24">
        <v>37237</v>
      </c>
      <c r="I359" s="2">
        <f t="shared" si="41"/>
        <v>355</v>
      </c>
      <c r="J359" s="16">
        <v>42328</v>
      </c>
      <c r="K359" s="29">
        <f t="shared" si="35"/>
        <v>1.4183853407958358E-2</v>
      </c>
      <c r="L359" s="29">
        <f t="shared" si="36"/>
        <v>-3.5977693829825075E-4</v>
      </c>
      <c r="M359" s="29">
        <f t="shared" si="37"/>
        <v>1.8232653382688868E-2</v>
      </c>
      <c r="N359" s="29">
        <f t="shared" si="38"/>
        <v>2.0404925107895489E-2</v>
      </c>
      <c r="O359" s="29">
        <f t="shared" si="39"/>
        <v>6.303163821063551E-3</v>
      </c>
      <c r="P359" s="30">
        <f t="shared" si="40"/>
        <v>1.9270248816138924E-2</v>
      </c>
      <c r="Z359" s="3"/>
      <c r="AA359" s="3"/>
      <c r="AB359" s="3"/>
      <c r="AC359" s="3"/>
      <c r="AD359" s="3"/>
      <c r="AE359" s="7"/>
    </row>
    <row r="360" spans="2:31" x14ac:dyDescent="0.15">
      <c r="B360" s="16">
        <v>42335</v>
      </c>
      <c r="C360" s="23">
        <v>26450</v>
      </c>
      <c r="D360" s="23">
        <v>11125</v>
      </c>
      <c r="E360" s="23">
        <v>26094</v>
      </c>
      <c r="F360" s="23">
        <v>32173</v>
      </c>
      <c r="G360" s="23">
        <v>16364</v>
      </c>
      <c r="H360" s="24">
        <v>37399</v>
      </c>
      <c r="I360" s="2">
        <f t="shared" si="41"/>
        <v>356</v>
      </c>
      <c r="J360" s="16">
        <v>42335</v>
      </c>
      <c r="K360" s="29">
        <f t="shared" si="35"/>
        <v>-2.2679165406713775E-4</v>
      </c>
      <c r="L360" s="29">
        <f t="shared" si="36"/>
        <v>9.8974266690654567E-4</v>
      </c>
      <c r="M360" s="29">
        <f t="shared" si="37"/>
        <v>9.1657964961131544E-3</v>
      </c>
      <c r="N360" s="29">
        <f t="shared" si="38"/>
        <v>5.5978852433535842E-4</v>
      </c>
      <c r="O360" s="29">
        <f t="shared" si="39"/>
        <v>-4.8649963512527039E-3</v>
      </c>
      <c r="P360" s="30">
        <f t="shared" si="40"/>
        <v>4.3505115879367562E-3</v>
      </c>
      <c r="Z360" s="3"/>
      <c r="AA360" s="3"/>
      <c r="AB360" s="3"/>
      <c r="AC360" s="3"/>
      <c r="AD360" s="3"/>
      <c r="AE360" s="7"/>
    </row>
    <row r="361" spans="2:31" x14ac:dyDescent="0.15">
      <c r="B361" s="16">
        <v>42342</v>
      </c>
      <c r="C361" s="23">
        <v>25935</v>
      </c>
      <c r="D361" s="23">
        <v>11118</v>
      </c>
      <c r="E361" s="23">
        <v>25723</v>
      </c>
      <c r="F361" s="23">
        <v>31739</v>
      </c>
      <c r="G361" s="23">
        <v>16468</v>
      </c>
      <c r="H361" s="24">
        <v>36906</v>
      </c>
      <c r="I361" s="2">
        <f t="shared" si="41"/>
        <v>357</v>
      </c>
      <c r="J361" s="16">
        <v>42342</v>
      </c>
      <c r="K361" s="29">
        <f t="shared" si="35"/>
        <v>-1.9470699432892258E-2</v>
      </c>
      <c r="L361" s="29">
        <f t="shared" si="36"/>
        <v>-6.2921348314604053E-4</v>
      </c>
      <c r="M361" s="29">
        <f t="shared" si="37"/>
        <v>-1.4217827853146292E-2</v>
      </c>
      <c r="N361" s="29">
        <f t="shared" si="38"/>
        <v>-1.3489572001367578E-2</v>
      </c>
      <c r="O361" s="29">
        <f t="shared" si="39"/>
        <v>6.3554143241262295E-3</v>
      </c>
      <c r="P361" s="30">
        <f t="shared" si="40"/>
        <v>-1.3182170646273916E-2</v>
      </c>
      <c r="Z361" s="3"/>
      <c r="AA361" s="3"/>
      <c r="AB361" s="3"/>
      <c r="AC361" s="3"/>
      <c r="AD361" s="3"/>
      <c r="AE361" s="7"/>
    </row>
    <row r="362" spans="2:31" x14ac:dyDescent="0.15">
      <c r="B362" s="16">
        <v>42349</v>
      </c>
      <c r="C362" s="23">
        <v>25567</v>
      </c>
      <c r="D362" s="23">
        <v>11138</v>
      </c>
      <c r="E362" s="23">
        <v>25362</v>
      </c>
      <c r="F362" s="23">
        <v>31249</v>
      </c>
      <c r="G362" s="23">
        <v>16412</v>
      </c>
      <c r="H362" s="24">
        <v>36490</v>
      </c>
      <c r="I362" s="2">
        <f t="shared" si="41"/>
        <v>358</v>
      </c>
      <c r="J362" s="16">
        <v>42349</v>
      </c>
      <c r="K362" s="29">
        <f t="shared" si="35"/>
        <v>-1.4189319452477367E-2</v>
      </c>
      <c r="L362" s="29">
        <f t="shared" si="36"/>
        <v>1.7988846914913648E-3</v>
      </c>
      <c r="M362" s="29">
        <f t="shared" si="37"/>
        <v>-1.4034132877191574E-2</v>
      </c>
      <c r="N362" s="29">
        <f t="shared" si="38"/>
        <v>-1.5438419609943632E-2</v>
      </c>
      <c r="O362" s="29">
        <f t="shared" si="39"/>
        <v>-3.4005343696866808E-3</v>
      </c>
      <c r="P362" s="30">
        <f t="shared" si="40"/>
        <v>-1.1271879911125549E-2</v>
      </c>
      <c r="Z362" s="3"/>
      <c r="AA362" s="3"/>
      <c r="AB362" s="3"/>
      <c r="AC362" s="3"/>
      <c r="AD362" s="3"/>
      <c r="AE362" s="7"/>
    </row>
    <row r="363" spans="2:31" x14ac:dyDescent="0.15">
      <c r="B363" s="16">
        <v>42356</v>
      </c>
      <c r="C363" s="23">
        <v>25233</v>
      </c>
      <c r="D363" s="23">
        <v>11185</v>
      </c>
      <c r="E363" s="23">
        <v>25794</v>
      </c>
      <c r="F363" s="23">
        <v>31217</v>
      </c>
      <c r="G363" s="23">
        <v>16374</v>
      </c>
      <c r="H363" s="24">
        <v>37378</v>
      </c>
      <c r="I363" s="2">
        <f t="shared" si="41"/>
        <v>359</v>
      </c>
      <c r="J363" s="16">
        <v>42356</v>
      </c>
      <c r="K363" s="29">
        <f t="shared" si="35"/>
        <v>-1.3063714945046323E-2</v>
      </c>
      <c r="L363" s="29">
        <f t="shared" si="36"/>
        <v>4.21978811276702E-3</v>
      </c>
      <c r="M363" s="29">
        <f t="shared" si="37"/>
        <v>1.7033356990773685E-2</v>
      </c>
      <c r="N363" s="29">
        <f t="shared" si="38"/>
        <v>-1.0240327690486106E-3</v>
      </c>
      <c r="O363" s="29">
        <f t="shared" si="39"/>
        <v>-2.3153789909822198E-3</v>
      </c>
      <c r="P363" s="30">
        <f t="shared" si="40"/>
        <v>2.43354343655795E-2</v>
      </c>
      <c r="Z363" s="3"/>
      <c r="AA363" s="3"/>
      <c r="AB363" s="3"/>
      <c r="AC363" s="3"/>
      <c r="AD363" s="3"/>
      <c r="AE363" s="7"/>
    </row>
    <row r="364" spans="2:31" x14ac:dyDescent="0.15">
      <c r="B364" s="16">
        <v>42363</v>
      </c>
      <c r="C364" s="23">
        <v>24938</v>
      </c>
      <c r="D364" s="23">
        <v>11181</v>
      </c>
      <c r="E364" s="23">
        <v>25816</v>
      </c>
      <c r="F364" s="23">
        <v>31010</v>
      </c>
      <c r="G364" s="23">
        <v>16108</v>
      </c>
      <c r="H364" s="24">
        <v>36987</v>
      </c>
      <c r="I364" s="2">
        <f t="shared" si="41"/>
        <v>360</v>
      </c>
      <c r="J364" s="16">
        <v>42363</v>
      </c>
      <c r="K364" s="29">
        <f t="shared" si="35"/>
        <v>-1.1691039511750434E-2</v>
      </c>
      <c r="L364" s="29">
        <f t="shared" si="36"/>
        <v>-3.5762181493070866E-4</v>
      </c>
      <c r="M364" s="29">
        <f t="shared" si="37"/>
        <v>8.5291152981303853E-4</v>
      </c>
      <c r="N364" s="29">
        <f t="shared" si="38"/>
        <v>-6.6310023384694716E-3</v>
      </c>
      <c r="O364" s="29">
        <f t="shared" si="39"/>
        <v>-1.6245266886527387E-2</v>
      </c>
      <c r="P364" s="30">
        <f t="shared" si="40"/>
        <v>-1.0460698806784685E-2</v>
      </c>
      <c r="Z364" s="3"/>
      <c r="AA364" s="3"/>
      <c r="AB364" s="3"/>
      <c r="AC364" s="3"/>
      <c r="AD364" s="3"/>
      <c r="AE364" s="7"/>
    </row>
    <row r="365" spans="2:31" x14ac:dyDescent="0.15">
      <c r="B365" s="16">
        <v>42370</v>
      </c>
      <c r="C365" s="23">
        <v>25326</v>
      </c>
      <c r="D365" s="23">
        <v>11188</v>
      </c>
      <c r="E365" s="23">
        <v>25932</v>
      </c>
      <c r="F365" s="23">
        <v>31363</v>
      </c>
      <c r="G365" s="23">
        <v>16124</v>
      </c>
      <c r="H365" s="24">
        <v>37605</v>
      </c>
      <c r="I365" s="2">
        <f t="shared" si="41"/>
        <v>361</v>
      </c>
      <c r="J365" s="16">
        <v>42370</v>
      </c>
      <c r="K365" s="29">
        <f t="shared" si="35"/>
        <v>1.5558585291522986E-2</v>
      </c>
      <c r="L365" s="29">
        <f t="shared" si="36"/>
        <v>6.260620695823782E-4</v>
      </c>
      <c r="M365" s="29">
        <f t="shared" si="37"/>
        <v>4.4933374651379143E-3</v>
      </c>
      <c r="N365" s="29">
        <f t="shared" si="38"/>
        <v>1.1383424701709055E-2</v>
      </c>
      <c r="O365" s="29">
        <f t="shared" si="39"/>
        <v>9.9329525701508103E-4</v>
      </c>
      <c r="P365" s="30">
        <f t="shared" si="40"/>
        <v>1.6708573282504746E-2</v>
      </c>
      <c r="Z365" s="3"/>
      <c r="AA365" s="3"/>
      <c r="AB365" s="3"/>
      <c r="AC365" s="3"/>
      <c r="AD365" s="3"/>
      <c r="AE365" s="7"/>
    </row>
    <row r="366" spans="2:31" x14ac:dyDescent="0.15">
      <c r="B366" s="16">
        <v>42377</v>
      </c>
      <c r="C366" s="23">
        <v>23549</v>
      </c>
      <c r="D366" s="23">
        <v>11225</v>
      </c>
      <c r="E366" s="23">
        <v>24985</v>
      </c>
      <c r="F366" s="23">
        <v>28625</v>
      </c>
      <c r="G366" s="23">
        <v>15798</v>
      </c>
      <c r="H366" s="24">
        <v>35508</v>
      </c>
      <c r="I366" s="2">
        <f t="shared" si="41"/>
        <v>362</v>
      </c>
      <c r="J366" s="16">
        <v>42377</v>
      </c>
      <c r="K366" s="29">
        <f t="shared" si="35"/>
        <v>-7.0165047776988065E-2</v>
      </c>
      <c r="L366" s="29">
        <f t="shared" si="36"/>
        <v>3.3071147658205735E-3</v>
      </c>
      <c r="M366" s="29">
        <f t="shared" si="37"/>
        <v>-3.6518587073885556E-2</v>
      </c>
      <c r="N366" s="29">
        <f t="shared" si="38"/>
        <v>-8.7300322035519518E-2</v>
      </c>
      <c r="O366" s="29">
        <f t="shared" si="39"/>
        <v>-2.0218308112130989E-2</v>
      </c>
      <c r="P366" s="30">
        <f t="shared" si="40"/>
        <v>-5.5763861188671715E-2</v>
      </c>
      <c r="Z366" s="3"/>
      <c r="AA366" s="3"/>
      <c r="AB366" s="3"/>
      <c r="AC366" s="3"/>
      <c r="AD366" s="3"/>
      <c r="AE366" s="7"/>
    </row>
    <row r="367" spans="2:31" x14ac:dyDescent="0.15">
      <c r="B367" s="16">
        <v>42384</v>
      </c>
      <c r="C367" s="23">
        <v>22817</v>
      </c>
      <c r="D367" s="23">
        <v>11216</v>
      </c>
      <c r="E367" s="23">
        <v>24699</v>
      </c>
      <c r="F367" s="23">
        <v>28228</v>
      </c>
      <c r="G367" s="23">
        <v>15831</v>
      </c>
      <c r="H367" s="24">
        <v>34641</v>
      </c>
      <c r="I367" s="2">
        <f t="shared" si="41"/>
        <v>363</v>
      </c>
      <c r="J367" s="16">
        <v>42384</v>
      </c>
      <c r="K367" s="29">
        <f t="shared" si="35"/>
        <v>-3.1084122468045372E-2</v>
      </c>
      <c r="L367" s="29">
        <f t="shared" si="36"/>
        <v>-8.0178173719380741E-4</v>
      </c>
      <c r="M367" s="29">
        <f t="shared" si="37"/>
        <v>-1.1446868120872478E-2</v>
      </c>
      <c r="N367" s="29">
        <f t="shared" si="38"/>
        <v>-1.3868995633187775E-2</v>
      </c>
      <c r="O367" s="29">
        <f t="shared" si="39"/>
        <v>2.0888720091150059E-3</v>
      </c>
      <c r="P367" s="30">
        <f t="shared" si="40"/>
        <v>-2.4417032781344994E-2</v>
      </c>
      <c r="Z367" s="3"/>
      <c r="AA367" s="3"/>
      <c r="AB367" s="3"/>
      <c r="AC367" s="3"/>
      <c r="AD367" s="3"/>
      <c r="AE367" s="7"/>
    </row>
    <row r="368" spans="2:31" x14ac:dyDescent="0.15">
      <c r="B368" s="16">
        <v>42391</v>
      </c>
      <c r="C368" s="23">
        <v>22544</v>
      </c>
      <c r="D368" s="23">
        <v>11227</v>
      </c>
      <c r="E368" s="23">
        <v>24344</v>
      </c>
      <c r="F368" s="23">
        <v>27315</v>
      </c>
      <c r="G368" s="23">
        <v>15815</v>
      </c>
      <c r="H368" s="24">
        <v>33823</v>
      </c>
      <c r="I368" s="2">
        <f t="shared" si="41"/>
        <v>364</v>
      </c>
      <c r="J368" s="16">
        <v>42391</v>
      </c>
      <c r="K368" s="29">
        <f t="shared" si="35"/>
        <v>-1.19647631152211E-2</v>
      </c>
      <c r="L368" s="29">
        <f t="shared" si="36"/>
        <v>9.8074179743234957E-4</v>
      </c>
      <c r="M368" s="29">
        <f t="shared" si="37"/>
        <v>-1.4373051540548243E-2</v>
      </c>
      <c r="N368" s="29">
        <f t="shared" si="38"/>
        <v>-3.2343772141136484E-2</v>
      </c>
      <c r="O368" s="29">
        <f t="shared" si="39"/>
        <v>-1.0106752574063904E-3</v>
      </c>
      <c r="P368" s="30">
        <f t="shared" si="40"/>
        <v>-2.3613637019716527E-2</v>
      </c>
      <c r="Z368" s="3"/>
      <c r="AA368" s="3"/>
      <c r="AB368" s="3"/>
      <c r="AC368" s="3"/>
      <c r="AD368" s="3"/>
      <c r="AE368" s="7"/>
    </row>
    <row r="369" spans="2:31" x14ac:dyDescent="0.15">
      <c r="B369" s="16">
        <v>42398</v>
      </c>
      <c r="C369" s="23">
        <v>23324</v>
      </c>
      <c r="D369" s="23">
        <v>11320</v>
      </c>
      <c r="E369" s="23">
        <v>26459</v>
      </c>
      <c r="F369" s="23">
        <v>28572</v>
      </c>
      <c r="G369" s="23">
        <v>16368</v>
      </c>
      <c r="H369" s="24">
        <v>35489</v>
      </c>
      <c r="I369" s="2">
        <f t="shared" si="41"/>
        <v>365</v>
      </c>
      <c r="J369" s="16">
        <v>42398</v>
      </c>
      <c r="K369" s="29">
        <f t="shared" si="35"/>
        <v>3.4599006387508791E-2</v>
      </c>
      <c r="L369" s="29">
        <f t="shared" si="36"/>
        <v>8.2836020308185709E-3</v>
      </c>
      <c r="M369" s="29">
        <f t="shared" si="37"/>
        <v>8.6879723956621691E-2</v>
      </c>
      <c r="N369" s="29">
        <f t="shared" si="38"/>
        <v>4.601867105985713E-2</v>
      </c>
      <c r="O369" s="29">
        <f t="shared" si="39"/>
        <v>3.4966803667404456E-2</v>
      </c>
      <c r="P369" s="30">
        <f t="shared" si="40"/>
        <v>4.9256423144014461E-2</v>
      </c>
      <c r="Z369" s="3"/>
      <c r="AA369" s="3"/>
      <c r="AB369" s="3"/>
      <c r="AC369" s="3"/>
      <c r="AD369" s="3"/>
      <c r="AE369" s="7"/>
    </row>
    <row r="370" spans="2:31" x14ac:dyDescent="0.15">
      <c r="B370" s="16">
        <v>42405</v>
      </c>
      <c r="C370" s="23">
        <v>22350</v>
      </c>
      <c r="D370" s="23">
        <v>11381</v>
      </c>
      <c r="E370" s="23">
        <v>27050</v>
      </c>
      <c r="F370" s="23">
        <v>27959</v>
      </c>
      <c r="G370" s="23">
        <v>16131</v>
      </c>
      <c r="H370" s="24">
        <v>35201</v>
      </c>
      <c r="I370" s="2">
        <f t="shared" si="41"/>
        <v>366</v>
      </c>
      <c r="J370" s="16">
        <v>42405</v>
      </c>
      <c r="K370" s="29">
        <f t="shared" si="35"/>
        <v>-4.1759560967244092E-2</v>
      </c>
      <c r="L370" s="29">
        <f t="shared" si="36"/>
        <v>5.3886925795052498E-3</v>
      </c>
      <c r="M370" s="29">
        <f t="shared" si="37"/>
        <v>2.2336445065951116E-2</v>
      </c>
      <c r="N370" s="29">
        <f t="shared" si="38"/>
        <v>-2.1454570908581827E-2</v>
      </c>
      <c r="O370" s="29">
        <f t="shared" si="39"/>
        <v>-1.4479472140762506E-2</v>
      </c>
      <c r="P370" s="30">
        <f t="shared" si="40"/>
        <v>-8.1151906224463666E-3</v>
      </c>
      <c r="Z370" s="3"/>
      <c r="AA370" s="3"/>
      <c r="AB370" s="3"/>
      <c r="AC370" s="3"/>
      <c r="AD370" s="3"/>
      <c r="AE370" s="7"/>
    </row>
    <row r="371" spans="2:31" x14ac:dyDescent="0.15">
      <c r="B371" s="16">
        <v>42412</v>
      </c>
      <c r="C371" s="23">
        <v>19853</v>
      </c>
      <c r="D371" s="23">
        <v>11332</v>
      </c>
      <c r="E371" s="23">
        <v>25140</v>
      </c>
      <c r="F371" s="23">
        <v>25479</v>
      </c>
      <c r="G371" s="23">
        <v>15652</v>
      </c>
      <c r="H371" s="24">
        <v>31841</v>
      </c>
      <c r="I371" s="2">
        <f t="shared" si="41"/>
        <v>367</v>
      </c>
      <c r="J371" s="16">
        <v>42412</v>
      </c>
      <c r="K371" s="29">
        <f t="shared" si="35"/>
        <v>-0.11172259507829974</v>
      </c>
      <c r="L371" s="29">
        <f t="shared" si="36"/>
        <v>-4.3054213162287969E-3</v>
      </c>
      <c r="M371" s="29">
        <f t="shared" si="37"/>
        <v>-7.0609981515711628E-2</v>
      </c>
      <c r="N371" s="29">
        <f t="shared" si="38"/>
        <v>-8.8701312636360385E-2</v>
      </c>
      <c r="O371" s="29">
        <f t="shared" si="39"/>
        <v>-2.969437728597113E-2</v>
      </c>
      <c r="P371" s="30">
        <f t="shared" si="40"/>
        <v>-9.5451833754722881E-2</v>
      </c>
      <c r="Z371" s="3"/>
      <c r="AA371" s="3"/>
      <c r="AB371" s="3"/>
      <c r="AC371" s="3"/>
      <c r="AD371" s="3"/>
      <c r="AE371" s="7"/>
    </row>
    <row r="372" spans="2:31" x14ac:dyDescent="0.15">
      <c r="B372" s="16">
        <v>42419</v>
      </c>
      <c r="C372" s="23">
        <v>21232</v>
      </c>
      <c r="D372" s="23">
        <v>11400</v>
      </c>
      <c r="E372" s="23">
        <v>27294</v>
      </c>
      <c r="F372" s="23">
        <v>26983</v>
      </c>
      <c r="G372" s="23">
        <v>15563</v>
      </c>
      <c r="H372" s="24">
        <v>33449</v>
      </c>
      <c r="I372" s="2">
        <f t="shared" si="41"/>
        <v>368</v>
      </c>
      <c r="J372" s="16">
        <v>42419</v>
      </c>
      <c r="K372" s="29">
        <f t="shared" si="35"/>
        <v>6.9460534931748308E-2</v>
      </c>
      <c r="L372" s="29">
        <f t="shared" si="36"/>
        <v>6.0007059654076933E-3</v>
      </c>
      <c r="M372" s="29">
        <f t="shared" si="37"/>
        <v>8.5680190930787603E-2</v>
      </c>
      <c r="N372" s="29">
        <f t="shared" si="38"/>
        <v>5.9029004278032815E-2</v>
      </c>
      <c r="O372" s="29">
        <f t="shared" si="39"/>
        <v>-5.6861742908254076E-3</v>
      </c>
      <c r="P372" s="30">
        <f t="shared" si="40"/>
        <v>5.0500926478439734E-2</v>
      </c>
      <c r="Z372" s="3"/>
      <c r="AA372" s="3"/>
      <c r="AB372" s="3"/>
      <c r="AC372" s="3"/>
      <c r="AD372" s="3"/>
      <c r="AE372" s="7"/>
    </row>
    <row r="373" spans="2:31" x14ac:dyDescent="0.15">
      <c r="B373" s="16">
        <v>42426</v>
      </c>
      <c r="C373" s="23">
        <v>21545</v>
      </c>
      <c r="D373" s="23">
        <v>11505</v>
      </c>
      <c r="E373" s="23">
        <v>28104</v>
      </c>
      <c r="F373" s="23">
        <v>27215</v>
      </c>
      <c r="G373" s="23">
        <v>15557</v>
      </c>
      <c r="H373" s="24">
        <v>34219</v>
      </c>
      <c r="I373" s="2">
        <f t="shared" si="41"/>
        <v>369</v>
      </c>
      <c r="J373" s="16">
        <v>42426</v>
      </c>
      <c r="K373" s="29">
        <f t="shared" si="35"/>
        <v>1.4741899020346727E-2</v>
      </c>
      <c r="L373" s="29">
        <f t="shared" si="36"/>
        <v>9.2105263157895578E-3</v>
      </c>
      <c r="M373" s="29">
        <f t="shared" si="37"/>
        <v>2.9676852055396719E-2</v>
      </c>
      <c r="N373" s="29">
        <f t="shared" si="38"/>
        <v>8.5980061520216644E-3</v>
      </c>
      <c r="O373" s="29">
        <f t="shared" si="39"/>
        <v>-3.8552978217565315E-4</v>
      </c>
      <c r="P373" s="30">
        <f t="shared" si="40"/>
        <v>2.3020120182965176E-2</v>
      </c>
      <c r="Z373" s="3"/>
      <c r="AA373" s="3"/>
      <c r="AB373" s="3"/>
      <c r="AC373" s="3"/>
      <c r="AD373" s="3"/>
      <c r="AE373" s="7"/>
    </row>
    <row r="374" spans="2:31" x14ac:dyDescent="0.15">
      <c r="B374" s="16">
        <v>42433</v>
      </c>
      <c r="C374" s="23">
        <v>22623</v>
      </c>
      <c r="D374" s="23">
        <v>11550</v>
      </c>
      <c r="E374" s="23">
        <v>27901</v>
      </c>
      <c r="F374" s="23">
        <v>28107</v>
      </c>
      <c r="G374" s="23">
        <v>15547</v>
      </c>
      <c r="H374" s="24">
        <v>35315</v>
      </c>
      <c r="I374" s="2">
        <f t="shared" si="41"/>
        <v>370</v>
      </c>
      <c r="J374" s="16">
        <v>42433</v>
      </c>
      <c r="K374" s="29">
        <f t="shared" si="35"/>
        <v>5.003481086098871E-2</v>
      </c>
      <c r="L374" s="29">
        <f t="shared" si="36"/>
        <v>3.9113428943937656E-3</v>
      </c>
      <c r="M374" s="29">
        <f t="shared" si="37"/>
        <v>-7.2231710788499548E-3</v>
      </c>
      <c r="N374" s="29">
        <f t="shared" si="38"/>
        <v>3.277604262355327E-2</v>
      </c>
      <c r="O374" s="29">
        <f t="shared" si="39"/>
        <v>-6.427974545221149E-4</v>
      </c>
      <c r="P374" s="30">
        <f t="shared" si="40"/>
        <v>3.2028989742540759E-2</v>
      </c>
      <c r="Z374" s="3"/>
      <c r="AA374" s="3"/>
      <c r="AB374" s="3"/>
      <c r="AC374" s="3"/>
      <c r="AD374" s="3"/>
      <c r="AE374" s="7"/>
    </row>
    <row r="375" spans="2:31" x14ac:dyDescent="0.15">
      <c r="B375" s="16">
        <v>42440</v>
      </c>
      <c r="C375" s="23">
        <v>22532</v>
      </c>
      <c r="D375" s="23">
        <v>11498</v>
      </c>
      <c r="E375" s="23">
        <v>28094</v>
      </c>
      <c r="F375" s="23">
        <v>28059</v>
      </c>
      <c r="G375" s="23">
        <v>15602</v>
      </c>
      <c r="H375" s="24">
        <v>35170</v>
      </c>
      <c r="I375" s="2">
        <f t="shared" si="41"/>
        <v>371</v>
      </c>
      <c r="J375" s="16">
        <v>42440</v>
      </c>
      <c r="K375" s="29">
        <f t="shared" si="35"/>
        <v>-4.0224550236485079E-3</v>
      </c>
      <c r="L375" s="29">
        <f t="shared" si="36"/>
        <v>-4.5021645021644519E-3</v>
      </c>
      <c r="M375" s="29">
        <f t="shared" si="37"/>
        <v>6.9173147915846389E-3</v>
      </c>
      <c r="N375" s="29">
        <f t="shared" si="38"/>
        <v>-1.7077596328316513E-3</v>
      </c>
      <c r="O375" s="29">
        <f t="shared" si="39"/>
        <v>3.5376599987135826E-3</v>
      </c>
      <c r="P375" s="30">
        <f t="shared" si="40"/>
        <v>-4.1059040067960018E-3</v>
      </c>
      <c r="Z375" s="3"/>
      <c r="AA375" s="3"/>
      <c r="AB375" s="3"/>
      <c r="AC375" s="3"/>
      <c r="AD375" s="3"/>
      <c r="AE375" s="7"/>
    </row>
    <row r="376" spans="2:31" x14ac:dyDescent="0.15">
      <c r="B376" s="16">
        <v>42447</v>
      </c>
      <c r="C376" s="23">
        <v>22220</v>
      </c>
      <c r="D376" s="23">
        <v>11664</v>
      </c>
      <c r="E376" s="23">
        <v>28029</v>
      </c>
      <c r="F376" s="23">
        <v>28340</v>
      </c>
      <c r="G376" s="23">
        <v>15503</v>
      </c>
      <c r="H376" s="24">
        <v>36135</v>
      </c>
      <c r="I376" s="2">
        <f t="shared" si="41"/>
        <v>372</v>
      </c>
      <c r="J376" s="16">
        <v>42447</v>
      </c>
      <c r="K376" s="29">
        <f t="shared" si="35"/>
        <v>-1.3846973193680112E-2</v>
      </c>
      <c r="L376" s="29">
        <f t="shared" si="36"/>
        <v>1.4437293442337795E-2</v>
      </c>
      <c r="M376" s="29">
        <f t="shared" si="37"/>
        <v>-2.3136612799885548E-3</v>
      </c>
      <c r="N376" s="29">
        <f t="shared" si="38"/>
        <v>1.0014612067429374E-2</v>
      </c>
      <c r="O376" s="29">
        <f t="shared" si="39"/>
        <v>-6.3453403409818865E-3</v>
      </c>
      <c r="P376" s="30">
        <f t="shared" si="40"/>
        <v>2.7438157520614181E-2</v>
      </c>
      <c r="Z376" s="3"/>
      <c r="AA376" s="3"/>
      <c r="AB376" s="3"/>
      <c r="AC376" s="3"/>
      <c r="AD376" s="3"/>
      <c r="AE376" s="7"/>
    </row>
    <row r="377" spans="2:31" x14ac:dyDescent="0.15">
      <c r="B377" s="16">
        <v>42454</v>
      </c>
      <c r="C377" s="23">
        <v>22599</v>
      </c>
      <c r="D377" s="23">
        <v>11640</v>
      </c>
      <c r="E377" s="23">
        <v>28133</v>
      </c>
      <c r="F377" s="23">
        <v>28545</v>
      </c>
      <c r="G377" s="23">
        <v>15677</v>
      </c>
      <c r="H377" s="24">
        <v>36032</v>
      </c>
      <c r="I377" s="2">
        <f t="shared" si="41"/>
        <v>373</v>
      </c>
      <c r="J377" s="16">
        <v>42454</v>
      </c>
      <c r="K377" s="29">
        <f t="shared" si="35"/>
        <v>1.7056705670567052E-2</v>
      </c>
      <c r="L377" s="29">
        <f t="shared" si="36"/>
        <v>-2.057613168724326E-3</v>
      </c>
      <c r="M377" s="29">
        <f t="shared" si="37"/>
        <v>3.7104427557173025E-3</v>
      </c>
      <c r="N377" s="29">
        <f t="shared" si="38"/>
        <v>7.2335920959774036E-3</v>
      </c>
      <c r="O377" s="29">
        <f t="shared" si="39"/>
        <v>1.1223634135328675E-2</v>
      </c>
      <c r="P377" s="30">
        <f t="shared" si="40"/>
        <v>-2.8504220285042736E-3</v>
      </c>
      <c r="Z377" s="3"/>
      <c r="AA377" s="3"/>
      <c r="AB377" s="3"/>
      <c r="AC377" s="3"/>
      <c r="AD377" s="3"/>
      <c r="AE377" s="7"/>
    </row>
    <row r="378" spans="2:31" x14ac:dyDescent="0.15">
      <c r="B378" s="16">
        <v>42461</v>
      </c>
      <c r="C378" s="23">
        <v>21650</v>
      </c>
      <c r="D378" s="23">
        <v>11654</v>
      </c>
      <c r="E378" s="23">
        <v>27749</v>
      </c>
      <c r="F378" s="23">
        <v>28789</v>
      </c>
      <c r="G378" s="23">
        <v>15800</v>
      </c>
      <c r="H378" s="24">
        <v>36824</v>
      </c>
      <c r="I378" s="2">
        <f t="shared" si="41"/>
        <v>374</v>
      </c>
      <c r="J378" s="16">
        <v>42461</v>
      </c>
      <c r="K378" s="29">
        <f t="shared" si="35"/>
        <v>-4.1993008540200938E-2</v>
      </c>
      <c r="L378" s="29">
        <f t="shared" si="36"/>
        <v>1.2027491408934665E-3</v>
      </c>
      <c r="M378" s="29">
        <f t="shared" si="37"/>
        <v>-1.3649450822877052E-2</v>
      </c>
      <c r="N378" s="29">
        <f t="shared" si="38"/>
        <v>8.5479068138027969E-3</v>
      </c>
      <c r="O378" s="29">
        <f t="shared" si="39"/>
        <v>7.8458888818013772E-3</v>
      </c>
      <c r="P378" s="30">
        <f t="shared" si="40"/>
        <v>2.1980461811722973E-2</v>
      </c>
      <c r="Z378" s="3"/>
      <c r="AA378" s="3"/>
      <c r="AB378" s="3"/>
      <c r="AC378" s="3"/>
      <c r="AD378" s="3"/>
      <c r="AE378" s="7"/>
    </row>
    <row r="379" spans="2:31" x14ac:dyDescent="0.15">
      <c r="B379" s="16">
        <v>42468</v>
      </c>
      <c r="C379" s="23">
        <v>21185</v>
      </c>
      <c r="D379" s="23">
        <v>11672</v>
      </c>
      <c r="E379" s="23">
        <v>28417</v>
      </c>
      <c r="F379" s="23">
        <v>27470</v>
      </c>
      <c r="G379" s="23">
        <v>15304</v>
      </c>
      <c r="H379" s="24">
        <v>35350</v>
      </c>
      <c r="I379" s="2">
        <f t="shared" si="41"/>
        <v>375</v>
      </c>
      <c r="J379" s="16">
        <v>42468</v>
      </c>
      <c r="K379" s="29">
        <f t="shared" si="35"/>
        <v>-2.1478060046189351E-2</v>
      </c>
      <c r="L379" s="29">
        <f t="shared" si="36"/>
        <v>1.5445340655568796E-3</v>
      </c>
      <c r="M379" s="29">
        <f t="shared" si="37"/>
        <v>2.4072939565389806E-2</v>
      </c>
      <c r="N379" s="29">
        <f t="shared" si="38"/>
        <v>-4.5816110319913839E-2</v>
      </c>
      <c r="O379" s="29">
        <f t="shared" si="39"/>
        <v>-3.1392405063291107E-2</v>
      </c>
      <c r="P379" s="30">
        <f t="shared" si="40"/>
        <v>-4.002824245057568E-2</v>
      </c>
      <c r="Z379" s="3"/>
      <c r="AA379" s="3"/>
      <c r="AB379" s="3"/>
      <c r="AC379" s="3"/>
      <c r="AD379" s="3"/>
      <c r="AE379" s="7"/>
    </row>
    <row r="380" spans="2:31" x14ac:dyDescent="0.15">
      <c r="B380" s="16">
        <v>42475</v>
      </c>
      <c r="C380" s="23">
        <v>22546</v>
      </c>
      <c r="D380" s="23">
        <v>11692</v>
      </c>
      <c r="E380" s="23">
        <v>28241</v>
      </c>
      <c r="F380" s="23">
        <v>28483</v>
      </c>
      <c r="G380" s="23">
        <v>15328</v>
      </c>
      <c r="H380" s="24">
        <v>35842</v>
      </c>
      <c r="I380" s="2">
        <f t="shared" si="41"/>
        <v>376</v>
      </c>
      <c r="J380" s="16">
        <v>42475</v>
      </c>
      <c r="K380" s="29">
        <f t="shared" si="35"/>
        <v>6.4243568562662334E-2</v>
      </c>
      <c r="L380" s="29">
        <f t="shared" si="36"/>
        <v>1.7135023989034437E-3</v>
      </c>
      <c r="M380" s="29">
        <f t="shared" si="37"/>
        <v>-6.1934757363549808E-3</v>
      </c>
      <c r="N380" s="29">
        <f t="shared" si="38"/>
        <v>3.6876592646523543E-2</v>
      </c>
      <c r="O380" s="29">
        <f t="shared" si="39"/>
        <v>1.568217459487764E-3</v>
      </c>
      <c r="P380" s="30">
        <f t="shared" si="40"/>
        <v>1.3917963224894025E-2</v>
      </c>
      <c r="Z380" s="3"/>
      <c r="AA380" s="3"/>
      <c r="AB380" s="3"/>
      <c r="AC380" s="3"/>
      <c r="AD380" s="3"/>
      <c r="AE380" s="7"/>
    </row>
    <row r="381" spans="2:31" x14ac:dyDescent="0.15">
      <c r="B381" s="16">
        <v>42482</v>
      </c>
      <c r="C381" s="23">
        <v>23519</v>
      </c>
      <c r="D381" s="23">
        <v>11713</v>
      </c>
      <c r="E381" s="23">
        <v>28761</v>
      </c>
      <c r="F381" s="23">
        <v>28715</v>
      </c>
      <c r="G381" s="23">
        <v>15253</v>
      </c>
      <c r="H381" s="24">
        <v>35323</v>
      </c>
      <c r="I381" s="2">
        <f t="shared" si="41"/>
        <v>377</v>
      </c>
      <c r="J381" s="16">
        <v>42482</v>
      </c>
      <c r="K381" s="29">
        <f t="shared" si="35"/>
        <v>4.3156213962565415E-2</v>
      </c>
      <c r="L381" s="29">
        <f t="shared" si="36"/>
        <v>1.7960998973656217E-3</v>
      </c>
      <c r="M381" s="29">
        <f t="shared" si="37"/>
        <v>1.8412945717219742E-2</v>
      </c>
      <c r="N381" s="29">
        <f t="shared" si="38"/>
        <v>8.1452094231646566E-3</v>
      </c>
      <c r="O381" s="29">
        <f t="shared" si="39"/>
        <v>-4.8930062630480053E-3</v>
      </c>
      <c r="P381" s="30">
        <f t="shared" si="40"/>
        <v>-1.4480218737793704E-2</v>
      </c>
      <c r="Z381" s="3"/>
      <c r="AA381" s="3"/>
      <c r="AB381" s="3"/>
      <c r="AC381" s="3"/>
      <c r="AD381" s="3"/>
      <c r="AE381" s="7"/>
    </row>
    <row r="382" spans="2:31" x14ac:dyDescent="0.15">
      <c r="B382" s="16">
        <v>42489</v>
      </c>
      <c r="C382" s="23">
        <v>22287</v>
      </c>
      <c r="D382" s="23">
        <v>11692</v>
      </c>
      <c r="E382" s="23">
        <v>28729</v>
      </c>
      <c r="F382" s="23">
        <v>28795</v>
      </c>
      <c r="G382" s="23">
        <v>15284</v>
      </c>
      <c r="H382" s="24">
        <v>35968</v>
      </c>
      <c r="I382" s="2">
        <f t="shared" si="41"/>
        <v>378</v>
      </c>
      <c r="J382" s="16">
        <v>42489</v>
      </c>
      <c r="K382" s="29">
        <f t="shared" si="35"/>
        <v>-5.2383179556953929E-2</v>
      </c>
      <c r="L382" s="29">
        <f t="shared" si="36"/>
        <v>-1.7928797063092583E-3</v>
      </c>
      <c r="M382" s="29">
        <f t="shared" si="37"/>
        <v>-1.1126177810228954E-3</v>
      </c>
      <c r="N382" s="29">
        <f t="shared" si="38"/>
        <v>2.7860003482500506E-3</v>
      </c>
      <c r="O382" s="29">
        <f t="shared" si="39"/>
        <v>2.0323870713958581E-3</v>
      </c>
      <c r="P382" s="30">
        <f t="shared" si="40"/>
        <v>1.8260057186535672E-2</v>
      </c>
      <c r="Z382" s="3"/>
      <c r="AA382" s="3"/>
      <c r="AB382" s="3"/>
      <c r="AC382" s="3"/>
      <c r="AD382" s="3"/>
      <c r="AE382" s="7"/>
    </row>
    <row r="383" spans="2:31" x14ac:dyDescent="0.15">
      <c r="B383" s="16">
        <v>42496</v>
      </c>
      <c r="C383" s="23">
        <v>21555</v>
      </c>
      <c r="D383" s="23">
        <v>11742</v>
      </c>
      <c r="E383" s="23">
        <v>28351</v>
      </c>
      <c r="F383" s="23">
        <v>27451</v>
      </c>
      <c r="G383" s="23">
        <v>15075</v>
      </c>
      <c r="H383" s="24">
        <v>35768</v>
      </c>
      <c r="I383" s="2">
        <f t="shared" si="41"/>
        <v>379</v>
      </c>
      <c r="J383" s="16">
        <v>42496</v>
      </c>
      <c r="K383" s="29">
        <f t="shared" si="35"/>
        <v>-3.2844258985058605E-2</v>
      </c>
      <c r="L383" s="29">
        <f t="shared" si="36"/>
        <v>4.2764283270613213E-3</v>
      </c>
      <c r="M383" s="29">
        <f t="shared" si="37"/>
        <v>-1.3157436736398798E-2</v>
      </c>
      <c r="N383" s="29">
        <f t="shared" si="38"/>
        <v>-4.6674769925334259E-2</v>
      </c>
      <c r="O383" s="29">
        <f t="shared" si="39"/>
        <v>-1.3674430777283475E-2</v>
      </c>
      <c r="P383" s="30">
        <f t="shared" si="40"/>
        <v>-5.5604982206405307E-3</v>
      </c>
      <c r="Z383" s="3"/>
      <c r="AA383" s="3"/>
      <c r="AB383" s="3"/>
      <c r="AC383" s="3"/>
      <c r="AD383" s="3"/>
      <c r="AE383" s="7"/>
    </row>
    <row r="384" spans="2:31" x14ac:dyDescent="0.15">
      <c r="B384" s="16">
        <v>42503</v>
      </c>
      <c r="C384" s="23">
        <v>21956</v>
      </c>
      <c r="D384" s="23">
        <v>11707</v>
      </c>
      <c r="E384" s="23">
        <v>28513</v>
      </c>
      <c r="F384" s="23">
        <v>27980</v>
      </c>
      <c r="G384" s="23">
        <v>15279</v>
      </c>
      <c r="H384" s="24">
        <v>36271</v>
      </c>
      <c r="I384" s="2">
        <f t="shared" si="41"/>
        <v>380</v>
      </c>
      <c r="J384" s="16">
        <v>42503</v>
      </c>
      <c r="K384" s="29">
        <f t="shared" si="35"/>
        <v>1.8603572257017031E-2</v>
      </c>
      <c r="L384" s="29">
        <f t="shared" si="36"/>
        <v>-2.9807528530062521E-3</v>
      </c>
      <c r="M384" s="29">
        <f t="shared" si="37"/>
        <v>5.714084159288868E-3</v>
      </c>
      <c r="N384" s="29">
        <f t="shared" si="38"/>
        <v>1.9270700520928274E-2</v>
      </c>
      <c r="O384" s="29">
        <f t="shared" si="39"/>
        <v>1.3532338308457792E-2</v>
      </c>
      <c r="P384" s="30">
        <f t="shared" si="40"/>
        <v>1.4062849474390626E-2</v>
      </c>
      <c r="Z384" s="3"/>
      <c r="AA384" s="3"/>
      <c r="AB384" s="3"/>
      <c r="AC384" s="3"/>
      <c r="AD384" s="3"/>
      <c r="AE384" s="7"/>
    </row>
    <row r="385" spans="2:31" x14ac:dyDescent="0.15">
      <c r="B385" s="16">
        <v>42510</v>
      </c>
      <c r="C385" s="23">
        <v>22396</v>
      </c>
      <c r="D385" s="23">
        <v>11711</v>
      </c>
      <c r="E385" s="23">
        <v>28263</v>
      </c>
      <c r="F385" s="23">
        <v>27955</v>
      </c>
      <c r="G385" s="23">
        <v>15297</v>
      </c>
      <c r="H385" s="24">
        <v>35396</v>
      </c>
      <c r="I385" s="2">
        <f t="shared" si="41"/>
        <v>381</v>
      </c>
      <c r="J385" s="16">
        <v>42510</v>
      </c>
      <c r="K385" s="29">
        <f t="shared" si="35"/>
        <v>2.0040080160320661E-2</v>
      </c>
      <c r="L385" s="29">
        <f t="shared" si="36"/>
        <v>3.4167592038958361E-4</v>
      </c>
      <c r="M385" s="29">
        <f t="shared" si="37"/>
        <v>-8.7679304177041839E-3</v>
      </c>
      <c r="N385" s="29">
        <f t="shared" si="38"/>
        <v>-8.9349535382421408E-4</v>
      </c>
      <c r="O385" s="29">
        <f t="shared" si="39"/>
        <v>1.1780875711762118E-3</v>
      </c>
      <c r="P385" s="30">
        <f t="shared" si="40"/>
        <v>-2.4123955777342831E-2</v>
      </c>
      <c r="Z385" s="3"/>
      <c r="AA385" s="3"/>
      <c r="AB385" s="3"/>
      <c r="AC385" s="3"/>
      <c r="AD385" s="3"/>
      <c r="AE385" s="7"/>
    </row>
    <row r="386" spans="2:31" x14ac:dyDescent="0.15">
      <c r="B386" s="16">
        <v>42517</v>
      </c>
      <c r="C386" s="23">
        <v>22522</v>
      </c>
      <c r="D386" s="23">
        <v>11725</v>
      </c>
      <c r="E386" s="23">
        <v>28173</v>
      </c>
      <c r="F386" s="23">
        <v>28703</v>
      </c>
      <c r="G386" s="23">
        <v>15302</v>
      </c>
      <c r="H386" s="24">
        <v>35964</v>
      </c>
      <c r="I386" s="2">
        <f t="shared" si="41"/>
        <v>382</v>
      </c>
      <c r="J386" s="16">
        <v>42517</v>
      </c>
      <c r="K386" s="29">
        <f t="shared" si="35"/>
        <v>5.6260046436864553E-3</v>
      </c>
      <c r="L386" s="29">
        <f t="shared" si="36"/>
        <v>1.1954572624028881E-3</v>
      </c>
      <c r="M386" s="29">
        <f t="shared" si="37"/>
        <v>-3.184375331705791E-3</v>
      </c>
      <c r="N386" s="29">
        <f t="shared" si="38"/>
        <v>2.6757288499374088E-2</v>
      </c>
      <c r="O386" s="29">
        <f t="shared" si="39"/>
        <v>3.2686147610649918E-4</v>
      </c>
      <c r="P386" s="30">
        <f t="shared" si="40"/>
        <v>1.6047010961690589E-2</v>
      </c>
      <c r="Z386" s="3"/>
      <c r="AA386" s="3"/>
      <c r="AB386" s="3"/>
      <c r="AC386" s="3"/>
      <c r="AD386" s="3"/>
      <c r="AE386" s="7"/>
    </row>
    <row r="387" spans="2:31" x14ac:dyDescent="0.15">
      <c r="B387" s="16">
        <v>42524</v>
      </c>
      <c r="C387" s="23">
        <v>22265</v>
      </c>
      <c r="D387" s="23">
        <v>11717</v>
      </c>
      <c r="E387" s="23">
        <v>28484</v>
      </c>
      <c r="F387" s="23">
        <v>28500</v>
      </c>
      <c r="G387" s="23">
        <v>15154</v>
      </c>
      <c r="H387" s="24">
        <v>35852</v>
      </c>
      <c r="I387" s="2">
        <f t="shared" si="41"/>
        <v>383</v>
      </c>
      <c r="J387" s="16">
        <v>42524</v>
      </c>
      <c r="K387" s="29">
        <f t="shared" si="35"/>
        <v>-1.1411064736701837E-2</v>
      </c>
      <c r="L387" s="29">
        <f t="shared" si="36"/>
        <v>-6.8230277185499233E-4</v>
      </c>
      <c r="M387" s="29">
        <f t="shared" si="37"/>
        <v>1.1038937990274444E-2</v>
      </c>
      <c r="N387" s="29">
        <f t="shared" si="38"/>
        <v>-7.0724314531581678E-3</v>
      </c>
      <c r="O387" s="29">
        <f t="shared" si="39"/>
        <v>-9.6719383087178201E-3</v>
      </c>
      <c r="P387" s="30">
        <f t="shared" si="40"/>
        <v>-3.1142253364475625E-3</v>
      </c>
      <c r="Z387" s="3"/>
      <c r="AA387" s="3"/>
      <c r="AB387" s="3"/>
      <c r="AC387" s="3"/>
      <c r="AD387" s="3"/>
      <c r="AE387" s="7"/>
    </row>
    <row r="388" spans="2:31" x14ac:dyDescent="0.15">
      <c r="B388" s="16">
        <v>42531</v>
      </c>
      <c r="C388" s="23">
        <v>22200</v>
      </c>
      <c r="D388" s="23">
        <v>11769</v>
      </c>
      <c r="E388" s="23">
        <v>28184</v>
      </c>
      <c r="F388" s="23">
        <v>28242</v>
      </c>
      <c r="G388" s="23">
        <v>15142</v>
      </c>
      <c r="H388" s="24">
        <v>35845</v>
      </c>
      <c r="I388" s="2">
        <f t="shared" si="41"/>
        <v>384</v>
      </c>
      <c r="J388" s="16">
        <v>42531</v>
      </c>
      <c r="K388" s="29">
        <f t="shared" si="35"/>
        <v>-2.9193801931282071E-3</v>
      </c>
      <c r="L388" s="29">
        <f t="shared" si="36"/>
        <v>4.4379960740803526E-3</v>
      </c>
      <c r="M388" s="29">
        <f t="shared" si="37"/>
        <v>-1.0532228619575923E-2</v>
      </c>
      <c r="N388" s="29">
        <f t="shared" si="38"/>
        <v>-9.0526315789474232E-3</v>
      </c>
      <c r="O388" s="29">
        <f t="shared" si="39"/>
        <v>-7.9187013329817812E-4</v>
      </c>
      <c r="P388" s="30">
        <f t="shared" si="40"/>
        <v>-1.9524712707796876E-4</v>
      </c>
      <c r="Z388" s="3"/>
      <c r="AA388" s="3"/>
      <c r="AB388" s="3"/>
      <c r="AC388" s="3"/>
      <c r="AD388" s="3"/>
      <c r="AE388" s="7"/>
    </row>
    <row r="389" spans="2:31" x14ac:dyDescent="0.15">
      <c r="B389" s="16">
        <v>42538</v>
      </c>
      <c r="C389" s="23">
        <v>20858</v>
      </c>
      <c r="D389" s="23">
        <v>11773</v>
      </c>
      <c r="E389" s="23">
        <v>27219</v>
      </c>
      <c r="F389" s="23">
        <v>26771</v>
      </c>
      <c r="G389" s="23">
        <v>14809</v>
      </c>
      <c r="H389" s="24">
        <v>34842</v>
      </c>
      <c r="I389" s="2">
        <f t="shared" si="41"/>
        <v>385</v>
      </c>
      <c r="J389" s="16">
        <v>42538</v>
      </c>
      <c r="K389" s="29">
        <f t="shared" ref="K389:K452" si="42">C389/C388-1</f>
        <v>-6.0450450450450499E-2</v>
      </c>
      <c r="L389" s="29">
        <f t="shared" ref="L389:L452" si="43">D389/D388-1</f>
        <v>3.3987594527995491E-4</v>
      </c>
      <c r="M389" s="29">
        <f t="shared" ref="M389:M452" si="44">E389/E388-1</f>
        <v>-3.4239284700539274E-2</v>
      </c>
      <c r="N389" s="29">
        <f t="shared" ref="N389:N452" si="45">F389/F388-1</f>
        <v>-5.2085546349408651E-2</v>
      </c>
      <c r="O389" s="29">
        <f t="shared" ref="O389:O452" si="46">G389/G388-1</f>
        <v>-2.1991810857218352E-2</v>
      </c>
      <c r="P389" s="30">
        <f t="shared" ref="P389:P452" si="47">H389/H388-1</f>
        <v>-2.7981587390151996E-2</v>
      </c>
      <c r="Z389" s="3"/>
      <c r="AA389" s="3"/>
      <c r="AB389" s="3"/>
      <c r="AC389" s="3"/>
      <c r="AD389" s="3"/>
      <c r="AE389" s="7"/>
    </row>
    <row r="390" spans="2:31" x14ac:dyDescent="0.15">
      <c r="B390" s="16">
        <v>42545</v>
      </c>
      <c r="C390" s="23">
        <v>19999</v>
      </c>
      <c r="D390" s="23">
        <v>11844</v>
      </c>
      <c r="E390" s="23">
        <v>25935</v>
      </c>
      <c r="F390" s="23">
        <v>26382</v>
      </c>
      <c r="G390" s="23">
        <v>14006</v>
      </c>
      <c r="H390" s="24">
        <v>33843</v>
      </c>
      <c r="I390" s="2">
        <f t="shared" si="41"/>
        <v>386</v>
      </c>
      <c r="J390" s="16">
        <v>42545</v>
      </c>
      <c r="K390" s="29">
        <f t="shared" si="42"/>
        <v>-4.1183239044970787E-2</v>
      </c>
      <c r="L390" s="29">
        <f t="shared" si="43"/>
        <v>6.0307483224326663E-3</v>
      </c>
      <c r="M390" s="29">
        <f t="shared" si="44"/>
        <v>-4.717293067342665E-2</v>
      </c>
      <c r="N390" s="29">
        <f t="shared" si="45"/>
        <v>-1.4530648836427518E-2</v>
      </c>
      <c r="O390" s="29">
        <f t="shared" si="46"/>
        <v>-5.4223782834762591E-2</v>
      </c>
      <c r="P390" s="30">
        <f t="shared" si="47"/>
        <v>-2.8672292061305282E-2</v>
      </c>
      <c r="Z390" s="3"/>
      <c r="AA390" s="3"/>
      <c r="AB390" s="3"/>
      <c r="AC390" s="3"/>
      <c r="AD390" s="3"/>
      <c r="AE390" s="7"/>
    </row>
    <row r="391" spans="2:31" x14ac:dyDescent="0.15">
      <c r="B391" s="16">
        <v>42552</v>
      </c>
      <c r="C391" s="23">
        <v>20995</v>
      </c>
      <c r="D391" s="23">
        <v>11897</v>
      </c>
      <c r="E391" s="23">
        <v>27752</v>
      </c>
      <c r="F391" s="23">
        <v>26646</v>
      </c>
      <c r="G391" s="23">
        <v>14564</v>
      </c>
      <c r="H391" s="24">
        <v>35379</v>
      </c>
      <c r="I391" s="2">
        <f t="shared" ref="I391:I454" si="48">I390+1</f>
        <v>387</v>
      </c>
      <c r="J391" s="16">
        <v>42552</v>
      </c>
      <c r="K391" s="29">
        <f t="shared" si="42"/>
        <v>4.9802490124506216E-2</v>
      </c>
      <c r="L391" s="29">
        <f t="shared" si="43"/>
        <v>4.4748395812226338E-3</v>
      </c>
      <c r="M391" s="29">
        <f t="shared" si="44"/>
        <v>7.0059764796606805E-2</v>
      </c>
      <c r="N391" s="29">
        <f t="shared" si="45"/>
        <v>1.0006822833750206E-2</v>
      </c>
      <c r="O391" s="29">
        <f t="shared" si="46"/>
        <v>3.9840068542053464E-2</v>
      </c>
      <c r="P391" s="30">
        <f t="shared" si="47"/>
        <v>4.5386047336229085E-2</v>
      </c>
      <c r="Z391" s="3"/>
      <c r="AA391" s="3"/>
      <c r="AB391" s="3"/>
      <c r="AC391" s="3"/>
      <c r="AD391" s="3"/>
      <c r="AE391" s="7"/>
    </row>
    <row r="392" spans="2:31" x14ac:dyDescent="0.15">
      <c r="B392" s="16">
        <v>42559</v>
      </c>
      <c r="C392" s="23">
        <v>20225</v>
      </c>
      <c r="D392" s="23">
        <v>11911</v>
      </c>
      <c r="E392" s="23">
        <v>27357</v>
      </c>
      <c r="F392" s="23">
        <v>25965</v>
      </c>
      <c r="G392" s="23">
        <v>14293</v>
      </c>
      <c r="H392" s="24">
        <v>34524</v>
      </c>
      <c r="I392" s="2">
        <f t="shared" si="48"/>
        <v>388</v>
      </c>
      <c r="J392" s="16">
        <v>42559</v>
      </c>
      <c r="K392" s="29">
        <f t="shared" si="42"/>
        <v>-3.6675398904501111E-2</v>
      </c>
      <c r="L392" s="29">
        <f t="shared" si="43"/>
        <v>1.1767672522484673E-3</v>
      </c>
      <c r="M392" s="29">
        <f t="shared" si="44"/>
        <v>-1.423320841741138E-2</v>
      </c>
      <c r="N392" s="29">
        <f t="shared" si="45"/>
        <v>-2.5557306912857514E-2</v>
      </c>
      <c r="O392" s="29">
        <f t="shared" si="46"/>
        <v>-1.860752540510846E-2</v>
      </c>
      <c r="P392" s="30">
        <f t="shared" si="47"/>
        <v>-2.4166878656830315E-2</v>
      </c>
      <c r="Z392" s="3"/>
      <c r="AA392" s="3"/>
      <c r="AB392" s="3"/>
      <c r="AC392" s="3"/>
      <c r="AD392" s="3"/>
      <c r="AE392" s="7"/>
    </row>
    <row r="393" spans="2:31" x14ac:dyDescent="0.15">
      <c r="B393" s="16">
        <v>42566</v>
      </c>
      <c r="C393" s="23">
        <v>22093</v>
      </c>
      <c r="D393" s="23">
        <v>11824</v>
      </c>
      <c r="E393" s="23">
        <v>27737</v>
      </c>
      <c r="F393" s="23">
        <v>28200</v>
      </c>
      <c r="G393" s="23">
        <v>14978</v>
      </c>
      <c r="H393" s="24">
        <v>36892</v>
      </c>
      <c r="I393" s="2">
        <f t="shared" si="48"/>
        <v>389</v>
      </c>
      <c r="J393" s="16">
        <v>42566</v>
      </c>
      <c r="K393" s="29">
        <f t="shared" si="42"/>
        <v>9.2360939431396893E-2</v>
      </c>
      <c r="L393" s="29">
        <f t="shared" si="43"/>
        <v>-7.3041726135505414E-3</v>
      </c>
      <c r="M393" s="29">
        <f t="shared" si="44"/>
        <v>1.389041196037577E-2</v>
      </c>
      <c r="N393" s="29">
        <f t="shared" si="45"/>
        <v>8.6077411900635559E-2</v>
      </c>
      <c r="O393" s="29">
        <f t="shared" si="46"/>
        <v>4.7925557965437626E-2</v>
      </c>
      <c r="P393" s="30">
        <f t="shared" si="47"/>
        <v>6.8589966400185443E-2</v>
      </c>
      <c r="Z393" s="3"/>
      <c r="AA393" s="3"/>
      <c r="AB393" s="3"/>
      <c r="AC393" s="3"/>
      <c r="AD393" s="3"/>
      <c r="AE393" s="7"/>
    </row>
    <row r="394" spans="2:31" x14ac:dyDescent="0.15">
      <c r="B394" s="16">
        <v>42573</v>
      </c>
      <c r="C394" s="23">
        <v>22255</v>
      </c>
      <c r="D394" s="23">
        <v>11795</v>
      </c>
      <c r="E394" s="23">
        <v>27939</v>
      </c>
      <c r="F394" s="23">
        <v>28225</v>
      </c>
      <c r="G394" s="23">
        <v>14872</v>
      </c>
      <c r="H394" s="24">
        <v>37236</v>
      </c>
      <c r="I394" s="2">
        <f t="shared" si="48"/>
        <v>390</v>
      </c>
      <c r="J394" s="16">
        <v>42573</v>
      </c>
      <c r="K394" s="29">
        <f t="shared" si="42"/>
        <v>7.3326392975150423E-3</v>
      </c>
      <c r="L394" s="29">
        <f t="shared" si="43"/>
        <v>-2.4526387009472517E-3</v>
      </c>
      <c r="M394" s="29">
        <f t="shared" si="44"/>
        <v>7.2826909903738191E-3</v>
      </c>
      <c r="N394" s="29">
        <f t="shared" si="45"/>
        <v>8.8652482269502286E-4</v>
      </c>
      <c r="O394" s="29">
        <f t="shared" si="46"/>
        <v>-7.0770463346241375E-3</v>
      </c>
      <c r="P394" s="30">
        <f t="shared" si="47"/>
        <v>9.3245147999565514E-3</v>
      </c>
      <c r="Z394" s="3"/>
      <c r="AA394" s="3"/>
      <c r="AB394" s="3"/>
      <c r="AC394" s="3"/>
      <c r="AD394" s="3"/>
      <c r="AE394" s="7"/>
    </row>
    <row r="395" spans="2:31" x14ac:dyDescent="0.15">
      <c r="B395" s="16">
        <v>42580</v>
      </c>
      <c r="C395" s="23">
        <v>22178</v>
      </c>
      <c r="D395" s="23">
        <v>11759</v>
      </c>
      <c r="E395" s="23">
        <v>28086</v>
      </c>
      <c r="F395" s="23">
        <v>27951</v>
      </c>
      <c r="G395" s="23">
        <v>14785</v>
      </c>
      <c r="H395" s="24">
        <v>37007</v>
      </c>
      <c r="I395" s="2">
        <f t="shared" si="48"/>
        <v>391</v>
      </c>
      <c r="J395" s="16">
        <v>42580</v>
      </c>
      <c r="K395" s="29">
        <f t="shared" si="42"/>
        <v>-3.4598966524376218E-3</v>
      </c>
      <c r="L395" s="29">
        <f t="shared" si="43"/>
        <v>-3.0521407376006282E-3</v>
      </c>
      <c r="M395" s="29">
        <f t="shared" si="44"/>
        <v>5.2614624718136938E-3</v>
      </c>
      <c r="N395" s="29">
        <f t="shared" si="45"/>
        <v>-9.7077059344552463E-3</v>
      </c>
      <c r="O395" s="29">
        <f t="shared" si="46"/>
        <v>-5.8499193114577297E-3</v>
      </c>
      <c r="P395" s="30">
        <f t="shared" si="47"/>
        <v>-6.1499624019766275E-3</v>
      </c>
      <c r="Z395" s="3"/>
      <c r="AA395" s="3"/>
      <c r="AB395" s="3"/>
      <c r="AC395" s="3"/>
      <c r="AD395" s="3"/>
      <c r="AE395" s="7"/>
    </row>
    <row r="396" spans="2:31" x14ac:dyDescent="0.15">
      <c r="B396" s="16">
        <v>42587</v>
      </c>
      <c r="C396" s="23">
        <v>21747</v>
      </c>
      <c r="D396" s="23">
        <v>11677</v>
      </c>
      <c r="E396" s="23">
        <v>27558</v>
      </c>
      <c r="F396" s="23">
        <v>27057</v>
      </c>
      <c r="G396" s="23">
        <v>14410</v>
      </c>
      <c r="H396" s="24">
        <v>35684</v>
      </c>
      <c r="I396" s="2">
        <f t="shared" si="48"/>
        <v>392</v>
      </c>
      <c r="J396" s="16">
        <v>42587</v>
      </c>
      <c r="K396" s="29">
        <f t="shared" si="42"/>
        <v>-1.9433673009288444E-2</v>
      </c>
      <c r="L396" s="29">
        <f t="shared" si="43"/>
        <v>-6.9733820903138399E-3</v>
      </c>
      <c r="M396" s="29">
        <f t="shared" si="44"/>
        <v>-1.8799401837214291E-2</v>
      </c>
      <c r="N396" s="29">
        <f t="shared" si="45"/>
        <v>-3.1984544381238544E-2</v>
      </c>
      <c r="O396" s="29">
        <f t="shared" si="46"/>
        <v>-2.5363544132566807E-2</v>
      </c>
      <c r="P396" s="30">
        <f t="shared" si="47"/>
        <v>-3.5749993244521328E-2</v>
      </c>
      <c r="Z396" s="3"/>
      <c r="AA396" s="3"/>
      <c r="AB396" s="3"/>
      <c r="AC396" s="3"/>
      <c r="AD396" s="3"/>
      <c r="AE396" s="7"/>
    </row>
    <row r="397" spans="2:31" x14ac:dyDescent="0.15">
      <c r="B397" s="16">
        <v>42594</v>
      </c>
      <c r="C397" s="23">
        <v>22637</v>
      </c>
      <c r="D397" s="23">
        <v>11698</v>
      </c>
      <c r="E397" s="23">
        <v>27776</v>
      </c>
      <c r="F397" s="23">
        <v>27732</v>
      </c>
      <c r="G397" s="23">
        <v>14559</v>
      </c>
      <c r="H397" s="24">
        <v>35837</v>
      </c>
      <c r="I397" s="2">
        <f t="shared" si="48"/>
        <v>393</v>
      </c>
      <c r="J397" s="16">
        <v>42594</v>
      </c>
      <c r="K397" s="29">
        <f t="shared" si="42"/>
        <v>4.0925185082999915E-2</v>
      </c>
      <c r="L397" s="29">
        <f t="shared" si="43"/>
        <v>1.7984071251178069E-3</v>
      </c>
      <c r="M397" s="29">
        <f t="shared" si="44"/>
        <v>7.9105885768198103E-3</v>
      </c>
      <c r="N397" s="29">
        <f t="shared" si="45"/>
        <v>2.4947333407251415E-2</v>
      </c>
      <c r="O397" s="29">
        <f t="shared" si="46"/>
        <v>1.0340041637751485E-2</v>
      </c>
      <c r="P397" s="30">
        <f t="shared" si="47"/>
        <v>4.2876359152561605E-3</v>
      </c>
      <c r="Z397" s="3"/>
      <c r="AA397" s="3"/>
      <c r="AB397" s="3"/>
      <c r="AC397" s="3"/>
      <c r="AD397" s="3"/>
      <c r="AE397" s="7"/>
    </row>
    <row r="398" spans="2:31" x14ac:dyDescent="0.15">
      <c r="B398" s="16">
        <v>42601</v>
      </c>
      <c r="C398" s="23">
        <v>22129</v>
      </c>
      <c r="D398" s="23">
        <v>11687</v>
      </c>
      <c r="E398" s="23">
        <v>27414</v>
      </c>
      <c r="F398" s="23">
        <v>27318</v>
      </c>
      <c r="G398" s="23">
        <v>14432</v>
      </c>
      <c r="H398" s="24">
        <v>35134</v>
      </c>
      <c r="I398" s="2">
        <f t="shared" si="48"/>
        <v>394</v>
      </c>
      <c r="J398" s="16">
        <v>42601</v>
      </c>
      <c r="K398" s="29">
        <f t="shared" si="42"/>
        <v>-2.24411361929584E-2</v>
      </c>
      <c r="L398" s="29">
        <f t="shared" si="43"/>
        <v>-9.4033168062912509E-4</v>
      </c>
      <c r="M398" s="29">
        <f t="shared" si="44"/>
        <v>-1.3032834101382451E-2</v>
      </c>
      <c r="N398" s="29">
        <f t="shared" si="45"/>
        <v>-1.4928602336650831E-2</v>
      </c>
      <c r="O398" s="29">
        <f t="shared" si="46"/>
        <v>-8.7231265883646047E-3</v>
      </c>
      <c r="P398" s="30">
        <f t="shared" si="47"/>
        <v>-1.9616597371431732E-2</v>
      </c>
      <c r="Z398" s="3"/>
      <c r="AA398" s="3"/>
      <c r="AB398" s="3"/>
      <c r="AC398" s="3"/>
      <c r="AD398" s="3"/>
      <c r="AE398" s="7"/>
    </row>
    <row r="399" spans="2:31" x14ac:dyDescent="0.15">
      <c r="B399" s="16">
        <v>42608</v>
      </c>
      <c r="C399" s="23">
        <v>21877</v>
      </c>
      <c r="D399" s="23">
        <v>11676</v>
      </c>
      <c r="E399" s="23">
        <v>27588</v>
      </c>
      <c r="F399" s="23">
        <v>27171</v>
      </c>
      <c r="G399" s="23">
        <v>14394</v>
      </c>
      <c r="H399" s="24">
        <v>35203</v>
      </c>
      <c r="I399" s="2">
        <f t="shared" si="48"/>
        <v>395</v>
      </c>
      <c r="J399" s="16">
        <v>42608</v>
      </c>
      <c r="K399" s="29">
        <f t="shared" si="42"/>
        <v>-1.1387771702291105E-2</v>
      </c>
      <c r="L399" s="29">
        <f t="shared" si="43"/>
        <v>-9.4121673654490312E-4</v>
      </c>
      <c r="M399" s="29">
        <f t="shared" si="44"/>
        <v>6.3471219085138308E-3</v>
      </c>
      <c r="N399" s="29">
        <f t="shared" si="45"/>
        <v>-5.3810674280694304E-3</v>
      </c>
      <c r="O399" s="29">
        <f t="shared" si="46"/>
        <v>-2.6330376940133515E-3</v>
      </c>
      <c r="P399" s="30">
        <f t="shared" si="47"/>
        <v>1.9639096032333381E-3</v>
      </c>
      <c r="Z399" s="3"/>
      <c r="AA399" s="3"/>
      <c r="AB399" s="3"/>
      <c r="AC399" s="3"/>
      <c r="AD399" s="3"/>
      <c r="AE399" s="7"/>
    </row>
    <row r="400" spans="2:31" x14ac:dyDescent="0.15">
      <c r="B400" s="16">
        <v>42615</v>
      </c>
      <c r="C400" s="23">
        <v>22637</v>
      </c>
      <c r="D400" s="23">
        <v>11590</v>
      </c>
      <c r="E400" s="23">
        <v>27477</v>
      </c>
      <c r="F400" s="23">
        <v>27857</v>
      </c>
      <c r="G400" s="23">
        <v>14709</v>
      </c>
      <c r="H400" s="24">
        <v>35891</v>
      </c>
      <c r="I400" s="2">
        <f t="shared" si="48"/>
        <v>396</v>
      </c>
      <c r="J400" s="16">
        <v>42615</v>
      </c>
      <c r="K400" s="29">
        <f t="shared" si="42"/>
        <v>3.4739680943456586E-2</v>
      </c>
      <c r="L400" s="29">
        <f t="shared" si="43"/>
        <v>-7.3655361425145616E-3</v>
      </c>
      <c r="M400" s="29">
        <f t="shared" si="44"/>
        <v>-4.0234884732492926E-3</v>
      </c>
      <c r="N400" s="29">
        <f t="shared" si="45"/>
        <v>2.5247506532700248E-2</v>
      </c>
      <c r="O400" s="29">
        <f t="shared" si="46"/>
        <v>2.1884118382659468E-2</v>
      </c>
      <c r="P400" s="30">
        <f t="shared" si="47"/>
        <v>1.9543788881629442E-2</v>
      </c>
      <c r="Z400" s="3"/>
      <c r="AA400" s="3"/>
      <c r="AB400" s="3"/>
      <c r="AC400" s="3"/>
      <c r="AD400" s="3"/>
      <c r="AE400" s="7"/>
    </row>
    <row r="401" spans="2:31" x14ac:dyDescent="0.15">
      <c r="B401" s="16">
        <v>42622</v>
      </c>
      <c r="C401" s="23">
        <v>22688</v>
      </c>
      <c r="D401" s="23">
        <v>11572</v>
      </c>
      <c r="E401" s="23">
        <v>27489</v>
      </c>
      <c r="F401" s="23">
        <v>27888</v>
      </c>
      <c r="G401" s="23">
        <v>14599</v>
      </c>
      <c r="H401" s="24">
        <v>35814</v>
      </c>
      <c r="I401" s="2">
        <f t="shared" si="48"/>
        <v>397</v>
      </c>
      <c r="J401" s="16">
        <v>42622</v>
      </c>
      <c r="K401" s="29">
        <f t="shared" si="42"/>
        <v>2.2529487122850966E-3</v>
      </c>
      <c r="L401" s="29">
        <f t="shared" si="43"/>
        <v>-1.5530629853321987E-3</v>
      </c>
      <c r="M401" s="29">
        <f t="shared" si="44"/>
        <v>4.3672890053492175E-4</v>
      </c>
      <c r="N401" s="29">
        <f t="shared" si="45"/>
        <v>1.1128262196216099E-3</v>
      </c>
      <c r="O401" s="29">
        <f t="shared" si="46"/>
        <v>-7.4784145761098708E-3</v>
      </c>
      <c r="P401" s="30">
        <f t="shared" si="47"/>
        <v>-2.145384636817016E-3</v>
      </c>
      <c r="Z401" s="3"/>
      <c r="AA401" s="3"/>
      <c r="AB401" s="3"/>
      <c r="AC401" s="3"/>
      <c r="AD401" s="3"/>
      <c r="AE401" s="7"/>
    </row>
    <row r="402" spans="2:31" x14ac:dyDescent="0.15">
      <c r="B402" s="16">
        <v>42629</v>
      </c>
      <c r="C402" s="23">
        <v>22081</v>
      </c>
      <c r="D402" s="23">
        <v>11574</v>
      </c>
      <c r="E402" s="23">
        <v>27372</v>
      </c>
      <c r="F402" s="23">
        <v>27255</v>
      </c>
      <c r="G402" s="23">
        <v>14398</v>
      </c>
      <c r="H402" s="24">
        <v>34145</v>
      </c>
      <c r="I402" s="2">
        <f t="shared" si="48"/>
        <v>398</v>
      </c>
      <c r="J402" s="16">
        <v>42629</v>
      </c>
      <c r="K402" s="29">
        <f t="shared" si="42"/>
        <v>-2.6754231311706622E-2</v>
      </c>
      <c r="L402" s="29">
        <f t="shared" si="43"/>
        <v>1.728309713100451E-4</v>
      </c>
      <c r="M402" s="29">
        <f t="shared" si="44"/>
        <v>-4.2562479537269216E-3</v>
      </c>
      <c r="N402" s="29">
        <f t="shared" si="45"/>
        <v>-2.2697934595524938E-2</v>
      </c>
      <c r="O402" s="29">
        <f t="shared" si="46"/>
        <v>-1.376806630591132E-2</v>
      </c>
      <c r="P402" s="30">
        <f t="shared" si="47"/>
        <v>-4.6601887530016151E-2</v>
      </c>
      <c r="Z402" s="3"/>
      <c r="AA402" s="3"/>
      <c r="AB402" s="3"/>
      <c r="AC402" s="3"/>
      <c r="AD402" s="3"/>
      <c r="AE402" s="7"/>
    </row>
    <row r="403" spans="2:31" x14ac:dyDescent="0.15">
      <c r="B403" s="16">
        <v>42636</v>
      </c>
      <c r="C403" s="23">
        <v>22390</v>
      </c>
      <c r="D403" s="23">
        <v>11618</v>
      </c>
      <c r="E403" s="23">
        <v>27292</v>
      </c>
      <c r="F403" s="23">
        <v>27458</v>
      </c>
      <c r="G403" s="23">
        <v>14356</v>
      </c>
      <c r="H403" s="24">
        <v>34958</v>
      </c>
      <c r="I403" s="2">
        <f t="shared" si="48"/>
        <v>399</v>
      </c>
      <c r="J403" s="16">
        <v>42636</v>
      </c>
      <c r="K403" s="29">
        <f t="shared" si="42"/>
        <v>1.399393143426475E-2</v>
      </c>
      <c r="L403" s="29">
        <f t="shared" si="43"/>
        <v>3.8016243303957697E-3</v>
      </c>
      <c r="M403" s="29">
        <f t="shared" si="44"/>
        <v>-2.9226947245359902E-3</v>
      </c>
      <c r="N403" s="29">
        <f t="shared" si="45"/>
        <v>7.4481746468537668E-3</v>
      </c>
      <c r="O403" s="29">
        <f t="shared" si="46"/>
        <v>-2.9170718155299147E-3</v>
      </c>
      <c r="P403" s="30">
        <f t="shared" si="47"/>
        <v>2.3810221115829533E-2</v>
      </c>
      <c r="Z403" s="3"/>
      <c r="AA403" s="3"/>
      <c r="AB403" s="3"/>
      <c r="AC403" s="3"/>
      <c r="AD403" s="3"/>
      <c r="AE403" s="7"/>
    </row>
    <row r="404" spans="2:31" x14ac:dyDescent="0.15">
      <c r="B404" s="16">
        <v>42643</v>
      </c>
      <c r="C404" s="23">
        <v>22136</v>
      </c>
      <c r="D404" s="23">
        <v>11643</v>
      </c>
      <c r="E404" s="23">
        <v>27606</v>
      </c>
      <c r="F404" s="23">
        <v>27173</v>
      </c>
      <c r="G404" s="23">
        <v>14385</v>
      </c>
      <c r="H404" s="24">
        <v>34739</v>
      </c>
      <c r="I404" s="2">
        <f t="shared" si="48"/>
        <v>400</v>
      </c>
      <c r="J404" s="16">
        <v>42643</v>
      </c>
      <c r="K404" s="29">
        <f t="shared" si="42"/>
        <v>-1.1344350156319738E-2</v>
      </c>
      <c r="L404" s="29">
        <f t="shared" si="43"/>
        <v>2.1518333620245134E-3</v>
      </c>
      <c r="M404" s="29">
        <f t="shared" si="44"/>
        <v>1.150520298988722E-2</v>
      </c>
      <c r="N404" s="29">
        <f t="shared" si="45"/>
        <v>-1.0379488673610604E-2</v>
      </c>
      <c r="O404" s="29">
        <f t="shared" si="46"/>
        <v>2.0200612984118127E-3</v>
      </c>
      <c r="P404" s="30">
        <f t="shared" si="47"/>
        <v>-6.2646604496824354E-3</v>
      </c>
      <c r="Z404" s="3"/>
      <c r="AA404" s="3"/>
      <c r="AB404" s="3"/>
      <c r="AC404" s="3"/>
      <c r="AD404" s="3"/>
      <c r="AE404" s="7"/>
    </row>
    <row r="405" spans="2:31" x14ac:dyDescent="0.15">
      <c r="B405" s="16">
        <v>42650</v>
      </c>
      <c r="C405" s="23">
        <v>22686</v>
      </c>
      <c r="D405" s="23">
        <v>11610</v>
      </c>
      <c r="E405" s="23">
        <v>27201</v>
      </c>
      <c r="F405" s="23">
        <v>27870</v>
      </c>
      <c r="G405" s="23">
        <v>14515</v>
      </c>
      <c r="H405" s="24">
        <v>33777</v>
      </c>
      <c r="I405" s="2">
        <f t="shared" si="48"/>
        <v>401</v>
      </c>
      <c r="J405" s="16">
        <v>42650</v>
      </c>
      <c r="K405" s="29">
        <f t="shared" si="42"/>
        <v>2.4846404047704995E-2</v>
      </c>
      <c r="L405" s="29">
        <f t="shared" si="43"/>
        <v>-2.8343210512754569E-3</v>
      </c>
      <c r="M405" s="29">
        <f t="shared" si="44"/>
        <v>-1.4670723755705328E-2</v>
      </c>
      <c r="N405" s="29">
        <f t="shared" si="45"/>
        <v>2.5650461855518447E-2</v>
      </c>
      <c r="O405" s="29">
        <f t="shared" si="46"/>
        <v>9.0371915189433327E-3</v>
      </c>
      <c r="P405" s="30">
        <f t="shared" si="47"/>
        <v>-2.7692219119721306E-2</v>
      </c>
      <c r="Z405" s="3"/>
      <c r="AA405" s="3"/>
      <c r="AB405" s="3"/>
      <c r="AC405" s="3"/>
      <c r="AD405" s="3"/>
      <c r="AE405" s="7"/>
    </row>
    <row r="406" spans="2:31" x14ac:dyDescent="0.15">
      <c r="B406" s="16">
        <v>42657</v>
      </c>
      <c r="C406" s="23">
        <v>22673</v>
      </c>
      <c r="D406" s="23">
        <v>11608</v>
      </c>
      <c r="E406" s="23">
        <v>26870</v>
      </c>
      <c r="F406" s="23">
        <v>27476</v>
      </c>
      <c r="G406" s="23">
        <v>14446</v>
      </c>
      <c r="H406" s="24">
        <v>33941</v>
      </c>
      <c r="I406" s="2">
        <f t="shared" si="48"/>
        <v>402</v>
      </c>
      <c r="J406" s="16">
        <v>42657</v>
      </c>
      <c r="K406" s="29">
        <f t="shared" si="42"/>
        <v>-5.7304064180552228E-4</v>
      </c>
      <c r="L406" s="29">
        <f t="shared" si="43"/>
        <v>-1.7226528854430434E-4</v>
      </c>
      <c r="M406" s="29">
        <f t="shared" si="44"/>
        <v>-1.2168670269475435E-2</v>
      </c>
      <c r="N406" s="29">
        <f t="shared" si="45"/>
        <v>-1.4137064944384603E-2</v>
      </c>
      <c r="O406" s="29">
        <f t="shared" si="46"/>
        <v>-4.7537030657940349E-3</v>
      </c>
      <c r="P406" s="30">
        <f t="shared" si="47"/>
        <v>4.8553749592918916E-3</v>
      </c>
      <c r="Z406" s="3"/>
      <c r="AA406" s="3"/>
      <c r="AB406" s="3"/>
      <c r="AC406" s="3"/>
      <c r="AD406" s="3"/>
      <c r="AE406" s="7"/>
    </row>
    <row r="407" spans="2:31" x14ac:dyDescent="0.15">
      <c r="B407" s="16">
        <v>42664</v>
      </c>
      <c r="C407" s="23">
        <v>23116</v>
      </c>
      <c r="D407" s="23">
        <v>11611</v>
      </c>
      <c r="E407" s="23">
        <v>26819</v>
      </c>
      <c r="F407" s="23">
        <v>27753</v>
      </c>
      <c r="G407" s="23">
        <v>14429</v>
      </c>
      <c r="H407" s="24">
        <v>34147</v>
      </c>
      <c r="I407" s="2">
        <f t="shared" si="48"/>
        <v>403</v>
      </c>
      <c r="J407" s="16">
        <v>42664</v>
      </c>
      <c r="K407" s="29">
        <f t="shared" si="42"/>
        <v>1.9538658316058832E-2</v>
      </c>
      <c r="L407" s="29">
        <f t="shared" si="43"/>
        <v>2.5844245348038974E-4</v>
      </c>
      <c r="M407" s="29">
        <f t="shared" si="44"/>
        <v>-1.898027540007452E-3</v>
      </c>
      <c r="N407" s="29">
        <f t="shared" si="45"/>
        <v>1.0081525695152083E-2</v>
      </c>
      <c r="O407" s="29">
        <f t="shared" si="46"/>
        <v>-1.1767963450090013E-3</v>
      </c>
      <c r="P407" s="30">
        <f t="shared" si="47"/>
        <v>6.0693556465631904E-3</v>
      </c>
      <c r="Z407" s="3"/>
      <c r="AA407" s="3"/>
      <c r="AB407" s="3"/>
      <c r="AC407" s="3"/>
      <c r="AD407" s="3"/>
      <c r="AE407" s="7"/>
    </row>
    <row r="408" spans="2:31" x14ac:dyDescent="0.15">
      <c r="B408" s="16">
        <v>42671</v>
      </c>
      <c r="C408" s="23">
        <v>23460</v>
      </c>
      <c r="D408" s="23">
        <v>11599</v>
      </c>
      <c r="E408" s="23">
        <v>26668</v>
      </c>
      <c r="F408" s="23">
        <v>27862</v>
      </c>
      <c r="G408" s="23">
        <v>14419</v>
      </c>
      <c r="H408" s="24">
        <v>33230</v>
      </c>
      <c r="I408" s="2">
        <f t="shared" si="48"/>
        <v>404</v>
      </c>
      <c r="J408" s="16">
        <v>42671</v>
      </c>
      <c r="K408" s="29">
        <f t="shared" si="42"/>
        <v>1.4881467381899993E-2</v>
      </c>
      <c r="L408" s="29">
        <f t="shared" si="43"/>
        <v>-1.0335027129446672E-3</v>
      </c>
      <c r="M408" s="29">
        <f t="shared" si="44"/>
        <v>-5.6303367015921868E-3</v>
      </c>
      <c r="N408" s="29">
        <f t="shared" si="45"/>
        <v>3.9275033329730924E-3</v>
      </c>
      <c r="O408" s="29">
        <f t="shared" si="46"/>
        <v>-6.9304872132514017E-4</v>
      </c>
      <c r="P408" s="30">
        <f t="shared" si="47"/>
        <v>-2.6854482092131038E-2</v>
      </c>
      <c r="Z408" s="3"/>
      <c r="AA408" s="3"/>
      <c r="AB408" s="3"/>
      <c r="AC408" s="3"/>
      <c r="AD408" s="3"/>
      <c r="AE408" s="7"/>
    </row>
    <row r="409" spans="2:31" x14ac:dyDescent="0.15">
      <c r="B409" s="16">
        <v>42678</v>
      </c>
      <c r="C409" s="23">
        <v>22730</v>
      </c>
      <c r="D409" s="23">
        <v>11621</v>
      </c>
      <c r="E409" s="23">
        <v>26637</v>
      </c>
      <c r="F409" s="23">
        <v>26793</v>
      </c>
      <c r="G409" s="23">
        <v>14271</v>
      </c>
      <c r="H409" s="24">
        <v>32115</v>
      </c>
      <c r="I409" s="2">
        <f t="shared" si="48"/>
        <v>405</v>
      </c>
      <c r="J409" s="16">
        <v>42678</v>
      </c>
      <c r="K409" s="29">
        <f t="shared" si="42"/>
        <v>-3.111679454390448E-2</v>
      </c>
      <c r="L409" s="29">
        <f t="shared" si="43"/>
        <v>1.8967152340718663E-3</v>
      </c>
      <c r="M409" s="29">
        <f t="shared" si="44"/>
        <v>-1.1624418779061507E-3</v>
      </c>
      <c r="N409" s="29">
        <f t="shared" si="45"/>
        <v>-3.8367669226904044E-2</v>
      </c>
      <c r="O409" s="29">
        <f t="shared" si="46"/>
        <v>-1.0264234690339102E-2</v>
      </c>
      <c r="P409" s="30">
        <f t="shared" si="47"/>
        <v>-3.3554017454107687E-2</v>
      </c>
      <c r="Z409" s="3"/>
      <c r="AA409" s="3"/>
      <c r="AB409" s="3"/>
      <c r="AC409" s="3"/>
      <c r="AD409" s="3"/>
      <c r="AE409" s="7"/>
    </row>
    <row r="410" spans="2:31" x14ac:dyDescent="0.15">
      <c r="B410" s="16">
        <v>42685</v>
      </c>
      <c r="C410" s="23">
        <v>23353</v>
      </c>
      <c r="D410" s="23">
        <v>11581</v>
      </c>
      <c r="E410" s="23">
        <v>26292</v>
      </c>
      <c r="F410" s="23">
        <v>28474</v>
      </c>
      <c r="G410" s="23">
        <v>14425</v>
      </c>
      <c r="H410" s="24">
        <v>32787</v>
      </c>
      <c r="I410" s="2">
        <f t="shared" si="48"/>
        <v>406</v>
      </c>
      <c r="J410" s="16">
        <v>42685</v>
      </c>
      <c r="K410" s="29">
        <f t="shared" si="42"/>
        <v>2.7408710954685445E-2</v>
      </c>
      <c r="L410" s="29">
        <f t="shared" si="43"/>
        <v>-3.4420445744772765E-3</v>
      </c>
      <c r="M410" s="29">
        <f t="shared" si="44"/>
        <v>-1.2951908998761086E-2</v>
      </c>
      <c r="N410" s="29">
        <f t="shared" si="45"/>
        <v>6.2740267980442743E-2</v>
      </c>
      <c r="O410" s="29">
        <f t="shared" si="46"/>
        <v>1.0791114848293759E-2</v>
      </c>
      <c r="P410" s="30">
        <f t="shared" si="47"/>
        <v>2.0924801494628609E-2</v>
      </c>
      <c r="Z410" s="3"/>
      <c r="AA410" s="3"/>
      <c r="AB410" s="3"/>
      <c r="AC410" s="3"/>
      <c r="AD410" s="3"/>
      <c r="AE410" s="7"/>
    </row>
    <row r="411" spans="2:31" x14ac:dyDescent="0.15">
      <c r="B411" s="16">
        <v>42692</v>
      </c>
      <c r="C411" s="23">
        <v>24145</v>
      </c>
      <c r="D411" s="23">
        <v>11501</v>
      </c>
      <c r="E411" s="23">
        <v>26295</v>
      </c>
      <c r="F411" s="23">
        <v>29438</v>
      </c>
      <c r="G411" s="23">
        <v>14628</v>
      </c>
      <c r="H411" s="24">
        <v>33767</v>
      </c>
      <c r="I411" s="2">
        <f t="shared" si="48"/>
        <v>407</v>
      </c>
      <c r="J411" s="16">
        <v>42692</v>
      </c>
      <c r="K411" s="29">
        <f t="shared" si="42"/>
        <v>3.3914272256241107E-2</v>
      </c>
      <c r="L411" s="29">
        <f t="shared" si="43"/>
        <v>-6.9078663327865053E-3</v>
      </c>
      <c r="M411" s="29">
        <f t="shared" si="44"/>
        <v>1.1410314924686915E-4</v>
      </c>
      <c r="N411" s="29">
        <f t="shared" si="45"/>
        <v>3.3855447074524037E-2</v>
      </c>
      <c r="O411" s="29">
        <f t="shared" si="46"/>
        <v>1.407279029462738E-2</v>
      </c>
      <c r="P411" s="30">
        <f t="shared" si="47"/>
        <v>2.9889895385366128E-2</v>
      </c>
      <c r="Z411" s="3"/>
      <c r="AA411" s="3"/>
      <c r="AB411" s="3"/>
      <c r="AC411" s="3"/>
      <c r="AD411" s="3"/>
      <c r="AE411" s="7"/>
    </row>
    <row r="412" spans="2:31" x14ac:dyDescent="0.15">
      <c r="B412" s="16">
        <v>42699</v>
      </c>
      <c r="C412" s="23">
        <v>24699</v>
      </c>
      <c r="D412" s="23">
        <v>11502</v>
      </c>
      <c r="E412" s="23">
        <v>26444</v>
      </c>
      <c r="F412" s="23">
        <v>30602</v>
      </c>
      <c r="G412" s="23">
        <v>15035</v>
      </c>
      <c r="H412" s="24">
        <v>35136</v>
      </c>
      <c r="I412" s="2">
        <f t="shared" si="48"/>
        <v>408</v>
      </c>
      <c r="J412" s="16">
        <v>42699</v>
      </c>
      <c r="K412" s="29">
        <f t="shared" si="42"/>
        <v>2.2944709049492751E-2</v>
      </c>
      <c r="L412" s="29">
        <f t="shared" si="43"/>
        <v>8.6948960959842836E-5</v>
      </c>
      <c r="M412" s="29">
        <f t="shared" si="44"/>
        <v>5.6664765164480269E-3</v>
      </c>
      <c r="N412" s="29">
        <f t="shared" si="45"/>
        <v>3.9540729669135022E-2</v>
      </c>
      <c r="O412" s="29">
        <f t="shared" si="46"/>
        <v>2.782335247470602E-2</v>
      </c>
      <c r="P412" s="30">
        <f t="shared" si="47"/>
        <v>4.0542541534634324E-2</v>
      </c>
      <c r="Z412" s="3"/>
      <c r="AA412" s="3"/>
      <c r="AB412" s="3"/>
      <c r="AC412" s="3"/>
      <c r="AD412" s="3"/>
      <c r="AE412" s="7"/>
    </row>
    <row r="413" spans="2:31" x14ac:dyDescent="0.15">
      <c r="B413" s="16">
        <v>42706</v>
      </c>
      <c r="C413" s="23">
        <v>24746</v>
      </c>
      <c r="D413" s="23">
        <v>11508</v>
      </c>
      <c r="E413" s="23">
        <v>27132</v>
      </c>
      <c r="F413" s="23">
        <v>30511</v>
      </c>
      <c r="G413" s="23">
        <v>15065</v>
      </c>
      <c r="H413" s="24">
        <v>35048</v>
      </c>
      <c r="I413" s="2">
        <f t="shared" si="48"/>
        <v>409</v>
      </c>
      <c r="J413" s="16">
        <v>42706</v>
      </c>
      <c r="K413" s="29">
        <f t="shared" si="42"/>
        <v>1.902911049030287E-3</v>
      </c>
      <c r="L413" s="29">
        <f t="shared" si="43"/>
        <v>5.2164840897228615E-4</v>
      </c>
      <c r="M413" s="29">
        <f t="shared" si="44"/>
        <v>2.6017243987293881E-2</v>
      </c>
      <c r="N413" s="29">
        <f t="shared" si="45"/>
        <v>-2.9736618521665203E-3</v>
      </c>
      <c r="O413" s="29">
        <f t="shared" si="46"/>
        <v>1.9953441968738606E-3</v>
      </c>
      <c r="P413" s="30">
        <f t="shared" si="47"/>
        <v>-2.5045537340618873E-3</v>
      </c>
      <c r="Z413" s="3"/>
      <c r="AA413" s="3"/>
      <c r="AB413" s="3"/>
      <c r="AC413" s="3"/>
      <c r="AD413" s="3"/>
      <c r="AE413" s="7"/>
    </row>
    <row r="414" spans="2:31" x14ac:dyDescent="0.15">
      <c r="B414" s="16">
        <v>42713</v>
      </c>
      <c r="C414" s="23">
        <v>25522</v>
      </c>
      <c r="D414" s="23">
        <v>11454</v>
      </c>
      <c r="E414" s="23">
        <v>27163</v>
      </c>
      <c r="F414" s="23">
        <v>31465</v>
      </c>
      <c r="G414" s="23">
        <v>15146</v>
      </c>
      <c r="H414" s="24">
        <v>36672</v>
      </c>
      <c r="I414" s="2">
        <f t="shared" si="48"/>
        <v>410</v>
      </c>
      <c r="J414" s="16">
        <v>42713</v>
      </c>
      <c r="K414" s="29">
        <f t="shared" si="42"/>
        <v>3.135860341065233E-2</v>
      </c>
      <c r="L414" s="29">
        <f t="shared" si="43"/>
        <v>-4.692387904066786E-3</v>
      </c>
      <c r="M414" s="29">
        <f t="shared" si="44"/>
        <v>1.14256228807319E-3</v>
      </c>
      <c r="N414" s="29">
        <f t="shared" si="45"/>
        <v>3.1267411753138186E-2</v>
      </c>
      <c r="O414" s="29">
        <f t="shared" si="46"/>
        <v>5.3767009624958728E-3</v>
      </c>
      <c r="P414" s="30">
        <f t="shared" si="47"/>
        <v>4.633645286464283E-2</v>
      </c>
      <c r="Z414" s="3"/>
      <c r="AA414" s="3"/>
      <c r="AB414" s="3"/>
      <c r="AC414" s="3"/>
      <c r="AD414" s="3"/>
      <c r="AE414" s="7"/>
    </row>
    <row r="415" spans="2:31" x14ac:dyDescent="0.15">
      <c r="B415" s="16">
        <v>42720</v>
      </c>
      <c r="C415" s="23">
        <v>26064</v>
      </c>
      <c r="D415" s="23">
        <v>11447</v>
      </c>
      <c r="E415" s="23">
        <v>27204</v>
      </c>
      <c r="F415" s="23">
        <v>32632</v>
      </c>
      <c r="G415" s="23">
        <v>15461</v>
      </c>
      <c r="H415" s="24">
        <v>37024</v>
      </c>
      <c r="I415" s="2">
        <f t="shared" si="48"/>
        <v>411</v>
      </c>
      <c r="J415" s="16">
        <v>42720</v>
      </c>
      <c r="K415" s="29">
        <f t="shared" si="42"/>
        <v>2.123658020531316E-2</v>
      </c>
      <c r="L415" s="29">
        <f t="shared" si="43"/>
        <v>-6.1114021302599575E-4</v>
      </c>
      <c r="M415" s="29">
        <f t="shared" si="44"/>
        <v>1.5094061775209333E-3</v>
      </c>
      <c r="N415" s="29">
        <f t="shared" si="45"/>
        <v>3.7088828857460676E-2</v>
      </c>
      <c r="O415" s="29">
        <f t="shared" si="46"/>
        <v>2.0797570315594927E-2</v>
      </c>
      <c r="P415" s="30">
        <f t="shared" si="47"/>
        <v>9.5986038394415552E-3</v>
      </c>
      <c r="Z415" s="3"/>
      <c r="AA415" s="3"/>
      <c r="AB415" s="3"/>
      <c r="AC415" s="3"/>
      <c r="AD415" s="3"/>
      <c r="AE415" s="7"/>
    </row>
    <row r="416" spans="2:31" x14ac:dyDescent="0.15">
      <c r="B416" s="16">
        <v>42727</v>
      </c>
      <c r="C416" s="23">
        <v>26088</v>
      </c>
      <c r="D416" s="23">
        <v>11458</v>
      </c>
      <c r="E416" s="23">
        <v>27437</v>
      </c>
      <c r="F416" s="23">
        <v>32576</v>
      </c>
      <c r="G416" s="23">
        <v>15476</v>
      </c>
      <c r="H416" s="24">
        <v>37364</v>
      </c>
      <c r="I416" s="2">
        <f t="shared" si="48"/>
        <v>412</v>
      </c>
      <c r="J416" s="16">
        <v>42727</v>
      </c>
      <c r="K416" s="29">
        <f t="shared" si="42"/>
        <v>9.2081031307555961E-4</v>
      </c>
      <c r="L416" s="29">
        <f t="shared" si="43"/>
        <v>9.6095046737132428E-4</v>
      </c>
      <c r="M416" s="29">
        <f t="shared" si="44"/>
        <v>8.564916923981869E-3</v>
      </c>
      <c r="N416" s="29">
        <f t="shared" si="45"/>
        <v>-1.7161068889434139E-3</v>
      </c>
      <c r="O416" s="29">
        <f t="shared" si="46"/>
        <v>9.7018304120033427E-4</v>
      </c>
      <c r="P416" s="30">
        <f t="shared" si="47"/>
        <v>9.1832324978391444E-3</v>
      </c>
      <c r="Z416" s="3"/>
      <c r="AA416" s="3"/>
      <c r="AB416" s="3"/>
      <c r="AC416" s="3"/>
      <c r="AD416" s="3"/>
      <c r="AE416" s="7"/>
    </row>
    <row r="417" spans="2:31" x14ac:dyDescent="0.15">
      <c r="B417" s="16">
        <v>42734</v>
      </c>
      <c r="C417" s="23">
        <v>25702</v>
      </c>
      <c r="D417" s="23">
        <v>11458</v>
      </c>
      <c r="E417" s="23">
        <v>28257</v>
      </c>
      <c r="F417" s="23">
        <v>32177</v>
      </c>
      <c r="G417" s="23">
        <v>15436</v>
      </c>
      <c r="H417" s="24">
        <v>37404</v>
      </c>
      <c r="I417" s="2">
        <f t="shared" si="48"/>
        <v>413</v>
      </c>
      <c r="J417" s="16">
        <v>42734</v>
      </c>
      <c r="K417" s="29">
        <f t="shared" si="42"/>
        <v>-1.4796074823673733E-2</v>
      </c>
      <c r="L417" s="29">
        <f t="shared" si="43"/>
        <v>0</v>
      </c>
      <c r="M417" s="29">
        <f t="shared" si="44"/>
        <v>2.9886649415023614E-2</v>
      </c>
      <c r="N417" s="29">
        <f t="shared" si="45"/>
        <v>-1.2248280943025547E-2</v>
      </c>
      <c r="O417" s="29">
        <f t="shared" si="46"/>
        <v>-2.5846471956577632E-3</v>
      </c>
      <c r="P417" s="30">
        <f t="shared" si="47"/>
        <v>1.070549191735326E-3</v>
      </c>
      <c r="Z417" s="3"/>
      <c r="AA417" s="3"/>
      <c r="AB417" s="3"/>
      <c r="AC417" s="3"/>
      <c r="AD417" s="3"/>
      <c r="AE417" s="7"/>
    </row>
    <row r="418" spans="2:31" x14ac:dyDescent="0.15">
      <c r="B418" s="16">
        <v>42741</v>
      </c>
      <c r="C418" s="23">
        <v>26149</v>
      </c>
      <c r="D418" s="23">
        <v>11444</v>
      </c>
      <c r="E418" s="23">
        <v>28363</v>
      </c>
      <c r="F418" s="23">
        <v>32404</v>
      </c>
      <c r="G418" s="23">
        <v>15352</v>
      </c>
      <c r="H418" s="24">
        <v>38221</v>
      </c>
      <c r="I418" s="2">
        <f t="shared" si="48"/>
        <v>414</v>
      </c>
      <c r="J418" s="16">
        <v>42741</v>
      </c>
      <c r="K418" s="29">
        <f t="shared" si="42"/>
        <v>1.7391642673721952E-2</v>
      </c>
      <c r="L418" s="29">
        <f t="shared" si="43"/>
        <v>-1.2218537266538432E-3</v>
      </c>
      <c r="M418" s="29">
        <f t="shared" si="44"/>
        <v>3.7512828679620025E-3</v>
      </c>
      <c r="N418" s="29">
        <f t="shared" si="45"/>
        <v>7.0547285328028675E-3</v>
      </c>
      <c r="O418" s="29">
        <f t="shared" si="46"/>
        <v>-5.4418243068152794E-3</v>
      </c>
      <c r="P418" s="30">
        <f t="shared" si="47"/>
        <v>2.184258368088976E-2</v>
      </c>
      <c r="Z418" s="3"/>
      <c r="AA418" s="3"/>
      <c r="AB418" s="3"/>
      <c r="AC418" s="3"/>
      <c r="AD418" s="3"/>
      <c r="AE418" s="7"/>
    </row>
    <row r="419" spans="2:31" x14ac:dyDescent="0.15">
      <c r="B419" s="16">
        <v>42748</v>
      </c>
      <c r="C419" s="23">
        <v>25920</v>
      </c>
      <c r="D419" s="23">
        <v>11445</v>
      </c>
      <c r="E419" s="23">
        <v>27983</v>
      </c>
      <c r="F419" s="23">
        <v>32213</v>
      </c>
      <c r="G419" s="23">
        <v>15279</v>
      </c>
      <c r="H419" s="24">
        <v>37396</v>
      </c>
      <c r="I419" s="2">
        <f t="shared" si="48"/>
        <v>415</v>
      </c>
      <c r="J419" s="16">
        <v>42748</v>
      </c>
      <c r="K419" s="29">
        <f t="shared" si="42"/>
        <v>-8.7575050671153676E-3</v>
      </c>
      <c r="L419" s="29">
        <f t="shared" si="43"/>
        <v>8.7382034253735696E-5</v>
      </c>
      <c r="M419" s="29">
        <f t="shared" si="44"/>
        <v>-1.3397736487677614E-2</v>
      </c>
      <c r="N419" s="29">
        <f t="shared" si="45"/>
        <v>-5.8943340328354576E-3</v>
      </c>
      <c r="O419" s="29">
        <f t="shared" si="46"/>
        <v>-4.7550807712349874E-3</v>
      </c>
      <c r="P419" s="30">
        <f t="shared" si="47"/>
        <v>-2.158499254336621E-2</v>
      </c>
      <c r="Z419" s="3"/>
      <c r="AA419" s="3"/>
      <c r="AB419" s="3"/>
      <c r="AC419" s="3"/>
      <c r="AD419" s="3"/>
      <c r="AE419" s="7"/>
    </row>
    <row r="420" spans="2:31" x14ac:dyDescent="0.15">
      <c r="B420" s="16">
        <v>42755</v>
      </c>
      <c r="C420" s="23">
        <v>25722</v>
      </c>
      <c r="D420" s="23">
        <v>11415</v>
      </c>
      <c r="E420" s="23">
        <v>27963</v>
      </c>
      <c r="F420" s="23">
        <v>32216</v>
      </c>
      <c r="G420" s="23">
        <v>15259</v>
      </c>
      <c r="H420" s="24">
        <v>37249</v>
      </c>
      <c r="I420" s="2">
        <f t="shared" si="48"/>
        <v>416</v>
      </c>
      <c r="J420" s="16">
        <v>42755</v>
      </c>
      <c r="K420" s="29">
        <f t="shared" si="42"/>
        <v>-7.6388888888888618E-3</v>
      </c>
      <c r="L420" s="29">
        <f t="shared" si="43"/>
        <v>-2.6212319790301919E-3</v>
      </c>
      <c r="M420" s="29">
        <f t="shared" si="44"/>
        <v>-7.1471965121683301E-4</v>
      </c>
      <c r="N420" s="29">
        <f t="shared" si="45"/>
        <v>9.3130102753580246E-5</v>
      </c>
      <c r="O420" s="29">
        <f t="shared" si="46"/>
        <v>-1.3089861901957045E-3</v>
      </c>
      <c r="P420" s="30">
        <f t="shared" si="47"/>
        <v>-3.930901700716638E-3</v>
      </c>
      <c r="Z420" s="3"/>
      <c r="AA420" s="3"/>
      <c r="AB420" s="3"/>
      <c r="AC420" s="3"/>
      <c r="AD420" s="3"/>
      <c r="AE420" s="7"/>
    </row>
    <row r="421" spans="2:31" x14ac:dyDescent="0.15">
      <c r="B421" s="16">
        <v>42762</v>
      </c>
      <c r="C421" s="23">
        <v>26159</v>
      </c>
      <c r="D421" s="23">
        <v>11394</v>
      </c>
      <c r="E421" s="23">
        <v>28159</v>
      </c>
      <c r="F421" s="23">
        <v>32532</v>
      </c>
      <c r="G421" s="23">
        <v>15145</v>
      </c>
      <c r="H421" s="24">
        <v>37315</v>
      </c>
      <c r="I421" s="2">
        <f t="shared" si="48"/>
        <v>417</v>
      </c>
      <c r="J421" s="16">
        <v>42762</v>
      </c>
      <c r="K421" s="29">
        <f t="shared" si="42"/>
        <v>1.6989347640152364E-2</v>
      </c>
      <c r="L421" s="29">
        <f t="shared" si="43"/>
        <v>-1.8396846254927768E-3</v>
      </c>
      <c r="M421" s="29">
        <f t="shared" si="44"/>
        <v>7.0092622393878035E-3</v>
      </c>
      <c r="N421" s="29">
        <f t="shared" si="45"/>
        <v>9.8087906630246469E-3</v>
      </c>
      <c r="O421" s="29">
        <f t="shared" si="46"/>
        <v>-7.471000720886023E-3</v>
      </c>
      <c r="P421" s="30">
        <f t="shared" si="47"/>
        <v>1.7718596472389159E-3</v>
      </c>
      <c r="Z421" s="3"/>
      <c r="AA421" s="3"/>
      <c r="AB421" s="3"/>
      <c r="AC421" s="3"/>
      <c r="AD421" s="3"/>
      <c r="AE421" s="7"/>
    </row>
    <row r="422" spans="2:31" x14ac:dyDescent="0.15">
      <c r="B422" s="16">
        <v>42769</v>
      </c>
      <c r="C422" s="23">
        <v>25421</v>
      </c>
      <c r="D422" s="23">
        <v>11368</v>
      </c>
      <c r="E422" s="23">
        <v>27881</v>
      </c>
      <c r="F422" s="23">
        <v>31884</v>
      </c>
      <c r="G422" s="23">
        <v>15017</v>
      </c>
      <c r="H422" s="24">
        <v>36603</v>
      </c>
      <c r="I422" s="2">
        <f t="shared" si="48"/>
        <v>418</v>
      </c>
      <c r="J422" s="16">
        <v>42769</v>
      </c>
      <c r="K422" s="29">
        <f t="shared" si="42"/>
        <v>-2.8212087618028181E-2</v>
      </c>
      <c r="L422" s="29">
        <f t="shared" si="43"/>
        <v>-2.2819027558363958E-3</v>
      </c>
      <c r="M422" s="29">
        <f t="shared" si="44"/>
        <v>-9.8725096771902221E-3</v>
      </c>
      <c r="N422" s="29">
        <f t="shared" si="45"/>
        <v>-1.9918849133161221E-2</v>
      </c>
      <c r="O422" s="29">
        <f t="shared" si="46"/>
        <v>-8.4516342027071145E-3</v>
      </c>
      <c r="P422" s="30">
        <f t="shared" si="47"/>
        <v>-1.9080798606458504E-2</v>
      </c>
      <c r="Z422" s="3"/>
      <c r="AA422" s="3"/>
      <c r="AB422" s="3"/>
      <c r="AC422" s="3"/>
      <c r="AD422" s="3"/>
      <c r="AE422" s="7"/>
    </row>
    <row r="423" spans="2:31" x14ac:dyDescent="0.15">
      <c r="B423" s="16">
        <v>42776</v>
      </c>
      <c r="C423" s="23">
        <v>26028</v>
      </c>
      <c r="D423" s="23">
        <v>11381</v>
      </c>
      <c r="E423" s="23">
        <v>27593</v>
      </c>
      <c r="F423" s="23">
        <v>32390</v>
      </c>
      <c r="G423" s="23">
        <v>15125</v>
      </c>
      <c r="H423" s="24">
        <v>37265</v>
      </c>
      <c r="I423" s="2">
        <f t="shared" si="48"/>
        <v>419</v>
      </c>
      <c r="J423" s="16">
        <v>42776</v>
      </c>
      <c r="K423" s="29">
        <f t="shared" si="42"/>
        <v>2.3877896227528339E-2</v>
      </c>
      <c r="L423" s="29">
        <f t="shared" si="43"/>
        <v>1.1435608726249047E-3</v>
      </c>
      <c r="M423" s="29">
        <f t="shared" si="44"/>
        <v>-1.0329615150102223E-2</v>
      </c>
      <c r="N423" s="29">
        <f t="shared" si="45"/>
        <v>1.5870028854597873E-2</v>
      </c>
      <c r="O423" s="29">
        <f t="shared" si="46"/>
        <v>7.1918492375306897E-3</v>
      </c>
      <c r="P423" s="30">
        <f t="shared" si="47"/>
        <v>1.8085949239133425E-2</v>
      </c>
      <c r="Z423" s="3"/>
      <c r="AA423" s="3"/>
      <c r="AB423" s="3"/>
      <c r="AC423" s="3"/>
      <c r="AD423" s="3"/>
      <c r="AE423" s="7"/>
    </row>
    <row r="424" spans="2:31" x14ac:dyDescent="0.15">
      <c r="B424" s="16">
        <v>42783</v>
      </c>
      <c r="C424" s="23">
        <v>25833</v>
      </c>
      <c r="D424" s="23">
        <v>11357</v>
      </c>
      <c r="E424" s="23">
        <v>27378</v>
      </c>
      <c r="F424" s="23">
        <v>32842</v>
      </c>
      <c r="G424" s="23">
        <v>15059</v>
      </c>
      <c r="H424" s="24">
        <v>37347</v>
      </c>
      <c r="I424" s="2">
        <f t="shared" si="48"/>
        <v>420</v>
      </c>
      <c r="J424" s="16">
        <v>42783</v>
      </c>
      <c r="K424" s="29">
        <f t="shared" si="42"/>
        <v>-7.4919317657906603E-3</v>
      </c>
      <c r="L424" s="29">
        <f t="shared" si="43"/>
        <v>-2.1087777875405944E-3</v>
      </c>
      <c r="M424" s="29">
        <f t="shared" si="44"/>
        <v>-7.7918312615518071E-3</v>
      </c>
      <c r="N424" s="29">
        <f t="shared" si="45"/>
        <v>1.395492435937018E-2</v>
      </c>
      <c r="O424" s="29">
        <f t="shared" si="46"/>
        <v>-4.3636363636363473E-3</v>
      </c>
      <c r="P424" s="30">
        <f t="shared" si="47"/>
        <v>2.2004561921373789E-3</v>
      </c>
      <c r="Z424" s="3"/>
      <c r="AA424" s="3"/>
      <c r="AB424" s="3"/>
      <c r="AC424" s="3"/>
      <c r="AD424" s="3"/>
      <c r="AE424" s="7"/>
    </row>
    <row r="425" spans="2:31" x14ac:dyDescent="0.15">
      <c r="B425" s="16">
        <v>42790</v>
      </c>
      <c r="C425" s="23">
        <v>25912</v>
      </c>
      <c r="D425" s="23">
        <v>11398</v>
      </c>
      <c r="E425" s="23">
        <v>28076</v>
      </c>
      <c r="F425" s="23">
        <v>32815</v>
      </c>
      <c r="G425" s="23">
        <v>14980</v>
      </c>
      <c r="H425" s="24">
        <v>37719</v>
      </c>
      <c r="I425" s="2">
        <f t="shared" si="48"/>
        <v>421</v>
      </c>
      <c r="J425" s="16">
        <v>42790</v>
      </c>
      <c r="K425" s="29">
        <f t="shared" si="42"/>
        <v>3.0581039755350758E-3</v>
      </c>
      <c r="L425" s="29">
        <f t="shared" si="43"/>
        <v>3.6101083032491488E-3</v>
      </c>
      <c r="M425" s="29">
        <f t="shared" si="44"/>
        <v>2.5494922930820341E-2</v>
      </c>
      <c r="N425" s="29">
        <f t="shared" si="45"/>
        <v>-8.2211801960907493E-4</v>
      </c>
      <c r="O425" s="29">
        <f t="shared" si="46"/>
        <v>-5.246032273059309E-3</v>
      </c>
      <c r="P425" s="30">
        <f t="shared" si="47"/>
        <v>9.9606394087878858E-3</v>
      </c>
      <c r="Z425" s="3"/>
      <c r="AA425" s="3"/>
      <c r="AB425" s="3"/>
      <c r="AC425" s="3"/>
      <c r="AD425" s="3"/>
      <c r="AE425" s="7"/>
    </row>
    <row r="426" spans="2:31" x14ac:dyDescent="0.15">
      <c r="B426" s="16">
        <v>42797</v>
      </c>
      <c r="C426" s="23">
        <v>26163</v>
      </c>
      <c r="D426" s="23">
        <v>11402</v>
      </c>
      <c r="E426" s="23">
        <v>27664</v>
      </c>
      <c r="F426" s="23">
        <v>33342</v>
      </c>
      <c r="G426" s="23">
        <v>15061</v>
      </c>
      <c r="H426" s="24">
        <v>37802</v>
      </c>
      <c r="I426" s="2">
        <f t="shared" si="48"/>
        <v>422</v>
      </c>
      <c r="J426" s="16">
        <v>42797</v>
      </c>
      <c r="K426" s="29">
        <f t="shared" si="42"/>
        <v>9.6866316764432359E-3</v>
      </c>
      <c r="L426" s="29">
        <f t="shared" si="43"/>
        <v>3.5093876118619249E-4</v>
      </c>
      <c r="M426" s="29">
        <f t="shared" si="44"/>
        <v>-1.4674455050576962E-2</v>
      </c>
      <c r="N426" s="29">
        <f t="shared" si="45"/>
        <v>1.6059728782569005E-2</v>
      </c>
      <c r="O426" s="29">
        <f t="shared" si="46"/>
        <v>5.4072096128170433E-3</v>
      </c>
      <c r="P426" s="30">
        <f t="shared" si="47"/>
        <v>2.2004825154431362E-3</v>
      </c>
      <c r="Z426" s="3"/>
      <c r="AA426" s="3"/>
      <c r="AB426" s="3"/>
      <c r="AC426" s="3"/>
      <c r="AD426" s="3"/>
      <c r="AE426" s="7"/>
    </row>
    <row r="427" spans="2:31" x14ac:dyDescent="0.15">
      <c r="B427" s="16">
        <v>42804</v>
      </c>
      <c r="C427" s="23">
        <v>26339</v>
      </c>
      <c r="D427" s="23">
        <v>11376</v>
      </c>
      <c r="E427" s="23">
        <v>27308</v>
      </c>
      <c r="F427" s="23">
        <v>33440</v>
      </c>
      <c r="G427" s="23">
        <v>15122</v>
      </c>
      <c r="H427" s="24">
        <v>36719</v>
      </c>
      <c r="I427" s="2">
        <f t="shared" si="48"/>
        <v>423</v>
      </c>
      <c r="J427" s="16">
        <v>42804</v>
      </c>
      <c r="K427" s="29">
        <f t="shared" si="42"/>
        <v>6.7270572946527274E-3</v>
      </c>
      <c r="L427" s="29">
        <f t="shared" si="43"/>
        <v>-2.280301701455878E-3</v>
      </c>
      <c r="M427" s="29">
        <f t="shared" si="44"/>
        <v>-1.286871023713132E-2</v>
      </c>
      <c r="N427" s="29">
        <f t="shared" si="45"/>
        <v>2.9392357986923745E-3</v>
      </c>
      <c r="O427" s="29">
        <f t="shared" si="46"/>
        <v>4.0501958701282259E-3</v>
      </c>
      <c r="P427" s="30">
        <f t="shared" si="47"/>
        <v>-2.8649277815988583E-2</v>
      </c>
      <c r="Z427" s="3"/>
      <c r="AA427" s="3"/>
      <c r="AB427" s="3"/>
      <c r="AC427" s="3"/>
      <c r="AD427" s="3"/>
      <c r="AE427" s="7"/>
    </row>
    <row r="428" spans="2:31" x14ac:dyDescent="0.15">
      <c r="B428" s="16">
        <v>42811</v>
      </c>
      <c r="C428" s="23">
        <v>26220</v>
      </c>
      <c r="D428" s="23">
        <v>11397</v>
      </c>
      <c r="E428" s="23">
        <v>27598</v>
      </c>
      <c r="F428" s="23">
        <v>33411</v>
      </c>
      <c r="G428" s="23">
        <v>15058</v>
      </c>
      <c r="H428" s="24">
        <v>36835</v>
      </c>
      <c r="I428" s="2">
        <f t="shared" si="48"/>
        <v>424</v>
      </c>
      <c r="J428" s="16">
        <v>42811</v>
      </c>
      <c r="K428" s="29">
        <f t="shared" si="42"/>
        <v>-4.518015110672402E-3</v>
      </c>
      <c r="L428" s="29">
        <f t="shared" si="43"/>
        <v>1.8459915611814814E-3</v>
      </c>
      <c r="M428" s="29">
        <f t="shared" si="44"/>
        <v>1.0619598652409579E-2</v>
      </c>
      <c r="N428" s="29">
        <f t="shared" si="45"/>
        <v>-8.6722488038282197E-4</v>
      </c>
      <c r="O428" s="29">
        <f t="shared" si="46"/>
        <v>-4.2322444121147829E-3</v>
      </c>
      <c r="P428" s="30">
        <f t="shared" si="47"/>
        <v>3.1591274272175784E-3</v>
      </c>
      <c r="Z428" s="3"/>
      <c r="AA428" s="3"/>
      <c r="AB428" s="3"/>
      <c r="AC428" s="3"/>
      <c r="AD428" s="3"/>
      <c r="AE428" s="7"/>
    </row>
    <row r="429" spans="2:31" x14ac:dyDescent="0.15">
      <c r="B429" s="16">
        <v>42818</v>
      </c>
      <c r="C429" s="23">
        <v>25878</v>
      </c>
      <c r="D429" s="23">
        <v>11408</v>
      </c>
      <c r="E429" s="23">
        <v>27350</v>
      </c>
      <c r="F429" s="23">
        <v>32423</v>
      </c>
      <c r="G429" s="23">
        <v>14862</v>
      </c>
      <c r="H429" s="24">
        <v>36324</v>
      </c>
      <c r="I429" s="2">
        <f t="shared" si="48"/>
        <v>425</v>
      </c>
      <c r="J429" s="16">
        <v>42818</v>
      </c>
      <c r="K429" s="29">
        <f t="shared" si="42"/>
        <v>-1.3043478260869601E-2</v>
      </c>
      <c r="L429" s="29">
        <f t="shared" si="43"/>
        <v>9.6516627182596793E-4</v>
      </c>
      <c r="M429" s="29">
        <f t="shared" si="44"/>
        <v>-8.9861584172765685E-3</v>
      </c>
      <c r="N429" s="29">
        <f t="shared" si="45"/>
        <v>-2.9571099338541185E-2</v>
      </c>
      <c r="O429" s="29">
        <f t="shared" si="46"/>
        <v>-1.3016336830920405E-2</v>
      </c>
      <c r="P429" s="30">
        <f t="shared" si="47"/>
        <v>-1.3872675444550064E-2</v>
      </c>
      <c r="Z429" s="3"/>
      <c r="AA429" s="3"/>
      <c r="AB429" s="3"/>
      <c r="AC429" s="3"/>
      <c r="AD429" s="3"/>
      <c r="AE429" s="7"/>
    </row>
    <row r="430" spans="2:31" x14ac:dyDescent="0.15">
      <c r="B430" s="16">
        <v>42825</v>
      </c>
      <c r="C430" s="23">
        <v>25571</v>
      </c>
      <c r="D430" s="23">
        <v>11400</v>
      </c>
      <c r="E430" s="23">
        <v>27276</v>
      </c>
      <c r="F430" s="23">
        <v>32964</v>
      </c>
      <c r="G430" s="23">
        <v>14971</v>
      </c>
      <c r="H430" s="24">
        <v>36692</v>
      </c>
      <c r="I430" s="2">
        <f t="shared" si="48"/>
        <v>426</v>
      </c>
      <c r="J430" s="16">
        <v>42825</v>
      </c>
      <c r="K430" s="29">
        <f t="shared" si="42"/>
        <v>-1.1863358837622684E-2</v>
      </c>
      <c r="L430" s="29">
        <f t="shared" si="43"/>
        <v>-7.0126227208977543E-4</v>
      </c>
      <c r="M430" s="29">
        <f t="shared" si="44"/>
        <v>-2.7056672760511491E-3</v>
      </c>
      <c r="N430" s="29">
        <f t="shared" si="45"/>
        <v>1.6685686087037022E-2</v>
      </c>
      <c r="O430" s="29">
        <f t="shared" si="46"/>
        <v>7.3341407616740462E-3</v>
      </c>
      <c r="P430" s="30">
        <f t="shared" si="47"/>
        <v>1.0131042836692083E-2</v>
      </c>
      <c r="Z430" s="3"/>
      <c r="AA430" s="3"/>
      <c r="AB430" s="3"/>
      <c r="AC430" s="3"/>
      <c r="AD430" s="3"/>
      <c r="AE430" s="7"/>
    </row>
    <row r="431" spans="2:31" x14ac:dyDescent="0.15">
      <c r="B431" s="16">
        <v>42832</v>
      </c>
      <c r="C431" s="23">
        <v>25243</v>
      </c>
      <c r="D431" s="23">
        <v>11417</v>
      </c>
      <c r="E431" s="23">
        <v>27241</v>
      </c>
      <c r="F431" s="23">
        <v>32454</v>
      </c>
      <c r="G431" s="23">
        <v>14822</v>
      </c>
      <c r="H431" s="24">
        <v>36801</v>
      </c>
      <c r="I431" s="2">
        <f t="shared" si="48"/>
        <v>427</v>
      </c>
      <c r="J431" s="16">
        <v>42832</v>
      </c>
      <c r="K431" s="29">
        <f t="shared" si="42"/>
        <v>-1.2827030620624957E-2</v>
      </c>
      <c r="L431" s="29">
        <f t="shared" si="43"/>
        <v>1.4912280701755432E-3</v>
      </c>
      <c r="M431" s="29">
        <f t="shared" si="44"/>
        <v>-1.2831793518111034E-3</v>
      </c>
      <c r="N431" s="29">
        <f t="shared" si="45"/>
        <v>-1.5471423370950088E-2</v>
      </c>
      <c r="O431" s="29">
        <f t="shared" si="46"/>
        <v>-9.9525749782913842E-3</v>
      </c>
      <c r="P431" s="30">
        <f t="shared" si="47"/>
        <v>2.9706748064972643E-3</v>
      </c>
      <c r="Z431" s="3"/>
      <c r="AA431" s="3"/>
      <c r="AB431" s="3"/>
      <c r="AC431" s="3"/>
      <c r="AD431" s="3"/>
      <c r="AE431" s="7"/>
    </row>
    <row r="432" spans="2:31" x14ac:dyDescent="0.15">
      <c r="B432" s="16">
        <v>42839</v>
      </c>
      <c r="C432" s="23">
        <v>24786</v>
      </c>
      <c r="D432" s="23">
        <v>11457</v>
      </c>
      <c r="E432" s="23">
        <v>26525</v>
      </c>
      <c r="F432" s="23">
        <v>31690</v>
      </c>
      <c r="G432" s="23">
        <v>14641</v>
      </c>
      <c r="H432" s="24">
        <v>36634</v>
      </c>
      <c r="I432" s="2">
        <f t="shared" si="48"/>
        <v>428</v>
      </c>
      <c r="J432" s="16">
        <v>42839</v>
      </c>
      <c r="K432" s="29">
        <f t="shared" si="42"/>
        <v>-1.8104028839678321E-2</v>
      </c>
      <c r="L432" s="29">
        <f t="shared" si="43"/>
        <v>3.503547341683344E-3</v>
      </c>
      <c r="M432" s="29">
        <f t="shared" si="44"/>
        <v>-2.6283910282295042E-2</v>
      </c>
      <c r="N432" s="29">
        <f t="shared" si="45"/>
        <v>-2.3541011893757346E-2</v>
      </c>
      <c r="O432" s="29">
        <f t="shared" si="46"/>
        <v>-1.2211577384968253E-2</v>
      </c>
      <c r="P432" s="30">
        <f t="shared" si="47"/>
        <v>-4.5379201652129275E-3</v>
      </c>
      <c r="Z432" s="3"/>
      <c r="AA432" s="3"/>
      <c r="AB432" s="3"/>
      <c r="AC432" s="3"/>
      <c r="AD432" s="3"/>
      <c r="AE432" s="7"/>
    </row>
    <row r="433" spans="2:31" x14ac:dyDescent="0.15">
      <c r="B433" s="16">
        <v>42846</v>
      </c>
      <c r="C433" s="23">
        <v>25176</v>
      </c>
      <c r="D433" s="23">
        <v>11459</v>
      </c>
      <c r="E433" s="23">
        <v>26861</v>
      </c>
      <c r="F433" s="23">
        <v>31953</v>
      </c>
      <c r="G433" s="23">
        <v>14731</v>
      </c>
      <c r="H433" s="24">
        <v>37006</v>
      </c>
      <c r="I433" s="2">
        <f t="shared" si="48"/>
        <v>429</v>
      </c>
      <c r="J433" s="16">
        <v>42846</v>
      </c>
      <c r="K433" s="29">
        <f t="shared" si="42"/>
        <v>1.5734688937303343E-2</v>
      </c>
      <c r="L433" s="29">
        <f t="shared" si="43"/>
        <v>1.7456576765306764E-4</v>
      </c>
      <c r="M433" s="29">
        <f t="shared" si="44"/>
        <v>1.2667295004712642E-2</v>
      </c>
      <c r="N433" s="29">
        <f t="shared" si="45"/>
        <v>8.2991479962133408E-3</v>
      </c>
      <c r="O433" s="29">
        <f t="shared" si="46"/>
        <v>6.147121098285746E-3</v>
      </c>
      <c r="P433" s="30">
        <f t="shared" si="47"/>
        <v>1.0154501282961137E-2</v>
      </c>
      <c r="Z433" s="3"/>
      <c r="AA433" s="3"/>
      <c r="AB433" s="3"/>
      <c r="AC433" s="3"/>
      <c r="AD433" s="3"/>
      <c r="AE433" s="7"/>
    </row>
    <row r="434" spans="2:31" x14ac:dyDescent="0.15">
      <c r="B434" s="16">
        <v>42853</v>
      </c>
      <c r="C434" s="23">
        <v>25951</v>
      </c>
      <c r="D434" s="23">
        <v>11451</v>
      </c>
      <c r="E434" s="23">
        <v>26673</v>
      </c>
      <c r="F434" s="23">
        <v>33178</v>
      </c>
      <c r="G434" s="23">
        <v>15055</v>
      </c>
      <c r="H434" s="24">
        <v>37133</v>
      </c>
      <c r="I434" s="2">
        <f t="shared" si="48"/>
        <v>430</v>
      </c>
      <c r="J434" s="16">
        <v>42853</v>
      </c>
      <c r="K434" s="29">
        <f t="shared" si="42"/>
        <v>3.0783285668890992E-2</v>
      </c>
      <c r="L434" s="29">
        <f t="shared" si="43"/>
        <v>-6.9814119905753369E-4</v>
      </c>
      <c r="M434" s="29">
        <f t="shared" si="44"/>
        <v>-6.9989948252112688E-3</v>
      </c>
      <c r="N434" s="29">
        <f t="shared" si="45"/>
        <v>3.833755828873664E-2</v>
      </c>
      <c r="O434" s="29">
        <f t="shared" si="46"/>
        <v>2.1994433507569022E-2</v>
      </c>
      <c r="P434" s="30">
        <f t="shared" si="47"/>
        <v>3.431875912014215E-3</v>
      </c>
      <c r="Z434" s="3"/>
      <c r="AA434" s="3"/>
      <c r="AB434" s="3"/>
      <c r="AC434" s="3"/>
      <c r="AD434" s="3"/>
      <c r="AE434" s="7"/>
    </row>
    <row r="435" spans="2:31" x14ac:dyDescent="0.15">
      <c r="B435" s="16">
        <v>42860</v>
      </c>
      <c r="C435" s="23">
        <v>26294</v>
      </c>
      <c r="D435" s="23">
        <v>11443</v>
      </c>
      <c r="E435" s="23">
        <v>26939</v>
      </c>
      <c r="F435" s="23">
        <v>33381</v>
      </c>
      <c r="G435" s="23">
        <v>15154</v>
      </c>
      <c r="H435" s="24">
        <v>37226</v>
      </c>
      <c r="I435" s="2">
        <f t="shared" si="48"/>
        <v>431</v>
      </c>
      <c r="J435" s="16">
        <v>42860</v>
      </c>
      <c r="K435" s="29">
        <f t="shared" si="42"/>
        <v>1.3217217062926334E-2</v>
      </c>
      <c r="L435" s="29">
        <f t="shared" si="43"/>
        <v>-6.9862894070382708E-4</v>
      </c>
      <c r="M435" s="29">
        <f t="shared" si="44"/>
        <v>9.9726315000188137E-3</v>
      </c>
      <c r="N435" s="29">
        <f t="shared" si="45"/>
        <v>6.1185122671649772E-3</v>
      </c>
      <c r="O435" s="29">
        <f t="shared" si="46"/>
        <v>6.5758884091664527E-3</v>
      </c>
      <c r="P435" s="30">
        <f t="shared" si="47"/>
        <v>2.504510812484817E-3</v>
      </c>
      <c r="Z435" s="3"/>
      <c r="AA435" s="3"/>
      <c r="AB435" s="3"/>
      <c r="AC435" s="3"/>
      <c r="AD435" s="3"/>
      <c r="AE435" s="7"/>
    </row>
    <row r="436" spans="2:31" x14ac:dyDescent="0.15">
      <c r="B436" s="16">
        <v>42867</v>
      </c>
      <c r="C436" s="23">
        <v>26885</v>
      </c>
      <c r="D436" s="23">
        <v>11405</v>
      </c>
      <c r="E436" s="23">
        <v>27061</v>
      </c>
      <c r="F436" s="23">
        <v>34193</v>
      </c>
      <c r="G436" s="23">
        <v>15336</v>
      </c>
      <c r="H436" s="24">
        <v>37336</v>
      </c>
      <c r="I436" s="2">
        <f t="shared" si="48"/>
        <v>432</v>
      </c>
      <c r="J436" s="16">
        <v>42867</v>
      </c>
      <c r="K436" s="29">
        <f t="shared" si="42"/>
        <v>2.2476610633604732E-2</v>
      </c>
      <c r="L436" s="29">
        <f t="shared" si="43"/>
        <v>-3.320807480555743E-3</v>
      </c>
      <c r="M436" s="29">
        <f t="shared" si="44"/>
        <v>4.5287501392032858E-3</v>
      </c>
      <c r="N436" s="29">
        <f t="shared" si="45"/>
        <v>2.4325214942632067E-2</v>
      </c>
      <c r="O436" s="29">
        <f t="shared" si="46"/>
        <v>1.2010030355021684E-2</v>
      </c>
      <c r="P436" s="30">
        <f t="shared" si="47"/>
        <v>2.9549239778650094E-3</v>
      </c>
      <c r="Z436" s="3"/>
      <c r="AA436" s="3"/>
      <c r="AB436" s="3"/>
      <c r="AC436" s="3"/>
      <c r="AD436" s="3"/>
      <c r="AE436" s="7"/>
    </row>
    <row r="437" spans="2:31" x14ac:dyDescent="0.15">
      <c r="B437" s="16">
        <v>42874</v>
      </c>
      <c r="C437" s="23">
        <v>26493</v>
      </c>
      <c r="D437" s="23">
        <v>11428</v>
      </c>
      <c r="E437" s="23">
        <v>27016</v>
      </c>
      <c r="F437" s="23">
        <v>33243</v>
      </c>
      <c r="G437" s="23">
        <v>15260</v>
      </c>
      <c r="H437" s="24">
        <v>36566</v>
      </c>
      <c r="I437" s="2">
        <f t="shared" si="48"/>
        <v>433</v>
      </c>
      <c r="J437" s="16">
        <v>42874</v>
      </c>
      <c r="K437" s="29">
        <f t="shared" si="42"/>
        <v>-1.4580621164217988E-2</v>
      </c>
      <c r="L437" s="29">
        <f t="shared" si="43"/>
        <v>2.0166593599297844E-3</v>
      </c>
      <c r="M437" s="29">
        <f t="shared" si="44"/>
        <v>-1.6629097224788447E-3</v>
      </c>
      <c r="N437" s="29">
        <f t="shared" si="45"/>
        <v>-2.7783464451788364E-2</v>
      </c>
      <c r="O437" s="29">
        <f t="shared" si="46"/>
        <v>-4.9556598852373845E-3</v>
      </c>
      <c r="P437" s="30">
        <f t="shared" si="47"/>
        <v>-2.0623526890936383E-2</v>
      </c>
      <c r="Z437" s="3"/>
      <c r="AA437" s="3"/>
      <c r="AB437" s="3"/>
      <c r="AC437" s="3"/>
      <c r="AD437" s="3"/>
      <c r="AE437" s="7"/>
    </row>
    <row r="438" spans="2:31" x14ac:dyDescent="0.15">
      <c r="B438" s="16">
        <v>42881</v>
      </c>
      <c r="C438" s="23">
        <v>26620</v>
      </c>
      <c r="D438" s="23">
        <v>11429</v>
      </c>
      <c r="E438" s="23">
        <v>26990</v>
      </c>
      <c r="F438" s="23">
        <v>34000</v>
      </c>
      <c r="G438" s="23">
        <v>15383</v>
      </c>
      <c r="H438" s="24">
        <v>37217</v>
      </c>
      <c r="I438" s="2">
        <f t="shared" si="48"/>
        <v>434</v>
      </c>
      <c r="J438" s="16">
        <v>42881</v>
      </c>
      <c r="K438" s="29">
        <f t="shared" si="42"/>
        <v>4.793719095610216E-3</v>
      </c>
      <c r="L438" s="29">
        <f t="shared" si="43"/>
        <v>8.7504375218649955E-5</v>
      </c>
      <c r="M438" s="29">
        <f t="shared" si="44"/>
        <v>-9.6239265620368109E-4</v>
      </c>
      <c r="N438" s="29">
        <f t="shared" si="45"/>
        <v>2.2771711337725264E-2</v>
      </c>
      <c r="O438" s="29">
        <f t="shared" si="46"/>
        <v>8.0602883355176402E-3</v>
      </c>
      <c r="P438" s="30">
        <f t="shared" si="47"/>
        <v>1.7803423945741859E-2</v>
      </c>
      <c r="Z438" s="3"/>
      <c r="AA438" s="3"/>
      <c r="AB438" s="3"/>
      <c r="AC438" s="3"/>
      <c r="AD438" s="3"/>
      <c r="AE438" s="7"/>
    </row>
    <row r="439" spans="2:31" x14ac:dyDescent="0.15">
      <c r="B439" s="16">
        <v>42888</v>
      </c>
      <c r="C439" s="23">
        <v>27279</v>
      </c>
      <c r="D439" s="23">
        <v>11418</v>
      </c>
      <c r="E439" s="23">
        <v>27118</v>
      </c>
      <c r="F439" s="23">
        <v>34114</v>
      </c>
      <c r="G439" s="23">
        <v>15382</v>
      </c>
      <c r="H439" s="24">
        <v>37105</v>
      </c>
      <c r="I439" s="2">
        <f t="shared" si="48"/>
        <v>435</v>
      </c>
      <c r="J439" s="16">
        <v>42888</v>
      </c>
      <c r="K439" s="29">
        <f t="shared" si="42"/>
        <v>2.4755822689706886E-2</v>
      </c>
      <c r="L439" s="29">
        <f t="shared" si="43"/>
        <v>-9.6246390760346134E-4</v>
      </c>
      <c r="M439" s="29">
        <f t="shared" si="44"/>
        <v>4.7424972211931316E-3</v>
      </c>
      <c r="N439" s="29">
        <f t="shared" si="45"/>
        <v>3.3529411764705586E-3</v>
      </c>
      <c r="O439" s="29">
        <f t="shared" si="46"/>
        <v>-6.5006825716751315E-5</v>
      </c>
      <c r="P439" s="30">
        <f t="shared" si="47"/>
        <v>-3.0093774350431479E-3</v>
      </c>
      <c r="Z439" s="3"/>
      <c r="AA439" s="3"/>
      <c r="AB439" s="3"/>
      <c r="AC439" s="3"/>
      <c r="AD439" s="3"/>
      <c r="AE439" s="7"/>
    </row>
    <row r="440" spans="2:31" x14ac:dyDescent="0.15">
      <c r="B440" s="16">
        <v>42895</v>
      </c>
      <c r="C440" s="23">
        <v>27043</v>
      </c>
      <c r="D440" s="23">
        <v>11413</v>
      </c>
      <c r="E440" s="23">
        <v>26744</v>
      </c>
      <c r="F440" s="23">
        <v>33581</v>
      </c>
      <c r="G440" s="23">
        <v>15178</v>
      </c>
      <c r="H440" s="24">
        <v>36686</v>
      </c>
      <c r="I440" s="2">
        <f t="shared" si="48"/>
        <v>436</v>
      </c>
      <c r="J440" s="16">
        <v>42895</v>
      </c>
      <c r="K440" s="29">
        <f t="shared" si="42"/>
        <v>-8.6513435243227299E-3</v>
      </c>
      <c r="L440" s="29">
        <f t="shared" si="43"/>
        <v>-4.379050621825531E-4</v>
      </c>
      <c r="M440" s="29">
        <f t="shared" si="44"/>
        <v>-1.3791577549966849E-2</v>
      </c>
      <c r="N440" s="29">
        <f t="shared" si="45"/>
        <v>-1.5624083953801993E-2</v>
      </c>
      <c r="O440" s="29">
        <f t="shared" si="46"/>
        <v>-1.3262254583279121E-2</v>
      </c>
      <c r="P440" s="30">
        <f t="shared" si="47"/>
        <v>-1.1292278668643019E-2</v>
      </c>
      <c r="Z440" s="3"/>
      <c r="AA440" s="3"/>
      <c r="AB440" s="3"/>
      <c r="AC440" s="3"/>
      <c r="AD440" s="3"/>
      <c r="AE440" s="7"/>
    </row>
    <row r="441" spans="2:31" x14ac:dyDescent="0.15">
      <c r="B441" s="16">
        <v>42902</v>
      </c>
      <c r="C441" s="23">
        <v>26952</v>
      </c>
      <c r="D441" s="23">
        <v>11418</v>
      </c>
      <c r="E441" s="23">
        <v>26822</v>
      </c>
      <c r="F441" s="23">
        <v>33843</v>
      </c>
      <c r="G441" s="23">
        <v>15345</v>
      </c>
      <c r="H441" s="24">
        <v>37747</v>
      </c>
      <c r="I441" s="2">
        <f t="shared" si="48"/>
        <v>437</v>
      </c>
      <c r="J441" s="16">
        <v>42902</v>
      </c>
      <c r="K441" s="29">
        <f t="shared" si="42"/>
        <v>-3.3650112783345509E-3</v>
      </c>
      <c r="L441" s="29">
        <f t="shared" si="43"/>
        <v>4.3809690703588977E-4</v>
      </c>
      <c r="M441" s="29">
        <f t="shared" si="44"/>
        <v>2.9165420281185295E-3</v>
      </c>
      <c r="N441" s="29">
        <f t="shared" si="45"/>
        <v>7.8020309103361551E-3</v>
      </c>
      <c r="O441" s="29">
        <f t="shared" si="46"/>
        <v>1.1002767162999083E-2</v>
      </c>
      <c r="P441" s="30">
        <f t="shared" si="47"/>
        <v>2.8921114321539543E-2</v>
      </c>
      <c r="Z441" s="3"/>
      <c r="AA441" s="3"/>
      <c r="AB441" s="3"/>
      <c r="AC441" s="3"/>
      <c r="AD441" s="3"/>
      <c r="AE441" s="7"/>
    </row>
    <row r="442" spans="2:31" x14ac:dyDescent="0.15">
      <c r="B442" s="16">
        <v>42909</v>
      </c>
      <c r="C442" s="23">
        <v>27200</v>
      </c>
      <c r="D442" s="23">
        <v>11420</v>
      </c>
      <c r="E442" s="23">
        <v>26596</v>
      </c>
      <c r="F442" s="23">
        <v>33997</v>
      </c>
      <c r="G442" s="23">
        <v>15418</v>
      </c>
      <c r="H442" s="24">
        <v>37470</v>
      </c>
      <c r="I442" s="2">
        <f t="shared" si="48"/>
        <v>438</v>
      </c>
      <c r="J442" s="16">
        <v>42909</v>
      </c>
      <c r="K442" s="29">
        <f t="shared" si="42"/>
        <v>9.2015434847134703E-3</v>
      </c>
      <c r="L442" s="29">
        <f t="shared" si="43"/>
        <v>1.7516202487311006E-4</v>
      </c>
      <c r="M442" s="29">
        <f t="shared" si="44"/>
        <v>-8.4259190216986468E-3</v>
      </c>
      <c r="N442" s="29">
        <f t="shared" si="45"/>
        <v>4.5504240167832943E-3</v>
      </c>
      <c r="O442" s="29">
        <f t="shared" si="46"/>
        <v>4.7572499185402073E-3</v>
      </c>
      <c r="P442" s="30">
        <f t="shared" si="47"/>
        <v>-7.3383315230349799E-3</v>
      </c>
      <c r="Z442" s="3"/>
      <c r="AA442" s="3"/>
      <c r="AB442" s="3"/>
      <c r="AC442" s="3"/>
      <c r="AD442" s="3"/>
      <c r="AE442" s="7"/>
    </row>
    <row r="443" spans="2:31" x14ac:dyDescent="0.15">
      <c r="B443" s="16">
        <v>42916</v>
      </c>
      <c r="C443" s="23">
        <v>27091</v>
      </c>
      <c r="D443" s="23">
        <v>11385</v>
      </c>
      <c r="E443" s="23">
        <v>26219</v>
      </c>
      <c r="F443" s="23">
        <v>34176</v>
      </c>
      <c r="G443" s="23">
        <v>15556</v>
      </c>
      <c r="H443" s="24">
        <v>37557</v>
      </c>
      <c r="I443" s="2">
        <f t="shared" si="48"/>
        <v>439</v>
      </c>
      <c r="J443" s="16">
        <v>42916</v>
      </c>
      <c r="K443" s="29">
        <f t="shared" si="42"/>
        <v>-4.0073529411764897E-3</v>
      </c>
      <c r="L443" s="29">
        <f t="shared" si="43"/>
        <v>-3.0647985989492588E-3</v>
      </c>
      <c r="M443" s="29">
        <f t="shared" si="44"/>
        <v>-1.4175063919386388E-2</v>
      </c>
      <c r="N443" s="29">
        <f t="shared" si="45"/>
        <v>5.2651704562167723E-3</v>
      </c>
      <c r="O443" s="29">
        <f t="shared" si="46"/>
        <v>8.9505772473732481E-3</v>
      </c>
      <c r="P443" s="30">
        <f t="shared" si="47"/>
        <v>2.3218574859888985E-3</v>
      </c>
      <c r="Z443" s="3"/>
      <c r="AA443" s="3"/>
      <c r="AB443" s="3"/>
      <c r="AC443" s="3"/>
      <c r="AD443" s="3"/>
      <c r="AE443" s="7"/>
    </row>
    <row r="444" spans="2:31" x14ac:dyDescent="0.15">
      <c r="B444" s="16">
        <v>42923</v>
      </c>
      <c r="C444" s="23">
        <v>26952</v>
      </c>
      <c r="D444" s="23">
        <v>11362</v>
      </c>
      <c r="E444" s="23">
        <v>25730</v>
      </c>
      <c r="F444" s="23">
        <v>34399</v>
      </c>
      <c r="G444" s="23">
        <v>15612</v>
      </c>
      <c r="H444" s="24">
        <v>37176</v>
      </c>
      <c r="I444" s="2">
        <f t="shared" si="48"/>
        <v>440</v>
      </c>
      <c r="J444" s="16">
        <v>42923</v>
      </c>
      <c r="K444" s="29">
        <f t="shared" si="42"/>
        <v>-5.1308552655863204E-3</v>
      </c>
      <c r="L444" s="29">
        <f t="shared" si="43"/>
        <v>-2.0202020202020332E-3</v>
      </c>
      <c r="M444" s="29">
        <f t="shared" si="44"/>
        <v>-1.8650596895381177E-2</v>
      </c>
      <c r="N444" s="29">
        <f t="shared" si="45"/>
        <v>6.5250468164794739E-3</v>
      </c>
      <c r="O444" s="29">
        <f t="shared" si="46"/>
        <v>3.5998971457957829E-3</v>
      </c>
      <c r="P444" s="30">
        <f t="shared" si="47"/>
        <v>-1.0144580238038214E-2</v>
      </c>
      <c r="Z444" s="3"/>
      <c r="AA444" s="3"/>
      <c r="AB444" s="3"/>
      <c r="AC444" s="3"/>
      <c r="AD444" s="3"/>
      <c r="AE444" s="7"/>
    </row>
    <row r="445" spans="2:31" x14ac:dyDescent="0.15">
      <c r="B445" s="16">
        <v>42930</v>
      </c>
      <c r="C445" s="23">
        <v>27196</v>
      </c>
      <c r="D445" s="23">
        <v>11378</v>
      </c>
      <c r="E445" s="23">
        <v>25094</v>
      </c>
      <c r="F445" s="23">
        <v>35025</v>
      </c>
      <c r="G445" s="23">
        <v>15676</v>
      </c>
      <c r="H445" s="24">
        <v>37418</v>
      </c>
      <c r="I445" s="2">
        <f t="shared" si="48"/>
        <v>441</v>
      </c>
      <c r="J445" s="16">
        <v>42930</v>
      </c>
      <c r="K445" s="29">
        <f t="shared" si="42"/>
        <v>9.0531314930246687E-3</v>
      </c>
      <c r="L445" s="29">
        <f t="shared" si="43"/>
        <v>1.4082027812005737E-3</v>
      </c>
      <c r="M445" s="29">
        <f t="shared" si="44"/>
        <v>-2.4718227749708555E-2</v>
      </c>
      <c r="N445" s="29">
        <f t="shared" si="45"/>
        <v>1.819820343614631E-2</v>
      </c>
      <c r="O445" s="29">
        <f t="shared" si="46"/>
        <v>4.0994107097105381E-3</v>
      </c>
      <c r="P445" s="30">
        <f t="shared" si="47"/>
        <v>6.5095760705831118E-3</v>
      </c>
      <c r="Z445" s="3"/>
      <c r="AA445" s="3"/>
      <c r="AB445" s="3"/>
      <c r="AC445" s="3"/>
      <c r="AD445" s="3"/>
      <c r="AE445" s="7"/>
    </row>
    <row r="446" spans="2:31" x14ac:dyDescent="0.15">
      <c r="B446" s="16">
        <v>42937</v>
      </c>
      <c r="C446" s="23">
        <v>27162</v>
      </c>
      <c r="D446" s="23">
        <v>11387</v>
      </c>
      <c r="E446" s="23">
        <v>25876</v>
      </c>
      <c r="F446" s="23">
        <v>34991</v>
      </c>
      <c r="G446" s="23">
        <v>15705</v>
      </c>
      <c r="H446" s="24">
        <v>37795</v>
      </c>
      <c r="I446" s="2">
        <f t="shared" si="48"/>
        <v>442</v>
      </c>
      <c r="J446" s="16">
        <v>42937</v>
      </c>
      <c r="K446" s="29">
        <f t="shared" si="42"/>
        <v>-1.2501838505662999E-3</v>
      </c>
      <c r="L446" s="29">
        <f t="shared" si="43"/>
        <v>7.9100017577782289E-4</v>
      </c>
      <c r="M446" s="29">
        <f t="shared" si="44"/>
        <v>3.1162827767593937E-2</v>
      </c>
      <c r="N446" s="29">
        <f t="shared" si="45"/>
        <v>-9.7073518915058443E-4</v>
      </c>
      <c r="O446" s="29">
        <f t="shared" si="46"/>
        <v>1.849961724929905E-3</v>
      </c>
      <c r="P446" s="30">
        <f t="shared" si="47"/>
        <v>1.0075364797691E-2</v>
      </c>
      <c r="Z446" s="3"/>
      <c r="AA446" s="3"/>
      <c r="AB446" s="3"/>
      <c r="AC446" s="3"/>
      <c r="AD446" s="3"/>
      <c r="AE446" s="7"/>
    </row>
    <row r="447" spans="2:31" x14ac:dyDescent="0.15">
      <c r="B447" s="16">
        <v>42944</v>
      </c>
      <c r="C447" s="23">
        <v>26972</v>
      </c>
      <c r="D447" s="23">
        <v>11386</v>
      </c>
      <c r="E447" s="23">
        <v>26417</v>
      </c>
      <c r="F447" s="23">
        <v>34715</v>
      </c>
      <c r="G447" s="23">
        <v>15595</v>
      </c>
      <c r="H447" s="24">
        <v>37821</v>
      </c>
      <c r="I447" s="2">
        <f t="shared" si="48"/>
        <v>443</v>
      </c>
      <c r="J447" s="16">
        <v>42944</v>
      </c>
      <c r="K447" s="29">
        <f t="shared" si="42"/>
        <v>-6.9950666372137205E-3</v>
      </c>
      <c r="L447" s="29">
        <f t="shared" si="43"/>
        <v>-8.7819443224779192E-5</v>
      </c>
      <c r="M447" s="29">
        <f t="shared" si="44"/>
        <v>2.0907404544751929E-2</v>
      </c>
      <c r="N447" s="29">
        <f t="shared" si="45"/>
        <v>-7.8877425623732345E-3</v>
      </c>
      <c r="O447" s="29">
        <f t="shared" si="46"/>
        <v>-7.0041388092964008E-3</v>
      </c>
      <c r="P447" s="30">
        <f t="shared" si="47"/>
        <v>6.8792168276221588E-4</v>
      </c>
      <c r="Z447" s="3"/>
      <c r="AA447" s="3"/>
      <c r="AB447" s="3"/>
      <c r="AC447" s="3"/>
      <c r="AD447" s="3"/>
      <c r="AE447" s="7"/>
    </row>
    <row r="448" spans="2:31" x14ac:dyDescent="0.15">
      <c r="B448" s="16">
        <v>42951</v>
      </c>
      <c r="C448" s="23">
        <v>26954</v>
      </c>
      <c r="D448" s="23">
        <v>11391</v>
      </c>
      <c r="E448" s="23">
        <v>26413</v>
      </c>
      <c r="F448" s="23">
        <v>34430</v>
      </c>
      <c r="G448" s="23">
        <v>15640</v>
      </c>
      <c r="H448" s="24">
        <v>37278</v>
      </c>
      <c r="I448" s="2">
        <f t="shared" si="48"/>
        <v>444</v>
      </c>
      <c r="J448" s="16">
        <v>42951</v>
      </c>
      <c r="K448" s="29">
        <f t="shared" si="42"/>
        <v>-6.6735874239953752E-4</v>
      </c>
      <c r="L448" s="29">
        <f t="shared" si="43"/>
        <v>4.391357807833618E-4</v>
      </c>
      <c r="M448" s="29">
        <f t="shared" si="44"/>
        <v>-1.5141764772685917E-4</v>
      </c>
      <c r="N448" s="29">
        <f t="shared" si="45"/>
        <v>-8.2097076191848251E-3</v>
      </c>
      <c r="O448" s="29">
        <f t="shared" si="46"/>
        <v>2.8855402372556238E-3</v>
      </c>
      <c r="P448" s="30">
        <f t="shared" si="47"/>
        <v>-1.4357103196636745E-2</v>
      </c>
      <c r="Z448" s="3"/>
      <c r="AA448" s="3"/>
      <c r="AB448" s="3"/>
      <c r="AC448" s="3"/>
      <c r="AD448" s="3"/>
      <c r="AE448" s="7"/>
    </row>
    <row r="449" spans="2:31" x14ac:dyDescent="0.15">
      <c r="B449" s="16">
        <v>42958</v>
      </c>
      <c r="C449" s="23">
        <v>26652</v>
      </c>
      <c r="D449" s="23">
        <v>11400</v>
      </c>
      <c r="E449" s="23">
        <v>26172</v>
      </c>
      <c r="F449" s="23">
        <v>34416</v>
      </c>
      <c r="G449" s="23">
        <v>15591</v>
      </c>
      <c r="H449" s="24">
        <v>37085</v>
      </c>
      <c r="I449" s="2">
        <f t="shared" si="48"/>
        <v>445</v>
      </c>
      <c r="J449" s="16">
        <v>42958</v>
      </c>
      <c r="K449" s="29">
        <f t="shared" si="42"/>
        <v>-1.120427394820811E-2</v>
      </c>
      <c r="L449" s="29">
        <f t="shared" si="43"/>
        <v>7.9009744535163406E-4</v>
      </c>
      <c r="M449" s="29">
        <f t="shared" si="44"/>
        <v>-9.1242948548063696E-3</v>
      </c>
      <c r="N449" s="29">
        <f t="shared" si="45"/>
        <v>-4.0662213186171137E-4</v>
      </c>
      <c r="O449" s="29">
        <f t="shared" si="46"/>
        <v>-3.1329923273657467E-3</v>
      </c>
      <c r="P449" s="30">
        <f t="shared" si="47"/>
        <v>-5.1773163796341448E-3</v>
      </c>
      <c r="Z449" s="3"/>
      <c r="AA449" s="3"/>
      <c r="AB449" s="3"/>
      <c r="AC449" s="3"/>
      <c r="AD449" s="3"/>
      <c r="AE449" s="7"/>
    </row>
    <row r="450" spans="2:31" x14ac:dyDescent="0.15">
      <c r="B450" s="16">
        <v>42965</v>
      </c>
      <c r="C450" s="23">
        <v>26296</v>
      </c>
      <c r="D450" s="23">
        <v>11410</v>
      </c>
      <c r="E450" s="23">
        <v>26422</v>
      </c>
      <c r="F450" s="23">
        <v>33715</v>
      </c>
      <c r="G450" s="23">
        <v>15475</v>
      </c>
      <c r="H450" s="24">
        <v>36858</v>
      </c>
      <c r="I450" s="2">
        <f t="shared" si="48"/>
        <v>446</v>
      </c>
      <c r="J450" s="16">
        <v>42965</v>
      </c>
      <c r="K450" s="29">
        <f t="shared" si="42"/>
        <v>-1.3357346540597281E-2</v>
      </c>
      <c r="L450" s="29">
        <f t="shared" si="43"/>
        <v>8.7719298245603206E-4</v>
      </c>
      <c r="M450" s="29">
        <f t="shared" si="44"/>
        <v>9.5521931835549356E-3</v>
      </c>
      <c r="N450" s="29">
        <f t="shared" si="45"/>
        <v>-2.0368433286843346E-2</v>
      </c>
      <c r="O450" s="29">
        <f t="shared" si="46"/>
        <v>-7.4401898531203381E-3</v>
      </c>
      <c r="P450" s="30">
        <f t="shared" si="47"/>
        <v>-6.12107321019284E-3</v>
      </c>
      <c r="Z450" s="3"/>
      <c r="AA450" s="3"/>
      <c r="AB450" s="3"/>
      <c r="AC450" s="3"/>
      <c r="AD450" s="3"/>
      <c r="AE450" s="7"/>
    </row>
    <row r="451" spans="2:31" x14ac:dyDescent="0.15">
      <c r="B451" s="16">
        <v>42972</v>
      </c>
      <c r="C451" s="23">
        <v>26272</v>
      </c>
      <c r="D451" s="23">
        <v>11433</v>
      </c>
      <c r="E451" s="23">
        <v>26164</v>
      </c>
      <c r="F451" s="23">
        <v>33929</v>
      </c>
      <c r="G451" s="23">
        <v>15573</v>
      </c>
      <c r="H451" s="24">
        <v>36955</v>
      </c>
      <c r="I451" s="2">
        <f t="shared" si="48"/>
        <v>447</v>
      </c>
      <c r="J451" s="16">
        <v>42972</v>
      </c>
      <c r="K451" s="29">
        <f t="shared" si="42"/>
        <v>-9.1268634012775518E-4</v>
      </c>
      <c r="L451" s="29">
        <f t="shared" si="43"/>
        <v>2.0157756354075573E-3</v>
      </c>
      <c r="M451" s="29">
        <f t="shared" si="44"/>
        <v>-9.7645901142986435E-3</v>
      </c>
      <c r="N451" s="29">
        <f t="shared" si="45"/>
        <v>6.3473231499333593E-3</v>
      </c>
      <c r="O451" s="29">
        <f t="shared" si="46"/>
        <v>6.3327948303715242E-3</v>
      </c>
      <c r="P451" s="30">
        <f t="shared" si="47"/>
        <v>2.6317217429052686E-3</v>
      </c>
      <c r="Z451" s="3"/>
      <c r="AA451" s="3"/>
      <c r="AB451" s="3"/>
      <c r="AC451" s="3"/>
      <c r="AD451" s="3"/>
      <c r="AE451" s="7"/>
    </row>
    <row r="452" spans="2:31" x14ac:dyDescent="0.15">
      <c r="B452" s="16">
        <v>42979</v>
      </c>
      <c r="C452" s="23">
        <v>26608</v>
      </c>
      <c r="D452" s="23">
        <v>11441</v>
      </c>
      <c r="E452" s="23">
        <v>26146</v>
      </c>
      <c r="F452" s="23">
        <v>34442</v>
      </c>
      <c r="G452" s="23">
        <v>15744</v>
      </c>
      <c r="H452" s="24">
        <v>37345</v>
      </c>
      <c r="I452" s="2">
        <f t="shared" si="48"/>
        <v>448</v>
      </c>
      <c r="J452" s="16">
        <v>42979</v>
      </c>
      <c r="K452" s="29">
        <f t="shared" si="42"/>
        <v>1.2789281364190108E-2</v>
      </c>
      <c r="L452" s="29">
        <f t="shared" si="43"/>
        <v>6.997288550687486E-4</v>
      </c>
      <c r="M452" s="29">
        <f t="shared" si="44"/>
        <v>-6.8796820058092401E-4</v>
      </c>
      <c r="N452" s="29">
        <f t="shared" si="45"/>
        <v>1.5119809012938745E-2</v>
      </c>
      <c r="O452" s="29">
        <f t="shared" si="46"/>
        <v>1.0980543247929075E-2</v>
      </c>
      <c r="P452" s="30">
        <f t="shared" si="47"/>
        <v>1.0553375727235803E-2</v>
      </c>
      <c r="Z452" s="3"/>
      <c r="AA452" s="3"/>
      <c r="AB452" s="3"/>
      <c r="AC452" s="3"/>
      <c r="AD452" s="3"/>
      <c r="AE452" s="7"/>
    </row>
    <row r="453" spans="2:31" x14ac:dyDescent="0.15">
      <c r="B453" s="16">
        <v>42986</v>
      </c>
      <c r="C453" s="23">
        <v>26040</v>
      </c>
      <c r="D453" s="23">
        <v>11455</v>
      </c>
      <c r="E453" s="23">
        <v>26056</v>
      </c>
      <c r="F453" s="23">
        <v>33974</v>
      </c>
      <c r="G453" s="23">
        <v>15657</v>
      </c>
      <c r="H453" s="24">
        <v>37159</v>
      </c>
      <c r="I453" s="2">
        <f t="shared" si="48"/>
        <v>449</v>
      </c>
      <c r="J453" s="16">
        <v>42986</v>
      </c>
      <c r="K453" s="29">
        <f t="shared" ref="K453:K516" si="49">C453/C452-1</f>
        <v>-2.1346963319302414E-2</v>
      </c>
      <c r="L453" s="29">
        <f t="shared" ref="L453:L516" si="50">D453/D452-1</f>
        <v>1.2236692596800935E-3</v>
      </c>
      <c r="M453" s="29">
        <f t="shared" ref="M453:M516" si="51">E453/E452-1</f>
        <v>-3.4422091333282667E-3</v>
      </c>
      <c r="N453" s="29">
        <f t="shared" ref="N453:N516" si="52">F453/F452-1</f>
        <v>-1.3588061088206205E-2</v>
      </c>
      <c r="O453" s="29">
        <f t="shared" ref="O453:O516" si="53">G453/G452-1</f>
        <v>-5.5259146341463117E-3</v>
      </c>
      <c r="P453" s="30">
        <f t="shared" ref="P453:P516" si="54">H453/H452-1</f>
        <v>-4.9805864238854358E-3</v>
      </c>
      <c r="Z453" s="3"/>
      <c r="AA453" s="3"/>
      <c r="AB453" s="3"/>
      <c r="AC453" s="3"/>
      <c r="AD453" s="3"/>
      <c r="AE453" s="7"/>
    </row>
    <row r="454" spans="2:31" x14ac:dyDescent="0.15">
      <c r="B454" s="16">
        <v>42993</v>
      </c>
      <c r="C454" s="23">
        <v>26891</v>
      </c>
      <c r="D454" s="23">
        <v>11429</v>
      </c>
      <c r="E454" s="23">
        <v>26086</v>
      </c>
      <c r="F454" s="23">
        <v>34917</v>
      </c>
      <c r="G454" s="23">
        <v>15732</v>
      </c>
      <c r="H454" s="24">
        <v>37806</v>
      </c>
      <c r="I454" s="2">
        <f t="shared" si="48"/>
        <v>450</v>
      </c>
      <c r="J454" s="16">
        <v>42993</v>
      </c>
      <c r="K454" s="29">
        <f t="shared" si="49"/>
        <v>3.2680491551459356E-2</v>
      </c>
      <c r="L454" s="29">
        <f t="shared" si="50"/>
        <v>-2.2697512003492237E-3</v>
      </c>
      <c r="M454" s="29">
        <f t="shared" si="51"/>
        <v>1.1513662879951703E-3</v>
      </c>
      <c r="N454" s="29">
        <f t="shared" si="52"/>
        <v>2.7756519691528814E-2</v>
      </c>
      <c r="O454" s="29">
        <f t="shared" si="53"/>
        <v>4.7901896915116815E-3</v>
      </c>
      <c r="P454" s="30">
        <f t="shared" si="54"/>
        <v>1.7411663392448595E-2</v>
      </c>
      <c r="Z454" s="3"/>
      <c r="AA454" s="3"/>
      <c r="AB454" s="3"/>
      <c r="AC454" s="3"/>
      <c r="AD454" s="3"/>
      <c r="AE454" s="7"/>
    </row>
    <row r="455" spans="2:31" x14ac:dyDescent="0.15">
      <c r="B455" s="16">
        <v>43000</v>
      </c>
      <c r="C455" s="23">
        <v>27413</v>
      </c>
      <c r="D455" s="23">
        <v>11431</v>
      </c>
      <c r="E455" s="23">
        <v>25886</v>
      </c>
      <c r="F455" s="23">
        <v>35653</v>
      </c>
      <c r="G455" s="23">
        <v>15991</v>
      </c>
      <c r="H455" s="24">
        <v>37905</v>
      </c>
      <c r="I455" s="2">
        <f t="shared" ref="I455:I518" si="55">I454+1</f>
        <v>451</v>
      </c>
      <c r="J455" s="16">
        <v>43000</v>
      </c>
      <c r="K455" s="29">
        <f t="shared" si="49"/>
        <v>1.9411699081476996E-2</v>
      </c>
      <c r="L455" s="29">
        <f t="shared" si="50"/>
        <v>1.7499343774618481E-4</v>
      </c>
      <c r="M455" s="29">
        <f t="shared" si="51"/>
        <v>-7.6669477880855208E-3</v>
      </c>
      <c r="N455" s="29">
        <f t="shared" si="52"/>
        <v>2.1078557722599367E-2</v>
      </c>
      <c r="O455" s="29">
        <f t="shared" si="53"/>
        <v>1.6463259598270996E-2</v>
      </c>
      <c r="P455" s="30">
        <f t="shared" si="54"/>
        <v>2.6186319631804622E-3</v>
      </c>
      <c r="Z455" s="3"/>
      <c r="AA455" s="3"/>
      <c r="AB455" s="3"/>
      <c r="AC455" s="3"/>
      <c r="AD455" s="3"/>
      <c r="AE455" s="7"/>
    </row>
    <row r="456" spans="2:31" x14ac:dyDescent="0.15">
      <c r="B456" s="16">
        <v>43007</v>
      </c>
      <c r="C456" s="23">
        <v>27663</v>
      </c>
      <c r="D456" s="23">
        <v>11391</v>
      </c>
      <c r="E456" s="23">
        <v>25876</v>
      </c>
      <c r="F456" s="23">
        <v>35845</v>
      </c>
      <c r="G456" s="23">
        <v>15923</v>
      </c>
      <c r="H456" s="24">
        <v>37959</v>
      </c>
      <c r="I456" s="2">
        <f t="shared" si="55"/>
        <v>452</v>
      </c>
      <c r="J456" s="16">
        <v>43007</v>
      </c>
      <c r="K456" s="29">
        <f t="shared" si="49"/>
        <v>9.1197606974793288E-3</v>
      </c>
      <c r="L456" s="29">
        <f t="shared" si="50"/>
        <v>-3.499256408013296E-3</v>
      </c>
      <c r="M456" s="29">
        <f t="shared" si="51"/>
        <v>-3.8630920188520435E-4</v>
      </c>
      <c r="N456" s="29">
        <f t="shared" si="52"/>
        <v>5.3852410736825451E-3</v>
      </c>
      <c r="O456" s="29">
        <f t="shared" si="53"/>
        <v>-4.2523919704834379E-3</v>
      </c>
      <c r="P456" s="30">
        <f t="shared" si="54"/>
        <v>1.4246141669964629E-3</v>
      </c>
      <c r="Z456" s="3"/>
      <c r="AA456" s="3"/>
      <c r="AB456" s="3"/>
      <c r="AC456" s="3"/>
      <c r="AD456" s="3"/>
      <c r="AE456" s="7"/>
    </row>
    <row r="457" spans="2:31" x14ac:dyDescent="0.15">
      <c r="B457" s="16">
        <v>43014</v>
      </c>
      <c r="C457" s="23">
        <v>28114</v>
      </c>
      <c r="D457" s="23">
        <v>11389</v>
      </c>
      <c r="E457" s="23">
        <v>25754</v>
      </c>
      <c r="F457" s="23">
        <v>36334</v>
      </c>
      <c r="G457" s="23">
        <v>15856</v>
      </c>
      <c r="H457" s="24">
        <v>38147</v>
      </c>
      <c r="I457" s="2">
        <f t="shared" si="55"/>
        <v>453</v>
      </c>
      <c r="J457" s="16">
        <v>43014</v>
      </c>
      <c r="K457" s="29">
        <f t="shared" si="49"/>
        <v>1.6303365506271872E-2</v>
      </c>
      <c r="L457" s="29">
        <f t="shared" si="50"/>
        <v>-1.755772100781039E-4</v>
      </c>
      <c r="M457" s="29">
        <f t="shared" si="51"/>
        <v>-4.7147936311640049E-3</v>
      </c>
      <c r="N457" s="29">
        <f t="shared" si="52"/>
        <v>1.3642070023713204E-2</v>
      </c>
      <c r="O457" s="29">
        <f t="shared" si="53"/>
        <v>-4.207749795892779E-3</v>
      </c>
      <c r="P457" s="30">
        <f t="shared" si="54"/>
        <v>4.9527121367791693E-3</v>
      </c>
      <c r="Z457" s="3"/>
      <c r="AA457" s="3"/>
      <c r="AB457" s="3"/>
      <c r="AC457" s="3"/>
      <c r="AD457" s="3"/>
      <c r="AE457" s="7"/>
    </row>
    <row r="458" spans="2:31" x14ac:dyDescent="0.15">
      <c r="B458" s="16">
        <v>43021</v>
      </c>
      <c r="C458" s="23">
        <v>28739</v>
      </c>
      <c r="D458" s="23">
        <v>11386</v>
      </c>
      <c r="E458" s="23">
        <v>25446</v>
      </c>
      <c r="F458" s="23">
        <v>36285</v>
      </c>
      <c r="G458" s="23">
        <v>15890</v>
      </c>
      <c r="H458" s="24">
        <v>38335</v>
      </c>
      <c r="I458" s="2">
        <f t="shared" si="55"/>
        <v>454</v>
      </c>
      <c r="J458" s="16">
        <v>43021</v>
      </c>
      <c r="K458" s="29">
        <f t="shared" si="49"/>
        <v>2.2230916980863658E-2</v>
      </c>
      <c r="L458" s="29">
        <f t="shared" si="50"/>
        <v>-2.6341206427249464E-4</v>
      </c>
      <c r="M458" s="29">
        <f t="shared" si="51"/>
        <v>-1.1959307292071175E-2</v>
      </c>
      <c r="N458" s="29">
        <f t="shared" si="52"/>
        <v>-1.3485991082732296E-3</v>
      </c>
      <c r="O458" s="29">
        <f t="shared" si="53"/>
        <v>2.1442986881936577E-3</v>
      </c>
      <c r="P458" s="30">
        <f t="shared" si="54"/>
        <v>4.9283036673919423E-3</v>
      </c>
      <c r="Z458" s="3"/>
      <c r="AA458" s="3"/>
      <c r="AB458" s="3"/>
      <c r="AC458" s="3"/>
      <c r="AD458" s="3"/>
      <c r="AE458" s="7"/>
    </row>
    <row r="459" spans="2:31" x14ac:dyDescent="0.15">
      <c r="B459" s="16">
        <v>43028</v>
      </c>
      <c r="C459" s="23">
        <v>29145</v>
      </c>
      <c r="D459" s="23">
        <v>11375</v>
      </c>
      <c r="E459" s="23">
        <v>25754</v>
      </c>
      <c r="F459" s="23">
        <v>36523</v>
      </c>
      <c r="G459" s="23">
        <v>15995</v>
      </c>
      <c r="H459" s="24">
        <v>38390</v>
      </c>
      <c r="I459" s="2">
        <f t="shared" si="55"/>
        <v>455</v>
      </c>
      <c r="J459" s="16">
        <v>43028</v>
      </c>
      <c r="K459" s="29">
        <f t="shared" si="49"/>
        <v>1.412714429868811E-2</v>
      </c>
      <c r="L459" s="29">
        <f t="shared" si="50"/>
        <v>-9.6609871772357359E-4</v>
      </c>
      <c r="M459" s="29">
        <f t="shared" si="51"/>
        <v>1.2104063507034413E-2</v>
      </c>
      <c r="N459" s="29">
        <f t="shared" si="52"/>
        <v>6.5591842359100649E-3</v>
      </c>
      <c r="O459" s="29">
        <f t="shared" si="53"/>
        <v>6.6079295154184425E-3</v>
      </c>
      <c r="P459" s="30">
        <f t="shared" si="54"/>
        <v>1.4347202295552641E-3</v>
      </c>
      <c r="Z459" s="3"/>
      <c r="AA459" s="3"/>
      <c r="AB459" s="3"/>
      <c r="AC459" s="3"/>
      <c r="AD459" s="3"/>
      <c r="AE459" s="7"/>
    </row>
    <row r="460" spans="2:31" x14ac:dyDescent="0.15">
      <c r="B460" s="16">
        <v>43035</v>
      </c>
      <c r="C460" s="23">
        <v>29899</v>
      </c>
      <c r="D460" s="23">
        <v>11383</v>
      </c>
      <c r="E460" s="23">
        <v>25611</v>
      </c>
      <c r="F460" s="23">
        <v>36789</v>
      </c>
      <c r="G460" s="23">
        <v>15959</v>
      </c>
      <c r="H460" s="24">
        <v>37972</v>
      </c>
      <c r="I460" s="2">
        <f t="shared" si="55"/>
        <v>456</v>
      </c>
      <c r="J460" s="16">
        <v>43035</v>
      </c>
      <c r="K460" s="29">
        <f t="shared" si="49"/>
        <v>2.5870646766169125E-2</v>
      </c>
      <c r="L460" s="29">
        <f t="shared" si="50"/>
        <v>7.0329670329671856E-4</v>
      </c>
      <c r="M460" s="29">
        <f t="shared" si="51"/>
        <v>-5.5525355284615774E-3</v>
      </c>
      <c r="N460" s="29">
        <f t="shared" si="52"/>
        <v>7.2830818936013841E-3</v>
      </c>
      <c r="O460" s="29">
        <f t="shared" si="53"/>
        <v>-2.2507033447952685E-3</v>
      </c>
      <c r="P460" s="30">
        <f t="shared" si="54"/>
        <v>-1.0888252148997135E-2</v>
      </c>
      <c r="Z460" s="3"/>
      <c r="AA460" s="3"/>
      <c r="AB460" s="3"/>
      <c r="AC460" s="3"/>
      <c r="AD460" s="3"/>
      <c r="AE460" s="7"/>
    </row>
    <row r="461" spans="2:31" x14ac:dyDescent="0.15">
      <c r="B461" s="16">
        <v>43042</v>
      </c>
      <c r="C461" s="23">
        <v>30609</v>
      </c>
      <c r="D461" s="23">
        <v>11395</v>
      </c>
      <c r="E461" s="23">
        <v>25597</v>
      </c>
      <c r="F461" s="23">
        <v>37072</v>
      </c>
      <c r="G461" s="23">
        <v>16051</v>
      </c>
      <c r="H461" s="24">
        <v>38208</v>
      </c>
      <c r="I461" s="2">
        <f t="shared" si="55"/>
        <v>457</v>
      </c>
      <c r="J461" s="16">
        <v>43042</v>
      </c>
      <c r="K461" s="29">
        <f t="shared" si="49"/>
        <v>2.3746613599117117E-2</v>
      </c>
      <c r="L461" s="29">
        <f t="shared" si="50"/>
        <v>1.0542036370024821E-3</v>
      </c>
      <c r="M461" s="29">
        <f t="shared" si="51"/>
        <v>-5.4664011557536973E-4</v>
      </c>
      <c r="N461" s="29">
        <f t="shared" si="52"/>
        <v>7.6925167849084541E-3</v>
      </c>
      <c r="O461" s="29">
        <f t="shared" si="53"/>
        <v>5.7647722288363124E-3</v>
      </c>
      <c r="P461" s="30">
        <f t="shared" si="54"/>
        <v>6.2151058674813076E-3</v>
      </c>
      <c r="Z461" s="3"/>
      <c r="AA461" s="3"/>
      <c r="AB461" s="3"/>
      <c r="AC461" s="3"/>
      <c r="AD461" s="3"/>
      <c r="AE461" s="7"/>
    </row>
    <row r="462" spans="2:31" x14ac:dyDescent="0.15">
      <c r="B462" s="16">
        <v>43049</v>
      </c>
      <c r="C462" s="23">
        <v>30779</v>
      </c>
      <c r="D462" s="23">
        <v>11416</v>
      </c>
      <c r="E462" s="23">
        <v>25180</v>
      </c>
      <c r="F462" s="23">
        <v>36835</v>
      </c>
      <c r="G462" s="23">
        <v>15980</v>
      </c>
      <c r="H462" s="24">
        <v>38789</v>
      </c>
      <c r="I462" s="2">
        <f t="shared" si="55"/>
        <v>458</v>
      </c>
      <c r="J462" s="16">
        <v>43049</v>
      </c>
      <c r="K462" s="29">
        <f t="shared" si="49"/>
        <v>5.5539220490705699E-3</v>
      </c>
      <c r="L462" s="29">
        <f t="shared" si="50"/>
        <v>1.8429135585782408E-3</v>
      </c>
      <c r="M462" s="29">
        <f t="shared" si="51"/>
        <v>-1.6290971598234116E-2</v>
      </c>
      <c r="N462" s="29">
        <f t="shared" si="52"/>
        <v>-6.3929650410012862E-3</v>
      </c>
      <c r="O462" s="29">
        <f t="shared" si="53"/>
        <v>-4.4234004111893821E-3</v>
      </c>
      <c r="P462" s="30">
        <f t="shared" si="54"/>
        <v>1.5206239530988208E-2</v>
      </c>
      <c r="Z462" s="3"/>
      <c r="AA462" s="3"/>
      <c r="AB462" s="3"/>
      <c r="AC462" s="3"/>
      <c r="AD462" s="3"/>
      <c r="AE462" s="7"/>
    </row>
    <row r="463" spans="2:31" x14ac:dyDescent="0.15">
      <c r="B463" s="16">
        <v>43056</v>
      </c>
      <c r="C463" s="23">
        <v>30423</v>
      </c>
      <c r="D463" s="23">
        <v>11414</v>
      </c>
      <c r="E463" s="23">
        <v>25855</v>
      </c>
      <c r="F463" s="23">
        <v>36657</v>
      </c>
      <c r="G463" s="23">
        <v>15984</v>
      </c>
      <c r="H463" s="24">
        <v>38789</v>
      </c>
      <c r="I463" s="2">
        <f t="shared" si="55"/>
        <v>459</v>
      </c>
      <c r="J463" s="16">
        <v>43056</v>
      </c>
      <c r="K463" s="29">
        <f t="shared" si="49"/>
        <v>-1.1566327690958111E-2</v>
      </c>
      <c r="L463" s="29">
        <f t="shared" si="50"/>
        <v>-1.7519271198318531E-4</v>
      </c>
      <c r="M463" s="29">
        <f t="shared" si="51"/>
        <v>2.6806989674344806E-2</v>
      </c>
      <c r="N463" s="29">
        <f t="shared" si="52"/>
        <v>-4.8323605266730185E-3</v>
      </c>
      <c r="O463" s="29">
        <f t="shared" si="53"/>
        <v>2.5031289111399069E-4</v>
      </c>
      <c r="P463" s="30">
        <f t="shared" si="54"/>
        <v>0</v>
      </c>
      <c r="Z463" s="3"/>
      <c r="AA463" s="3"/>
      <c r="AB463" s="3"/>
      <c r="AC463" s="3"/>
      <c r="AD463" s="3"/>
      <c r="AE463" s="7"/>
    </row>
    <row r="464" spans="2:31" x14ac:dyDescent="0.15">
      <c r="B464" s="16">
        <v>43063</v>
      </c>
      <c r="C464" s="23">
        <v>30619</v>
      </c>
      <c r="D464" s="23">
        <v>11417</v>
      </c>
      <c r="E464" s="23">
        <v>26351</v>
      </c>
      <c r="F464" s="23">
        <v>36427</v>
      </c>
      <c r="G464" s="23">
        <v>15874</v>
      </c>
      <c r="H464" s="24">
        <v>38394</v>
      </c>
      <c r="I464" s="2">
        <f t="shared" si="55"/>
        <v>460</v>
      </c>
      <c r="J464" s="16">
        <v>43063</v>
      </c>
      <c r="K464" s="29">
        <f t="shared" si="49"/>
        <v>6.4424941655985002E-3</v>
      </c>
      <c r="L464" s="29">
        <f t="shared" si="50"/>
        <v>2.6283511477132038E-4</v>
      </c>
      <c r="M464" s="29">
        <f t="shared" si="51"/>
        <v>1.9183910268806725E-2</v>
      </c>
      <c r="N464" s="29">
        <f t="shared" si="52"/>
        <v>-6.2743814278309884E-3</v>
      </c>
      <c r="O464" s="29">
        <f t="shared" si="53"/>
        <v>-6.8818818818818794E-3</v>
      </c>
      <c r="P464" s="30">
        <f t="shared" si="54"/>
        <v>-1.0183299389002087E-2</v>
      </c>
      <c r="Z464" s="3"/>
      <c r="AA464" s="3"/>
      <c r="AB464" s="3"/>
      <c r="AC464" s="3"/>
      <c r="AD464" s="3"/>
      <c r="AE464" s="7"/>
    </row>
    <row r="465" spans="2:31" x14ac:dyDescent="0.15">
      <c r="B465" s="16">
        <v>43070</v>
      </c>
      <c r="C465" s="23">
        <v>30969</v>
      </c>
      <c r="D465" s="23">
        <v>11410</v>
      </c>
      <c r="E465" s="23">
        <v>26237</v>
      </c>
      <c r="F465" s="23">
        <v>37232</v>
      </c>
      <c r="G465" s="23">
        <v>16031</v>
      </c>
      <c r="H465" s="24">
        <v>38697</v>
      </c>
      <c r="I465" s="2">
        <f t="shared" si="55"/>
        <v>461</v>
      </c>
      <c r="J465" s="16">
        <v>43070</v>
      </c>
      <c r="K465" s="29">
        <f t="shared" si="49"/>
        <v>1.1430810934387248E-2</v>
      </c>
      <c r="L465" s="29">
        <f t="shared" si="50"/>
        <v>-6.1312078479458521E-4</v>
      </c>
      <c r="M465" s="29">
        <f t="shared" si="51"/>
        <v>-4.3262115289742775E-3</v>
      </c>
      <c r="N465" s="29">
        <f t="shared" si="52"/>
        <v>2.2098992505559023E-2</v>
      </c>
      <c r="O465" s="29">
        <f t="shared" si="53"/>
        <v>9.8903867960187242E-3</v>
      </c>
      <c r="P465" s="30">
        <f t="shared" si="54"/>
        <v>7.8918581028286638E-3</v>
      </c>
      <c r="Z465" s="3"/>
      <c r="AA465" s="3"/>
      <c r="AB465" s="3"/>
      <c r="AC465" s="3"/>
      <c r="AD465" s="3"/>
      <c r="AE465" s="7"/>
    </row>
    <row r="466" spans="2:31" x14ac:dyDescent="0.15">
      <c r="B466" s="16">
        <v>43077</v>
      </c>
      <c r="C466" s="23">
        <v>30959</v>
      </c>
      <c r="D466" s="23">
        <v>11413</v>
      </c>
      <c r="E466" s="23">
        <v>26073</v>
      </c>
      <c r="F466" s="23">
        <v>37275</v>
      </c>
      <c r="G466" s="23">
        <v>16108</v>
      </c>
      <c r="H466" s="24">
        <v>38697</v>
      </c>
      <c r="I466" s="2">
        <f t="shared" si="55"/>
        <v>462</v>
      </c>
      <c r="J466" s="16">
        <v>43077</v>
      </c>
      <c r="K466" s="29">
        <f t="shared" si="49"/>
        <v>-3.2290354871000737E-4</v>
      </c>
      <c r="L466" s="29">
        <f t="shared" si="50"/>
        <v>2.6292725679222251E-4</v>
      </c>
      <c r="M466" s="29">
        <f t="shared" si="51"/>
        <v>-6.2507146396310054E-3</v>
      </c>
      <c r="N466" s="29">
        <f t="shared" si="52"/>
        <v>1.1549204984959704E-3</v>
      </c>
      <c r="O466" s="29">
        <f t="shared" si="53"/>
        <v>4.803193811989237E-3</v>
      </c>
      <c r="P466" s="30">
        <f t="shared" si="54"/>
        <v>0</v>
      </c>
      <c r="Z466" s="3"/>
      <c r="AA466" s="3"/>
      <c r="AB466" s="3"/>
      <c r="AC466" s="3"/>
      <c r="AD466" s="3"/>
      <c r="AE466" s="7"/>
    </row>
    <row r="467" spans="2:31" x14ac:dyDescent="0.15">
      <c r="B467" s="16">
        <v>43084</v>
      </c>
      <c r="C467" s="23">
        <v>30607</v>
      </c>
      <c r="D467" s="23">
        <v>11419</v>
      </c>
      <c r="E467" s="23">
        <v>26362</v>
      </c>
      <c r="F467" s="23">
        <v>37239</v>
      </c>
      <c r="G467" s="23">
        <v>16008</v>
      </c>
      <c r="H467" s="24">
        <v>38927</v>
      </c>
      <c r="I467" s="2">
        <f t="shared" si="55"/>
        <v>463</v>
      </c>
      <c r="J467" s="16">
        <v>43084</v>
      </c>
      <c r="K467" s="29">
        <f t="shared" si="49"/>
        <v>-1.1369876287993796E-2</v>
      </c>
      <c r="L467" s="29">
        <f t="shared" si="50"/>
        <v>5.2571628844311213E-4</v>
      </c>
      <c r="M467" s="29">
        <f t="shared" si="51"/>
        <v>1.1084263414260054E-2</v>
      </c>
      <c r="N467" s="29">
        <f t="shared" si="52"/>
        <v>-9.6579476861169411E-4</v>
      </c>
      <c r="O467" s="29">
        <f t="shared" si="53"/>
        <v>-6.2080953563447006E-3</v>
      </c>
      <c r="P467" s="30">
        <f t="shared" si="54"/>
        <v>5.9436131999897057E-3</v>
      </c>
      <c r="Z467" s="3"/>
      <c r="AA467" s="3"/>
      <c r="AB467" s="3"/>
      <c r="AC467" s="3"/>
      <c r="AD467" s="3"/>
      <c r="AE467" s="7"/>
    </row>
    <row r="468" spans="2:31" x14ac:dyDescent="0.15">
      <c r="B468" s="16">
        <v>43091</v>
      </c>
      <c r="C468" s="23">
        <v>31076</v>
      </c>
      <c r="D468" s="23">
        <v>11413</v>
      </c>
      <c r="E468" s="23">
        <v>26094</v>
      </c>
      <c r="F468" s="23">
        <v>38020</v>
      </c>
      <c r="G468" s="23">
        <v>16079</v>
      </c>
      <c r="H468" s="24">
        <v>38639</v>
      </c>
      <c r="I468" s="2">
        <f t="shared" si="55"/>
        <v>464</v>
      </c>
      <c r="J468" s="16">
        <v>43091</v>
      </c>
      <c r="K468" s="29">
        <f t="shared" si="49"/>
        <v>1.5323292057372484E-2</v>
      </c>
      <c r="L468" s="29">
        <f t="shared" si="50"/>
        <v>-5.25440056046933E-4</v>
      </c>
      <c r="M468" s="29">
        <f t="shared" si="51"/>
        <v>-1.0166148243684114E-2</v>
      </c>
      <c r="N468" s="29">
        <f t="shared" si="52"/>
        <v>2.0972636214721119E-2</v>
      </c>
      <c r="O468" s="29">
        <f t="shared" si="53"/>
        <v>4.4352823588205137E-3</v>
      </c>
      <c r="P468" s="30">
        <f t="shared" si="54"/>
        <v>-7.398463791198906E-3</v>
      </c>
      <c r="Z468" s="3"/>
      <c r="AA468" s="3"/>
      <c r="AB468" s="3"/>
      <c r="AC468" s="3"/>
      <c r="AD468" s="3"/>
      <c r="AE468" s="7"/>
    </row>
    <row r="469" spans="2:31" x14ac:dyDescent="0.15">
      <c r="B469" s="16">
        <v>43098</v>
      </c>
      <c r="C469" s="23">
        <v>30927</v>
      </c>
      <c r="D469" s="23">
        <v>11413</v>
      </c>
      <c r="E469" s="23">
        <v>26243</v>
      </c>
      <c r="F469" s="23">
        <v>38010</v>
      </c>
      <c r="G469" s="23">
        <v>16116</v>
      </c>
      <c r="H469" s="24">
        <v>39224</v>
      </c>
      <c r="I469" s="2">
        <f t="shared" si="55"/>
        <v>465</v>
      </c>
      <c r="J469" s="16">
        <v>43098</v>
      </c>
      <c r="K469" s="29">
        <f t="shared" si="49"/>
        <v>-4.7946968721843675E-3</v>
      </c>
      <c r="L469" s="29">
        <f t="shared" si="50"/>
        <v>0</v>
      </c>
      <c r="M469" s="29">
        <f t="shared" si="51"/>
        <v>5.7101249329347681E-3</v>
      </c>
      <c r="N469" s="29">
        <f t="shared" si="52"/>
        <v>-2.6301946344031712E-4</v>
      </c>
      <c r="O469" s="29">
        <f t="shared" si="53"/>
        <v>2.3011381304807177E-3</v>
      </c>
      <c r="P469" s="30">
        <f t="shared" si="54"/>
        <v>1.5140143378451931E-2</v>
      </c>
      <c r="Z469" s="3"/>
      <c r="AA469" s="3"/>
      <c r="AB469" s="3"/>
      <c r="AC469" s="3"/>
      <c r="AD469" s="3"/>
      <c r="AE469" s="7"/>
    </row>
    <row r="470" spans="2:31" x14ac:dyDescent="0.15">
      <c r="B470" s="16">
        <v>43105</v>
      </c>
      <c r="C470" s="23">
        <v>32204</v>
      </c>
      <c r="D470" s="23">
        <v>11405</v>
      </c>
      <c r="E470" s="23">
        <v>26324</v>
      </c>
      <c r="F470" s="23">
        <v>38565</v>
      </c>
      <c r="G470" s="23">
        <v>16165</v>
      </c>
      <c r="H470" s="24">
        <v>38601</v>
      </c>
      <c r="I470" s="2">
        <f t="shared" si="55"/>
        <v>466</v>
      </c>
      <c r="J470" s="16">
        <v>43105</v>
      </c>
      <c r="K470" s="29">
        <f t="shared" si="49"/>
        <v>4.1290781517767661E-2</v>
      </c>
      <c r="L470" s="29">
        <f t="shared" si="50"/>
        <v>-7.0095505125733482E-4</v>
      </c>
      <c r="M470" s="29">
        <f t="shared" si="51"/>
        <v>3.0865373623443215E-3</v>
      </c>
      <c r="N470" s="29">
        <f t="shared" si="52"/>
        <v>1.4601420678768795E-2</v>
      </c>
      <c r="O470" s="29">
        <f t="shared" si="53"/>
        <v>3.0404566890047668E-3</v>
      </c>
      <c r="P470" s="30">
        <f t="shared" si="54"/>
        <v>-1.5883132775851516E-2</v>
      </c>
      <c r="Z470" s="3"/>
      <c r="AA470" s="3"/>
      <c r="AB470" s="3"/>
      <c r="AC470" s="3"/>
      <c r="AD470" s="3"/>
      <c r="AE470" s="7"/>
    </row>
    <row r="471" spans="2:31" x14ac:dyDescent="0.15">
      <c r="B471" s="16">
        <v>43112</v>
      </c>
      <c r="C471" s="23">
        <v>32119</v>
      </c>
      <c r="D471" s="23">
        <v>11390</v>
      </c>
      <c r="E471" s="23">
        <v>26740</v>
      </c>
      <c r="F471" s="23">
        <v>38495</v>
      </c>
      <c r="G471" s="23">
        <v>15864</v>
      </c>
      <c r="H471" s="24">
        <v>37496</v>
      </c>
      <c r="I471" s="2">
        <f t="shared" si="55"/>
        <v>467</v>
      </c>
      <c r="J471" s="16">
        <v>43112</v>
      </c>
      <c r="K471" s="29">
        <f t="shared" si="49"/>
        <v>-2.6394236740777677E-3</v>
      </c>
      <c r="L471" s="29">
        <f t="shared" si="50"/>
        <v>-1.3152126260411734E-3</v>
      </c>
      <c r="M471" s="29">
        <f t="shared" si="51"/>
        <v>1.5803069442333895E-2</v>
      </c>
      <c r="N471" s="29">
        <f t="shared" si="52"/>
        <v>-1.815117334370564E-3</v>
      </c>
      <c r="O471" s="29">
        <f t="shared" si="53"/>
        <v>-1.8620476337766756E-2</v>
      </c>
      <c r="P471" s="30">
        <f t="shared" si="54"/>
        <v>-2.8626201393746276E-2</v>
      </c>
      <c r="Z471" s="3"/>
      <c r="AA471" s="3"/>
      <c r="AB471" s="3"/>
      <c r="AC471" s="3"/>
      <c r="AD471" s="3"/>
      <c r="AE471" s="7"/>
    </row>
    <row r="472" spans="2:31" x14ac:dyDescent="0.15">
      <c r="B472" s="16">
        <v>43119</v>
      </c>
      <c r="C472" s="23">
        <v>32320</v>
      </c>
      <c r="D472" s="23">
        <v>11388</v>
      </c>
      <c r="E472" s="23">
        <v>27459</v>
      </c>
      <c r="F472" s="23">
        <v>38919</v>
      </c>
      <c r="G472" s="23">
        <v>15984</v>
      </c>
      <c r="H472" s="24">
        <v>37366</v>
      </c>
      <c r="I472" s="2">
        <f t="shared" si="55"/>
        <v>468</v>
      </c>
      <c r="J472" s="16">
        <v>43119</v>
      </c>
      <c r="K472" s="29">
        <f t="shared" si="49"/>
        <v>6.2579781437779314E-3</v>
      </c>
      <c r="L472" s="29">
        <f t="shared" si="50"/>
        <v>-1.7559262510979945E-4</v>
      </c>
      <c r="M472" s="29">
        <f t="shared" si="51"/>
        <v>2.6888556469708336E-2</v>
      </c>
      <c r="N472" s="29">
        <f t="shared" si="52"/>
        <v>1.1014417456812531E-2</v>
      </c>
      <c r="O472" s="29">
        <f t="shared" si="53"/>
        <v>7.5642965204236745E-3</v>
      </c>
      <c r="P472" s="30">
        <f t="shared" si="54"/>
        <v>-3.4670364838915724E-3</v>
      </c>
      <c r="Z472" s="3"/>
      <c r="AA472" s="3"/>
      <c r="AB472" s="3"/>
      <c r="AC472" s="3"/>
      <c r="AD472" s="3"/>
      <c r="AE472" s="7"/>
    </row>
    <row r="473" spans="2:31" x14ac:dyDescent="0.15">
      <c r="B473" s="16">
        <v>43126</v>
      </c>
      <c r="C473" s="23">
        <v>32075</v>
      </c>
      <c r="D473" s="23">
        <v>11394</v>
      </c>
      <c r="E473" s="23">
        <v>27638</v>
      </c>
      <c r="F473" s="23">
        <v>38974</v>
      </c>
      <c r="G473" s="23">
        <v>15910</v>
      </c>
      <c r="H473" s="24">
        <v>37582</v>
      </c>
      <c r="I473" s="2">
        <f t="shared" si="55"/>
        <v>469</v>
      </c>
      <c r="J473" s="16">
        <v>43126</v>
      </c>
      <c r="K473" s="29">
        <f t="shared" si="49"/>
        <v>-7.5804455445545038E-3</v>
      </c>
      <c r="L473" s="29">
        <f t="shared" si="50"/>
        <v>5.268703898841931E-4</v>
      </c>
      <c r="M473" s="29">
        <f t="shared" si="51"/>
        <v>6.5188098619759494E-3</v>
      </c>
      <c r="N473" s="29">
        <f t="shared" si="52"/>
        <v>1.4131915002955076E-3</v>
      </c>
      <c r="O473" s="29">
        <f t="shared" si="53"/>
        <v>-4.6296296296296502E-3</v>
      </c>
      <c r="P473" s="30">
        <f t="shared" si="54"/>
        <v>5.7806562115292337E-3</v>
      </c>
      <c r="Z473" s="3"/>
      <c r="AA473" s="3"/>
      <c r="AB473" s="3"/>
      <c r="AC473" s="3"/>
      <c r="AD473" s="3"/>
      <c r="AE473" s="7"/>
    </row>
    <row r="474" spans="2:31" x14ac:dyDescent="0.15">
      <c r="B474" s="16">
        <v>43133</v>
      </c>
      <c r="C474" s="23">
        <v>31590</v>
      </c>
      <c r="D474" s="23">
        <v>11387</v>
      </c>
      <c r="E474" s="23">
        <v>27470</v>
      </c>
      <c r="F474" s="23">
        <v>38643</v>
      </c>
      <c r="G474" s="23">
        <v>15861</v>
      </c>
      <c r="H474" s="24">
        <v>36745</v>
      </c>
      <c r="I474" s="2">
        <f t="shared" si="55"/>
        <v>470</v>
      </c>
      <c r="J474" s="16">
        <v>43133</v>
      </c>
      <c r="K474" s="29">
        <f t="shared" si="49"/>
        <v>-1.5120810600155909E-2</v>
      </c>
      <c r="L474" s="29">
        <f t="shared" si="50"/>
        <v>-6.1435843426360659E-4</v>
      </c>
      <c r="M474" s="29">
        <f t="shared" si="51"/>
        <v>-6.0785874520588035E-3</v>
      </c>
      <c r="N474" s="29">
        <f t="shared" si="52"/>
        <v>-8.4928413814338022E-3</v>
      </c>
      <c r="O474" s="29">
        <f t="shared" si="53"/>
        <v>-3.0798240100565755E-3</v>
      </c>
      <c r="P474" s="30">
        <f t="shared" si="54"/>
        <v>-2.2271300090468849E-2</v>
      </c>
      <c r="Z474" s="3"/>
      <c r="AA474" s="3"/>
      <c r="AB474" s="3"/>
      <c r="AC474" s="3"/>
      <c r="AD474" s="3"/>
      <c r="AE474" s="7"/>
    </row>
    <row r="475" spans="2:31" x14ac:dyDescent="0.15">
      <c r="B475" s="16">
        <v>43140</v>
      </c>
      <c r="C475" s="23">
        <v>29024</v>
      </c>
      <c r="D475" s="23">
        <v>11396</v>
      </c>
      <c r="E475" s="23">
        <v>26333</v>
      </c>
      <c r="F475" s="23">
        <v>35407</v>
      </c>
      <c r="G475" s="23">
        <v>15529</v>
      </c>
      <c r="H475" s="24">
        <v>34139</v>
      </c>
      <c r="I475" s="2">
        <f t="shared" si="55"/>
        <v>471</v>
      </c>
      <c r="J475" s="16">
        <v>43140</v>
      </c>
      <c r="K475" s="29">
        <f t="shared" si="49"/>
        <v>-8.1228236783792318E-2</v>
      </c>
      <c r="L475" s="29">
        <f t="shared" si="50"/>
        <v>7.9037498902256864E-4</v>
      </c>
      <c r="M475" s="29">
        <f t="shared" si="51"/>
        <v>-4.1390607935930079E-2</v>
      </c>
      <c r="N475" s="29">
        <f t="shared" si="52"/>
        <v>-8.3740910384804468E-2</v>
      </c>
      <c r="O475" s="29">
        <f t="shared" si="53"/>
        <v>-2.0931845406973126E-2</v>
      </c>
      <c r="P475" s="30">
        <f t="shared" si="54"/>
        <v>-7.0921213770581026E-2</v>
      </c>
      <c r="Z475" s="3"/>
      <c r="AA475" s="3"/>
      <c r="AB475" s="3"/>
      <c r="AC475" s="3"/>
      <c r="AD475" s="3"/>
      <c r="AE475" s="7"/>
    </row>
    <row r="476" spans="2:31" x14ac:dyDescent="0.15">
      <c r="B476" s="16">
        <v>43147</v>
      </c>
      <c r="C476" s="23">
        <v>29469</v>
      </c>
      <c r="D476" s="23">
        <v>11414</v>
      </c>
      <c r="E476" s="23">
        <v>26330</v>
      </c>
      <c r="F476" s="23">
        <v>36232</v>
      </c>
      <c r="G476" s="23">
        <v>15299</v>
      </c>
      <c r="H476" s="24">
        <v>34299</v>
      </c>
      <c r="I476" s="2">
        <f t="shared" si="55"/>
        <v>472</v>
      </c>
      <c r="J476" s="16">
        <v>43147</v>
      </c>
      <c r="K476" s="29">
        <f t="shared" si="49"/>
        <v>1.5332138919514904E-2</v>
      </c>
      <c r="L476" s="29">
        <f t="shared" si="50"/>
        <v>1.5795015795014855E-3</v>
      </c>
      <c r="M476" s="29">
        <f t="shared" si="51"/>
        <v>-1.1392549272770669E-4</v>
      </c>
      <c r="N476" s="29">
        <f t="shared" si="52"/>
        <v>2.3300477306747336E-2</v>
      </c>
      <c r="O476" s="29">
        <f t="shared" si="53"/>
        <v>-1.4810998776482731E-2</v>
      </c>
      <c r="P476" s="30">
        <f t="shared" si="54"/>
        <v>4.6867219309294494E-3</v>
      </c>
      <c r="Z476" s="3"/>
      <c r="AA476" s="3"/>
      <c r="AB476" s="3"/>
      <c r="AC476" s="3"/>
      <c r="AD476" s="3"/>
      <c r="AE476" s="7"/>
    </row>
    <row r="477" spans="2:31" x14ac:dyDescent="0.15">
      <c r="B477" s="16">
        <v>43154</v>
      </c>
      <c r="C477" s="23">
        <v>29699</v>
      </c>
      <c r="D477" s="23">
        <v>11427</v>
      </c>
      <c r="E477" s="23">
        <v>27024</v>
      </c>
      <c r="F477" s="23">
        <v>36185</v>
      </c>
      <c r="G477" s="23">
        <v>15290</v>
      </c>
      <c r="H477" s="24">
        <v>34232</v>
      </c>
      <c r="I477" s="2">
        <f t="shared" si="55"/>
        <v>473</v>
      </c>
      <c r="J477" s="16">
        <v>43154</v>
      </c>
      <c r="K477" s="29">
        <f t="shared" si="49"/>
        <v>7.8048118361668806E-3</v>
      </c>
      <c r="L477" s="29">
        <f t="shared" si="50"/>
        <v>1.138952164009055E-3</v>
      </c>
      <c r="M477" s="29">
        <f t="shared" si="51"/>
        <v>2.6357766805924721E-2</v>
      </c>
      <c r="N477" s="29">
        <f t="shared" si="52"/>
        <v>-1.2971958489732538E-3</v>
      </c>
      <c r="O477" s="29">
        <f t="shared" si="53"/>
        <v>-5.882737433818841E-4</v>
      </c>
      <c r="P477" s="30">
        <f t="shared" si="54"/>
        <v>-1.9534097204000345E-3</v>
      </c>
      <c r="Z477" s="3"/>
      <c r="AA477" s="3"/>
      <c r="AB477" s="3"/>
      <c r="AC477" s="3"/>
      <c r="AD477" s="3"/>
      <c r="AE477" s="7"/>
    </row>
    <row r="478" spans="2:31" x14ac:dyDescent="0.15">
      <c r="B478" s="16">
        <v>43161</v>
      </c>
      <c r="C478" s="23">
        <v>28745</v>
      </c>
      <c r="D478" s="23">
        <v>11417</v>
      </c>
      <c r="E478" s="23">
        <v>26637</v>
      </c>
      <c r="F478" s="23">
        <v>35523</v>
      </c>
      <c r="G478" s="23">
        <v>15225</v>
      </c>
      <c r="H478" s="24">
        <v>33851</v>
      </c>
      <c r="I478" s="2">
        <f t="shared" si="55"/>
        <v>474</v>
      </c>
      <c r="J478" s="16">
        <v>43161</v>
      </c>
      <c r="K478" s="29">
        <f t="shared" si="49"/>
        <v>-3.2122293679921921E-2</v>
      </c>
      <c r="L478" s="29">
        <f t="shared" si="50"/>
        <v>-8.7512032904524251E-4</v>
      </c>
      <c r="M478" s="29">
        <f t="shared" si="51"/>
        <v>-1.4320603907637675E-2</v>
      </c>
      <c r="N478" s="29">
        <f t="shared" si="52"/>
        <v>-1.829487356639492E-2</v>
      </c>
      <c r="O478" s="29">
        <f t="shared" si="53"/>
        <v>-4.2511445389142866E-3</v>
      </c>
      <c r="P478" s="30">
        <f t="shared" si="54"/>
        <v>-1.1129936901145165E-2</v>
      </c>
      <c r="Z478" s="3"/>
      <c r="AA478" s="3"/>
      <c r="AB478" s="3"/>
      <c r="AC478" s="3"/>
      <c r="AD478" s="3"/>
      <c r="AE478" s="7"/>
    </row>
    <row r="479" spans="2:31" x14ac:dyDescent="0.15">
      <c r="B479" s="16">
        <v>43168</v>
      </c>
      <c r="C479" s="23">
        <v>29139</v>
      </c>
      <c r="D479" s="23">
        <v>11435</v>
      </c>
      <c r="E479" s="23">
        <v>26393</v>
      </c>
      <c r="F479" s="23">
        <v>36306</v>
      </c>
      <c r="G479" s="23">
        <v>15307</v>
      </c>
      <c r="H479" s="24">
        <v>34576</v>
      </c>
      <c r="I479" s="2">
        <f t="shared" si="55"/>
        <v>475</v>
      </c>
      <c r="J479" s="16">
        <v>43168</v>
      </c>
      <c r="K479" s="29">
        <f t="shared" si="49"/>
        <v>1.3706731605496625E-2</v>
      </c>
      <c r="L479" s="29">
        <f t="shared" si="50"/>
        <v>1.5765963037575048E-3</v>
      </c>
      <c r="M479" s="29">
        <f t="shared" si="51"/>
        <v>-9.1601907121673376E-3</v>
      </c>
      <c r="N479" s="29">
        <f t="shared" si="52"/>
        <v>2.2042057258677472E-2</v>
      </c>
      <c r="O479" s="29">
        <f t="shared" si="53"/>
        <v>5.3858784893268119E-3</v>
      </c>
      <c r="P479" s="30">
        <f t="shared" si="54"/>
        <v>2.141738796490511E-2</v>
      </c>
      <c r="Z479" s="3"/>
      <c r="AA479" s="3"/>
      <c r="AB479" s="3"/>
      <c r="AC479" s="3"/>
      <c r="AD479" s="3"/>
      <c r="AE479" s="7"/>
    </row>
    <row r="480" spans="2:31" x14ac:dyDescent="0.15">
      <c r="B480" s="16">
        <v>43175</v>
      </c>
      <c r="C480" s="23">
        <v>29404</v>
      </c>
      <c r="D480" s="23">
        <v>11444</v>
      </c>
      <c r="E480" s="23">
        <v>26967</v>
      </c>
      <c r="F480" s="23">
        <v>36244</v>
      </c>
      <c r="G480" s="23">
        <v>15295</v>
      </c>
      <c r="H480" s="24">
        <v>34719</v>
      </c>
      <c r="I480" s="2">
        <f t="shared" si="55"/>
        <v>476</v>
      </c>
      <c r="J480" s="16">
        <v>43175</v>
      </c>
      <c r="K480" s="29">
        <f t="shared" si="49"/>
        <v>9.0943409176704737E-3</v>
      </c>
      <c r="L480" s="29">
        <f t="shared" si="50"/>
        <v>7.8705728027994581E-4</v>
      </c>
      <c r="M480" s="29">
        <f t="shared" si="51"/>
        <v>2.1748190808168921E-2</v>
      </c>
      <c r="N480" s="29">
        <f t="shared" si="52"/>
        <v>-1.707706715143531E-3</v>
      </c>
      <c r="O480" s="29">
        <f t="shared" si="53"/>
        <v>-7.8395505324357906E-4</v>
      </c>
      <c r="P480" s="30">
        <f t="shared" si="54"/>
        <v>4.1358167515039845E-3</v>
      </c>
      <c r="Z480" s="3"/>
      <c r="AA480" s="3"/>
      <c r="AB480" s="3"/>
      <c r="AC480" s="3"/>
      <c r="AD480" s="3"/>
      <c r="AE480" s="7"/>
    </row>
    <row r="481" spans="2:31" x14ac:dyDescent="0.15">
      <c r="B481" s="16">
        <v>43182</v>
      </c>
      <c r="C481" s="23">
        <v>27962</v>
      </c>
      <c r="D481" s="23">
        <v>11460</v>
      </c>
      <c r="E481" s="23">
        <v>26655</v>
      </c>
      <c r="F481" s="23">
        <v>34725</v>
      </c>
      <c r="G481" s="23">
        <v>15178</v>
      </c>
      <c r="H481" s="24">
        <v>33868</v>
      </c>
      <c r="I481" s="2">
        <f t="shared" si="55"/>
        <v>477</v>
      </c>
      <c r="J481" s="16">
        <v>43182</v>
      </c>
      <c r="K481" s="29">
        <f t="shared" si="49"/>
        <v>-4.9040946809957853E-2</v>
      </c>
      <c r="L481" s="29">
        <f t="shared" si="50"/>
        <v>1.3981125480602152E-3</v>
      </c>
      <c r="M481" s="29">
        <f t="shared" si="51"/>
        <v>-1.156969629547222E-2</v>
      </c>
      <c r="N481" s="29">
        <f t="shared" si="52"/>
        <v>-4.1910385167200137E-2</v>
      </c>
      <c r="O481" s="29">
        <f t="shared" si="53"/>
        <v>-7.6495586793069448E-3</v>
      </c>
      <c r="P481" s="30">
        <f t="shared" si="54"/>
        <v>-2.4511074627725504E-2</v>
      </c>
      <c r="Z481" s="3"/>
      <c r="AA481" s="3"/>
      <c r="AB481" s="3"/>
      <c r="AC481" s="3"/>
      <c r="AD481" s="3"/>
      <c r="AE481" s="7"/>
    </row>
    <row r="482" spans="2:31" x14ac:dyDescent="0.15">
      <c r="B482" s="16">
        <v>43189</v>
      </c>
      <c r="C482" s="23">
        <v>29321</v>
      </c>
      <c r="D482" s="23">
        <v>11446</v>
      </c>
      <c r="E482" s="23">
        <v>26916</v>
      </c>
      <c r="F482" s="23">
        <v>35094</v>
      </c>
      <c r="G482" s="23">
        <v>15399</v>
      </c>
      <c r="H482" s="24">
        <v>34738</v>
      </c>
      <c r="I482" s="2">
        <f t="shared" si="55"/>
        <v>478</v>
      </c>
      <c r="J482" s="16">
        <v>43189</v>
      </c>
      <c r="K482" s="29">
        <f t="shared" si="49"/>
        <v>4.8601673700021442E-2</v>
      </c>
      <c r="L482" s="29">
        <f t="shared" si="50"/>
        <v>-1.2216404886562504E-3</v>
      </c>
      <c r="M482" s="29">
        <f t="shared" si="51"/>
        <v>9.7917839054586508E-3</v>
      </c>
      <c r="N482" s="29">
        <f t="shared" si="52"/>
        <v>1.0626349892008724E-2</v>
      </c>
      <c r="O482" s="29">
        <f t="shared" si="53"/>
        <v>1.456054816181318E-2</v>
      </c>
      <c r="P482" s="30">
        <f t="shared" si="54"/>
        <v>2.5687965040746441E-2</v>
      </c>
      <c r="Z482" s="3"/>
      <c r="AA482" s="3"/>
      <c r="AB482" s="3"/>
      <c r="AC482" s="3"/>
      <c r="AD482" s="3"/>
      <c r="AE482" s="7"/>
    </row>
    <row r="483" spans="2:31" x14ac:dyDescent="0.15">
      <c r="B483" s="16">
        <v>43196</v>
      </c>
      <c r="C483" s="23">
        <v>29475</v>
      </c>
      <c r="D483" s="23">
        <v>11446</v>
      </c>
      <c r="E483" s="23">
        <v>26828</v>
      </c>
      <c r="F483" s="23">
        <v>35726</v>
      </c>
      <c r="G483" s="23">
        <v>15465</v>
      </c>
      <c r="H483" s="24">
        <v>35192</v>
      </c>
      <c r="I483" s="2">
        <f t="shared" si="55"/>
        <v>479</v>
      </c>
      <c r="J483" s="16">
        <v>43196</v>
      </c>
      <c r="K483" s="29">
        <f t="shared" si="49"/>
        <v>5.2522083148596188E-3</v>
      </c>
      <c r="L483" s="29">
        <f t="shared" si="50"/>
        <v>0</v>
      </c>
      <c r="M483" s="29">
        <f t="shared" si="51"/>
        <v>-3.2694308218159662E-3</v>
      </c>
      <c r="N483" s="29">
        <f t="shared" si="52"/>
        <v>1.8008776429019102E-2</v>
      </c>
      <c r="O483" s="29">
        <f t="shared" si="53"/>
        <v>4.2859925969218615E-3</v>
      </c>
      <c r="P483" s="30">
        <f t="shared" si="54"/>
        <v>1.3069261327652626E-2</v>
      </c>
      <c r="Z483" s="3"/>
      <c r="AA483" s="3"/>
      <c r="AB483" s="3"/>
      <c r="AC483" s="3"/>
      <c r="AD483" s="3"/>
      <c r="AE483" s="7"/>
    </row>
    <row r="484" spans="2:31" x14ac:dyDescent="0.15">
      <c r="B484" s="16">
        <v>43203</v>
      </c>
      <c r="C484" s="23">
        <v>29754</v>
      </c>
      <c r="D484" s="23">
        <v>11464</v>
      </c>
      <c r="E484" s="23">
        <v>27008</v>
      </c>
      <c r="F484" s="23">
        <v>36001</v>
      </c>
      <c r="G484" s="23">
        <v>15560</v>
      </c>
      <c r="H484" s="24">
        <v>34912</v>
      </c>
      <c r="I484" s="2">
        <f t="shared" si="55"/>
        <v>480</v>
      </c>
      <c r="J484" s="16">
        <v>43203</v>
      </c>
      <c r="K484" s="29">
        <f t="shared" si="49"/>
        <v>9.4656488549618167E-3</v>
      </c>
      <c r="L484" s="29">
        <f t="shared" si="50"/>
        <v>1.5726017822819127E-3</v>
      </c>
      <c r="M484" s="29">
        <f t="shared" si="51"/>
        <v>6.7094080811092027E-3</v>
      </c>
      <c r="N484" s="29">
        <f t="shared" si="52"/>
        <v>7.6974752281251391E-3</v>
      </c>
      <c r="O484" s="29">
        <f t="shared" si="53"/>
        <v>6.1429033301001468E-3</v>
      </c>
      <c r="P484" s="30">
        <f t="shared" si="54"/>
        <v>-7.9563537167538501E-3</v>
      </c>
      <c r="Z484" s="3"/>
      <c r="AA484" s="3"/>
      <c r="AB484" s="3"/>
      <c r="AC484" s="3"/>
      <c r="AD484" s="3"/>
      <c r="AE484" s="7"/>
    </row>
    <row r="485" spans="2:31" x14ac:dyDescent="0.15">
      <c r="B485" s="16">
        <v>43210</v>
      </c>
      <c r="C485" s="23">
        <v>30273</v>
      </c>
      <c r="D485" s="23">
        <v>11434</v>
      </c>
      <c r="E485" s="23">
        <v>27263</v>
      </c>
      <c r="F485" s="23">
        <v>36389</v>
      </c>
      <c r="G485" s="23">
        <v>15502</v>
      </c>
      <c r="H485" s="24">
        <v>35138</v>
      </c>
      <c r="I485" s="2">
        <f t="shared" si="55"/>
        <v>481</v>
      </c>
      <c r="J485" s="16">
        <v>43210</v>
      </c>
      <c r="K485" s="29">
        <f t="shared" si="49"/>
        <v>1.7443032869530084E-2</v>
      </c>
      <c r="L485" s="29">
        <f t="shared" si="50"/>
        <v>-2.616887648290267E-3</v>
      </c>
      <c r="M485" s="29">
        <f t="shared" si="51"/>
        <v>9.4416469194313901E-3</v>
      </c>
      <c r="N485" s="29">
        <f t="shared" si="52"/>
        <v>1.0777478403377616E-2</v>
      </c>
      <c r="O485" s="29">
        <f t="shared" si="53"/>
        <v>-3.7275064267352498E-3</v>
      </c>
      <c r="P485" s="30">
        <f t="shared" si="54"/>
        <v>6.4734188817598959E-3</v>
      </c>
      <c r="Z485" s="3"/>
      <c r="AA485" s="3"/>
      <c r="AB485" s="3"/>
      <c r="AC485" s="3"/>
      <c r="AD485" s="3"/>
      <c r="AE485" s="7"/>
    </row>
    <row r="486" spans="2:31" x14ac:dyDescent="0.15">
      <c r="B486" s="16">
        <v>43217</v>
      </c>
      <c r="C486" s="23">
        <v>30692</v>
      </c>
      <c r="D486" s="23">
        <v>11434</v>
      </c>
      <c r="E486" s="23">
        <v>27594</v>
      </c>
      <c r="F486" s="23">
        <v>36654</v>
      </c>
      <c r="G486" s="23">
        <v>15582</v>
      </c>
      <c r="H486" s="24">
        <v>35746</v>
      </c>
      <c r="I486" s="2">
        <f t="shared" si="55"/>
        <v>482</v>
      </c>
      <c r="J486" s="16">
        <v>43217</v>
      </c>
      <c r="K486" s="29">
        <f t="shared" si="49"/>
        <v>1.384071614970428E-2</v>
      </c>
      <c r="L486" s="29">
        <f t="shared" si="50"/>
        <v>0</v>
      </c>
      <c r="M486" s="29">
        <f t="shared" si="51"/>
        <v>1.2140996955580796E-2</v>
      </c>
      <c r="N486" s="29">
        <f t="shared" si="52"/>
        <v>7.2824205116930329E-3</v>
      </c>
      <c r="O486" s="29">
        <f t="shared" si="53"/>
        <v>5.1606244355566488E-3</v>
      </c>
      <c r="P486" s="30">
        <f t="shared" si="54"/>
        <v>1.7303204507940206E-2</v>
      </c>
      <c r="Z486" s="3"/>
      <c r="AA486" s="3"/>
      <c r="AB486" s="3"/>
      <c r="AC486" s="3"/>
      <c r="AD486" s="3"/>
      <c r="AE486" s="7"/>
    </row>
    <row r="487" spans="2:31" x14ac:dyDescent="0.15">
      <c r="B487" s="16">
        <v>43224</v>
      </c>
      <c r="C487" s="23">
        <v>30694</v>
      </c>
      <c r="D487" s="23">
        <v>11448</v>
      </c>
      <c r="E487" s="23">
        <v>27473</v>
      </c>
      <c r="F487" s="23">
        <v>36701</v>
      </c>
      <c r="G487" s="23">
        <v>15585</v>
      </c>
      <c r="H487" s="24">
        <v>36599</v>
      </c>
      <c r="I487" s="2">
        <f t="shared" si="55"/>
        <v>483</v>
      </c>
      <c r="J487" s="16">
        <v>43224</v>
      </c>
      <c r="K487" s="29">
        <f t="shared" si="49"/>
        <v>6.5163560536873888E-5</v>
      </c>
      <c r="L487" s="29">
        <f t="shared" si="50"/>
        <v>1.2244184012593085E-3</v>
      </c>
      <c r="M487" s="29">
        <f t="shared" si="51"/>
        <v>-4.3850112343263303E-3</v>
      </c>
      <c r="N487" s="29">
        <f t="shared" si="52"/>
        <v>1.2822611447591559E-3</v>
      </c>
      <c r="O487" s="29">
        <f t="shared" si="53"/>
        <v>1.925298421254773E-4</v>
      </c>
      <c r="P487" s="30">
        <f t="shared" si="54"/>
        <v>2.3862809824875431E-2</v>
      </c>
      <c r="Z487" s="3"/>
      <c r="AA487" s="3"/>
      <c r="AB487" s="3"/>
      <c r="AC487" s="3"/>
      <c r="AD487" s="3"/>
      <c r="AE487" s="7"/>
    </row>
    <row r="488" spans="2:31" x14ac:dyDescent="0.15">
      <c r="B488" s="16">
        <v>43231</v>
      </c>
      <c r="C488" s="23">
        <v>31080</v>
      </c>
      <c r="D488" s="23">
        <v>11443</v>
      </c>
      <c r="E488" s="23">
        <v>27807</v>
      </c>
      <c r="F488" s="23">
        <v>37398</v>
      </c>
      <c r="G488" s="23">
        <v>15464</v>
      </c>
      <c r="H488" s="24">
        <v>37138</v>
      </c>
      <c r="I488" s="2">
        <f t="shared" si="55"/>
        <v>484</v>
      </c>
      <c r="J488" s="16">
        <v>43231</v>
      </c>
      <c r="K488" s="29">
        <f t="shared" si="49"/>
        <v>1.2575747703134077E-2</v>
      </c>
      <c r="L488" s="29">
        <f t="shared" si="50"/>
        <v>-4.3675751222915782E-4</v>
      </c>
      <c r="M488" s="29">
        <f t="shared" si="51"/>
        <v>1.2157390892876707E-2</v>
      </c>
      <c r="N488" s="29">
        <f t="shared" si="52"/>
        <v>1.8991308138742724E-2</v>
      </c>
      <c r="O488" s="29">
        <f t="shared" si="53"/>
        <v>-7.7638755213346178E-3</v>
      </c>
      <c r="P488" s="30">
        <f t="shared" si="54"/>
        <v>1.4727178338205915E-2</v>
      </c>
      <c r="Z488" s="3"/>
      <c r="AA488" s="3"/>
      <c r="AB488" s="3"/>
      <c r="AC488" s="3"/>
      <c r="AD488" s="3"/>
      <c r="AE488" s="7"/>
    </row>
    <row r="489" spans="2:31" x14ac:dyDescent="0.15">
      <c r="B489" s="16">
        <v>43238</v>
      </c>
      <c r="C489" s="23">
        <v>31311</v>
      </c>
      <c r="D489" s="23">
        <v>11426</v>
      </c>
      <c r="E489" s="23">
        <v>27868</v>
      </c>
      <c r="F489" s="23">
        <v>37924</v>
      </c>
      <c r="G489" s="23">
        <v>15484</v>
      </c>
      <c r="H489" s="24">
        <v>36501</v>
      </c>
      <c r="I489" s="2">
        <f t="shared" si="55"/>
        <v>485</v>
      </c>
      <c r="J489" s="16">
        <v>43238</v>
      </c>
      <c r="K489" s="29">
        <f t="shared" si="49"/>
        <v>7.432432432432412E-3</v>
      </c>
      <c r="L489" s="29">
        <f t="shared" si="50"/>
        <v>-1.4856243991959728E-3</v>
      </c>
      <c r="M489" s="29">
        <f t="shared" si="51"/>
        <v>2.19369223576793E-3</v>
      </c>
      <c r="N489" s="29">
        <f t="shared" si="52"/>
        <v>1.4064923257928186E-2</v>
      </c>
      <c r="O489" s="29">
        <f t="shared" si="53"/>
        <v>1.2933264355923235E-3</v>
      </c>
      <c r="P489" s="30">
        <f t="shared" si="54"/>
        <v>-1.7152242985621236E-2</v>
      </c>
      <c r="Z489" s="3"/>
      <c r="AA489" s="3"/>
      <c r="AB489" s="3"/>
      <c r="AC489" s="3"/>
      <c r="AD489" s="3"/>
      <c r="AE489" s="7"/>
    </row>
    <row r="490" spans="2:31" x14ac:dyDescent="0.15">
      <c r="B490" s="16">
        <v>43245</v>
      </c>
      <c r="C490" s="23">
        <v>30652</v>
      </c>
      <c r="D490" s="23">
        <v>11445</v>
      </c>
      <c r="E490" s="23">
        <v>27870</v>
      </c>
      <c r="F490" s="23">
        <v>37333</v>
      </c>
      <c r="G490" s="23">
        <v>15321</v>
      </c>
      <c r="H490" s="24">
        <v>36789</v>
      </c>
      <c r="I490" s="2">
        <f t="shared" si="55"/>
        <v>486</v>
      </c>
      <c r="J490" s="16">
        <v>43245</v>
      </c>
      <c r="K490" s="29">
        <f t="shared" si="49"/>
        <v>-2.1046916419149797E-2</v>
      </c>
      <c r="L490" s="29">
        <f t="shared" si="50"/>
        <v>1.662874146683091E-3</v>
      </c>
      <c r="M490" s="29">
        <f t="shared" si="51"/>
        <v>7.1766901105219105E-5</v>
      </c>
      <c r="N490" s="29">
        <f t="shared" si="52"/>
        <v>-1.5583799177302016E-2</v>
      </c>
      <c r="O490" s="29">
        <f t="shared" si="53"/>
        <v>-1.0526995608369893E-2</v>
      </c>
      <c r="P490" s="30">
        <f t="shared" si="54"/>
        <v>7.8901947891838464E-3</v>
      </c>
      <c r="Z490" s="3"/>
      <c r="AA490" s="3"/>
      <c r="AB490" s="3"/>
      <c r="AC490" s="3"/>
      <c r="AD490" s="3"/>
      <c r="AE490" s="7"/>
    </row>
    <row r="491" spans="2:31" x14ac:dyDescent="0.15">
      <c r="B491" s="16">
        <v>43252</v>
      </c>
      <c r="C491" s="23">
        <v>30273</v>
      </c>
      <c r="D491" s="23">
        <v>11449</v>
      </c>
      <c r="E491" s="23">
        <v>27591</v>
      </c>
      <c r="F491" s="23">
        <v>36707</v>
      </c>
      <c r="G491" s="23">
        <v>15265</v>
      </c>
      <c r="H491" s="24">
        <v>36988</v>
      </c>
      <c r="I491" s="2">
        <f t="shared" si="55"/>
        <v>487</v>
      </c>
      <c r="J491" s="16">
        <v>43252</v>
      </c>
      <c r="K491" s="29">
        <f t="shared" si="49"/>
        <v>-1.2364609160903095E-2</v>
      </c>
      <c r="L491" s="29">
        <f t="shared" si="50"/>
        <v>3.4949759720404039E-4</v>
      </c>
      <c r="M491" s="29">
        <f t="shared" si="51"/>
        <v>-1.001076426264802E-2</v>
      </c>
      <c r="N491" s="29">
        <f t="shared" si="52"/>
        <v>-1.6768006857204032E-2</v>
      </c>
      <c r="O491" s="29">
        <f t="shared" si="53"/>
        <v>-3.6551138959597385E-3</v>
      </c>
      <c r="P491" s="30">
        <f t="shared" si="54"/>
        <v>5.4092255837343561E-3</v>
      </c>
      <c r="Z491" s="3"/>
      <c r="AA491" s="3"/>
      <c r="AB491" s="3"/>
      <c r="AC491" s="3"/>
      <c r="AD491" s="3"/>
      <c r="AE491" s="7"/>
    </row>
    <row r="492" spans="2:31" x14ac:dyDescent="0.15">
      <c r="B492" s="16">
        <v>43259</v>
      </c>
      <c r="C492" s="23">
        <v>30977</v>
      </c>
      <c r="D492" s="23">
        <v>11448</v>
      </c>
      <c r="E492" s="23">
        <v>27802</v>
      </c>
      <c r="F492" s="23">
        <v>37838</v>
      </c>
      <c r="G492" s="23">
        <v>15348</v>
      </c>
      <c r="H492" s="24">
        <v>37763</v>
      </c>
      <c r="I492" s="2">
        <f t="shared" si="55"/>
        <v>488</v>
      </c>
      <c r="J492" s="16">
        <v>43259</v>
      </c>
      <c r="K492" s="29">
        <f t="shared" si="49"/>
        <v>2.3255045750338654E-2</v>
      </c>
      <c r="L492" s="29">
        <f t="shared" si="50"/>
        <v>-8.7343872827272406E-5</v>
      </c>
      <c r="M492" s="29">
        <f t="shared" si="51"/>
        <v>7.6474212605559533E-3</v>
      </c>
      <c r="N492" s="29">
        <f t="shared" si="52"/>
        <v>3.0811561827444267E-2</v>
      </c>
      <c r="O492" s="29">
        <f t="shared" si="53"/>
        <v>5.4372748116606751E-3</v>
      </c>
      <c r="P492" s="30">
        <f t="shared" si="54"/>
        <v>2.0952741429652866E-2</v>
      </c>
      <c r="Z492" s="3"/>
      <c r="AA492" s="3"/>
      <c r="AB492" s="3"/>
      <c r="AC492" s="3"/>
      <c r="AD492" s="3"/>
      <c r="AE492" s="7"/>
    </row>
    <row r="493" spans="2:31" x14ac:dyDescent="0.15">
      <c r="B493" s="16">
        <v>43266</v>
      </c>
      <c r="C493" s="23">
        <v>31191</v>
      </c>
      <c r="D493" s="23">
        <v>11456</v>
      </c>
      <c r="E493" s="23">
        <v>27913</v>
      </c>
      <c r="F493" s="23">
        <v>38163</v>
      </c>
      <c r="G493" s="23">
        <v>15354</v>
      </c>
      <c r="H493" s="24">
        <v>37783</v>
      </c>
      <c r="I493" s="2">
        <f t="shared" si="55"/>
        <v>489</v>
      </c>
      <c r="J493" s="16">
        <v>43266</v>
      </c>
      <c r="K493" s="29">
        <f t="shared" si="49"/>
        <v>6.9083513574588196E-3</v>
      </c>
      <c r="L493" s="29">
        <f t="shared" si="50"/>
        <v>6.9881201956678574E-4</v>
      </c>
      <c r="M493" s="29">
        <f t="shared" si="51"/>
        <v>3.9925185238471883E-3</v>
      </c>
      <c r="N493" s="29">
        <f t="shared" si="52"/>
        <v>8.5892489032188823E-3</v>
      </c>
      <c r="O493" s="29">
        <f t="shared" si="53"/>
        <v>3.909304143863146E-4</v>
      </c>
      <c r="P493" s="30">
        <f t="shared" si="54"/>
        <v>5.2961893917324865E-4</v>
      </c>
      <c r="Z493" s="3"/>
      <c r="AA493" s="3"/>
      <c r="AB493" s="3"/>
      <c r="AC493" s="3"/>
      <c r="AD493" s="3"/>
      <c r="AE493" s="7"/>
    </row>
    <row r="494" spans="2:31" x14ac:dyDescent="0.15">
      <c r="B494" s="16">
        <v>43273</v>
      </c>
      <c r="C494" s="23">
        <v>30726</v>
      </c>
      <c r="D494" s="23">
        <v>11460</v>
      </c>
      <c r="E494" s="23">
        <v>28196</v>
      </c>
      <c r="F494" s="23">
        <v>37384</v>
      </c>
      <c r="G494" s="23">
        <v>15331</v>
      </c>
      <c r="H494" s="24">
        <v>37964</v>
      </c>
      <c r="I494" s="2">
        <f t="shared" si="55"/>
        <v>490</v>
      </c>
      <c r="J494" s="16">
        <v>43273</v>
      </c>
      <c r="K494" s="29">
        <f t="shared" si="49"/>
        <v>-1.4908146580744464E-2</v>
      </c>
      <c r="L494" s="29">
        <f t="shared" si="50"/>
        <v>3.4916201117307644E-4</v>
      </c>
      <c r="M494" s="29">
        <f t="shared" si="51"/>
        <v>1.0138645075771224E-2</v>
      </c>
      <c r="N494" s="29">
        <f t="shared" si="52"/>
        <v>-2.041244136991327E-2</v>
      </c>
      <c r="O494" s="29">
        <f t="shared" si="53"/>
        <v>-1.4979809821544787E-3</v>
      </c>
      <c r="P494" s="30">
        <f t="shared" si="54"/>
        <v>4.7905142524415911E-3</v>
      </c>
      <c r="Z494" s="3"/>
      <c r="AA494" s="3"/>
      <c r="AB494" s="3"/>
      <c r="AC494" s="3"/>
      <c r="AD494" s="3"/>
      <c r="AE494" s="7"/>
    </row>
    <row r="495" spans="2:31" x14ac:dyDescent="0.15">
      <c r="B495" s="16">
        <v>43280</v>
      </c>
      <c r="C495" s="23">
        <v>30474</v>
      </c>
      <c r="D495" s="23">
        <v>11459</v>
      </c>
      <c r="E495" s="23">
        <v>28371</v>
      </c>
      <c r="F495" s="23">
        <v>37098</v>
      </c>
      <c r="G495" s="23">
        <v>15395</v>
      </c>
      <c r="H495" s="24">
        <v>38377</v>
      </c>
      <c r="I495" s="2">
        <f t="shared" si="55"/>
        <v>491</v>
      </c>
      <c r="J495" s="16">
        <v>43280</v>
      </c>
      <c r="K495" s="29">
        <f t="shared" si="49"/>
        <v>-8.2015231400117683E-3</v>
      </c>
      <c r="L495" s="29">
        <f t="shared" si="50"/>
        <v>-8.7260034904002026E-5</v>
      </c>
      <c r="M495" s="29">
        <f t="shared" si="51"/>
        <v>6.2065541211520081E-3</v>
      </c>
      <c r="N495" s="29">
        <f t="shared" si="52"/>
        <v>-7.6503316927027942E-3</v>
      </c>
      <c r="O495" s="29">
        <f t="shared" si="53"/>
        <v>4.1745483008284179E-3</v>
      </c>
      <c r="P495" s="30">
        <f t="shared" si="54"/>
        <v>1.0878727215256623E-2</v>
      </c>
      <c r="Z495" s="3"/>
      <c r="AA495" s="3"/>
      <c r="AB495" s="3"/>
      <c r="AC495" s="3"/>
      <c r="AD495" s="3"/>
      <c r="AE495" s="7"/>
    </row>
    <row r="496" spans="2:31" x14ac:dyDescent="0.15">
      <c r="B496" s="16">
        <v>43287</v>
      </c>
      <c r="C496" s="23">
        <v>29766</v>
      </c>
      <c r="D496" s="23">
        <v>11476</v>
      </c>
      <c r="E496" s="23">
        <v>28451</v>
      </c>
      <c r="F496" s="23">
        <v>37584</v>
      </c>
      <c r="G496" s="23">
        <v>15547</v>
      </c>
      <c r="H496" s="24">
        <v>38952</v>
      </c>
      <c r="I496" s="2">
        <f t="shared" si="55"/>
        <v>492</v>
      </c>
      <c r="J496" s="16">
        <v>43287</v>
      </c>
      <c r="K496" s="29">
        <f t="shared" si="49"/>
        <v>-2.323291986611542E-2</v>
      </c>
      <c r="L496" s="29">
        <f t="shared" si="50"/>
        <v>1.483550047997273E-3</v>
      </c>
      <c r="M496" s="29">
        <f t="shared" si="51"/>
        <v>2.8197807620458093E-3</v>
      </c>
      <c r="N496" s="29">
        <f t="shared" si="52"/>
        <v>1.3100436681222627E-2</v>
      </c>
      <c r="O496" s="29">
        <f t="shared" si="53"/>
        <v>9.8733354985385269E-3</v>
      </c>
      <c r="P496" s="30">
        <f t="shared" si="54"/>
        <v>1.4982932485603451E-2</v>
      </c>
      <c r="Z496" s="3"/>
      <c r="AA496" s="3"/>
      <c r="AB496" s="3"/>
      <c r="AC496" s="3"/>
      <c r="AD496" s="3"/>
      <c r="AE496" s="7"/>
    </row>
    <row r="497" spans="2:31" x14ac:dyDescent="0.15">
      <c r="B497" s="16">
        <v>43294</v>
      </c>
      <c r="C497" s="23">
        <v>30866</v>
      </c>
      <c r="D497" s="23">
        <v>11473</v>
      </c>
      <c r="E497" s="23">
        <v>28457</v>
      </c>
      <c r="F497" s="23">
        <v>38949</v>
      </c>
      <c r="G497" s="23">
        <v>15821</v>
      </c>
      <c r="H497" s="24">
        <v>39606</v>
      </c>
      <c r="I497" s="2">
        <f t="shared" si="55"/>
        <v>493</v>
      </c>
      <c r="J497" s="16">
        <v>43294</v>
      </c>
      <c r="K497" s="29">
        <f t="shared" si="49"/>
        <v>3.695491500369541E-2</v>
      </c>
      <c r="L497" s="29">
        <f t="shared" si="50"/>
        <v>-2.6141512722199778E-4</v>
      </c>
      <c r="M497" s="29">
        <f t="shared" si="51"/>
        <v>2.1088889669962363E-4</v>
      </c>
      <c r="N497" s="29">
        <f t="shared" si="52"/>
        <v>3.6318646232439411E-2</v>
      </c>
      <c r="O497" s="29">
        <f t="shared" si="53"/>
        <v>1.7623978902682191E-2</v>
      </c>
      <c r="P497" s="30">
        <f t="shared" si="54"/>
        <v>1.6789895255699294E-2</v>
      </c>
      <c r="Z497" s="3"/>
      <c r="AA497" s="3"/>
      <c r="AB497" s="3"/>
      <c r="AC497" s="3"/>
      <c r="AD497" s="3"/>
      <c r="AE497" s="7"/>
    </row>
    <row r="498" spans="2:31" x14ac:dyDescent="0.15">
      <c r="B498" s="16">
        <v>43301</v>
      </c>
      <c r="C498" s="23">
        <v>31001</v>
      </c>
      <c r="D498" s="23">
        <v>11477</v>
      </c>
      <c r="E498" s="23">
        <v>28648</v>
      </c>
      <c r="F498" s="23">
        <v>38963</v>
      </c>
      <c r="G498" s="23">
        <v>15799</v>
      </c>
      <c r="H498" s="24">
        <v>39321</v>
      </c>
      <c r="I498" s="2">
        <f t="shared" si="55"/>
        <v>494</v>
      </c>
      <c r="J498" s="16">
        <v>43301</v>
      </c>
      <c r="K498" s="29">
        <f t="shared" si="49"/>
        <v>4.3737445733169622E-3</v>
      </c>
      <c r="L498" s="29">
        <f t="shared" si="50"/>
        <v>3.4864464394668282E-4</v>
      </c>
      <c r="M498" s="29">
        <f t="shared" si="51"/>
        <v>6.7118810837403231E-3</v>
      </c>
      <c r="N498" s="29">
        <f t="shared" si="52"/>
        <v>3.594444016534748E-4</v>
      </c>
      <c r="O498" s="29">
        <f t="shared" si="53"/>
        <v>-1.390556854813263E-3</v>
      </c>
      <c r="P498" s="30">
        <f t="shared" si="54"/>
        <v>-7.1958794122102265E-3</v>
      </c>
      <c r="Z498" s="3"/>
      <c r="AA498" s="3"/>
      <c r="AB498" s="3"/>
      <c r="AC498" s="3"/>
      <c r="AD498" s="3"/>
      <c r="AE498" s="7"/>
    </row>
    <row r="499" spans="2:31" x14ac:dyDescent="0.15">
      <c r="B499" s="16">
        <v>43308</v>
      </c>
      <c r="C499" s="23">
        <v>31015</v>
      </c>
      <c r="D499" s="23">
        <v>11393</v>
      </c>
      <c r="E499" s="23">
        <v>28383</v>
      </c>
      <c r="F499" s="23">
        <v>38851</v>
      </c>
      <c r="G499" s="23">
        <v>15508</v>
      </c>
      <c r="H499" s="24">
        <v>38678</v>
      </c>
      <c r="I499" s="2">
        <f t="shared" si="55"/>
        <v>495</v>
      </c>
      <c r="J499" s="16">
        <v>43308</v>
      </c>
      <c r="K499" s="29">
        <f t="shared" si="49"/>
        <v>4.515983355375397E-4</v>
      </c>
      <c r="L499" s="29">
        <f t="shared" si="50"/>
        <v>-7.3189857976823092E-3</v>
      </c>
      <c r="M499" s="29">
        <f t="shared" si="51"/>
        <v>-9.2502094387042488E-3</v>
      </c>
      <c r="N499" s="29">
        <f t="shared" si="52"/>
        <v>-2.8745219823935741E-3</v>
      </c>
      <c r="O499" s="29">
        <f t="shared" si="53"/>
        <v>-1.8418887271346329E-2</v>
      </c>
      <c r="P499" s="30">
        <f t="shared" si="54"/>
        <v>-1.6352585132626385E-2</v>
      </c>
      <c r="Z499" s="3"/>
      <c r="AA499" s="3"/>
      <c r="AB499" s="3"/>
      <c r="AC499" s="3"/>
      <c r="AD499" s="3"/>
      <c r="AE499" s="7"/>
    </row>
    <row r="500" spans="2:31" x14ac:dyDescent="0.15">
      <c r="B500" s="16">
        <v>43315</v>
      </c>
      <c r="C500" s="23">
        <v>30753</v>
      </c>
      <c r="D500" s="23">
        <v>11367</v>
      </c>
      <c r="E500" s="23">
        <v>28520</v>
      </c>
      <c r="F500" s="23">
        <v>38851</v>
      </c>
      <c r="G500" s="23">
        <v>15508</v>
      </c>
      <c r="H500" s="24">
        <v>39178</v>
      </c>
      <c r="I500" s="2">
        <f t="shared" si="55"/>
        <v>496</v>
      </c>
      <c r="J500" s="16">
        <v>43315</v>
      </c>
      <c r="K500" s="29">
        <f t="shared" si="49"/>
        <v>-8.4475253909398473E-3</v>
      </c>
      <c r="L500" s="29">
        <f t="shared" si="50"/>
        <v>-2.2821030457298441E-3</v>
      </c>
      <c r="M500" s="29">
        <f t="shared" si="51"/>
        <v>4.8268329633935902E-3</v>
      </c>
      <c r="N500" s="29">
        <f t="shared" si="52"/>
        <v>0</v>
      </c>
      <c r="O500" s="29">
        <f t="shared" si="53"/>
        <v>0</v>
      </c>
      <c r="P500" s="30">
        <f t="shared" si="54"/>
        <v>1.2927245462536874E-2</v>
      </c>
      <c r="Z500" s="3"/>
      <c r="AA500" s="3"/>
      <c r="AB500" s="3"/>
      <c r="AC500" s="3"/>
      <c r="AD500" s="3"/>
      <c r="AE500" s="7"/>
    </row>
    <row r="501" spans="2:31" x14ac:dyDescent="0.15">
      <c r="B501" s="16">
        <v>43322</v>
      </c>
      <c r="C501" s="23">
        <v>30439</v>
      </c>
      <c r="D501" s="23">
        <v>11374</v>
      </c>
      <c r="E501" s="23">
        <v>28205</v>
      </c>
      <c r="F501" s="23">
        <v>38872</v>
      </c>
      <c r="G501" s="23">
        <v>15390</v>
      </c>
      <c r="H501" s="24">
        <v>39025</v>
      </c>
      <c r="I501" s="2">
        <f t="shared" si="55"/>
        <v>497</v>
      </c>
      <c r="J501" s="16">
        <v>43322</v>
      </c>
      <c r="K501" s="29">
        <f t="shared" si="49"/>
        <v>-1.0210385978603687E-2</v>
      </c>
      <c r="L501" s="29">
        <f t="shared" si="50"/>
        <v>6.1581771795538032E-4</v>
      </c>
      <c r="M501" s="29">
        <f t="shared" si="51"/>
        <v>-1.1044880785413769E-2</v>
      </c>
      <c r="N501" s="29">
        <f t="shared" si="52"/>
        <v>5.4052662737125168E-4</v>
      </c>
      <c r="O501" s="29">
        <f t="shared" si="53"/>
        <v>-7.6089760123807526E-3</v>
      </c>
      <c r="P501" s="30">
        <f t="shared" si="54"/>
        <v>-3.9052529480830822E-3</v>
      </c>
      <c r="Z501" s="3"/>
      <c r="AA501" s="3"/>
      <c r="AB501" s="3"/>
      <c r="AC501" s="3"/>
      <c r="AD501" s="3"/>
      <c r="AE501" s="7"/>
    </row>
    <row r="502" spans="2:31" x14ac:dyDescent="0.15">
      <c r="B502" s="16">
        <v>43329</v>
      </c>
      <c r="C502" s="23">
        <v>30393</v>
      </c>
      <c r="D502" s="23">
        <v>11376</v>
      </c>
      <c r="E502" s="23">
        <v>28114</v>
      </c>
      <c r="F502" s="23">
        <v>38358</v>
      </c>
      <c r="G502" s="23">
        <v>15293</v>
      </c>
      <c r="H502" s="24">
        <v>39147</v>
      </c>
      <c r="I502" s="2">
        <f t="shared" si="55"/>
        <v>498</v>
      </c>
      <c r="J502" s="16">
        <v>43329</v>
      </c>
      <c r="K502" s="29">
        <f t="shared" si="49"/>
        <v>-1.5112191596307056E-3</v>
      </c>
      <c r="L502" s="29">
        <f t="shared" si="50"/>
        <v>1.7583963425349403E-4</v>
      </c>
      <c r="M502" s="29">
        <f t="shared" si="51"/>
        <v>-3.226378301719568E-3</v>
      </c>
      <c r="N502" s="29">
        <f t="shared" si="52"/>
        <v>-1.3222885367359494E-2</v>
      </c>
      <c r="O502" s="29">
        <f t="shared" si="53"/>
        <v>-6.3027940220922174E-3</v>
      </c>
      <c r="P502" s="30">
        <f t="shared" si="54"/>
        <v>3.1262011531070222E-3</v>
      </c>
      <c r="Z502" s="3"/>
      <c r="AA502" s="3"/>
      <c r="AB502" s="3"/>
      <c r="AC502" s="3"/>
      <c r="AD502" s="3"/>
      <c r="AE502" s="7"/>
    </row>
    <row r="503" spans="2:31" x14ac:dyDescent="0.15">
      <c r="B503" s="16">
        <v>43336</v>
      </c>
      <c r="C503" s="23">
        <v>30838</v>
      </c>
      <c r="D503" s="23">
        <v>11377</v>
      </c>
      <c r="E503" s="23">
        <v>28374</v>
      </c>
      <c r="F503" s="23">
        <v>38918</v>
      </c>
      <c r="G503" s="23">
        <v>15505</v>
      </c>
      <c r="H503" s="24">
        <v>39354</v>
      </c>
      <c r="I503" s="2">
        <f t="shared" si="55"/>
        <v>499</v>
      </c>
      <c r="J503" s="16">
        <v>43336</v>
      </c>
      <c r="K503" s="29">
        <f t="shared" si="49"/>
        <v>1.4641529299509681E-2</v>
      </c>
      <c r="L503" s="29">
        <f t="shared" si="50"/>
        <v>8.790436005634561E-5</v>
      </c>
      <c r="M503" s="29">
        <f t="shared" si="51"/>
        <v>9.2480614640393366E-3</v>
      </c>
      <c r="N503" s="29">
        <f t="shared" si="52"/>
        <v>1.4599301319151214E-2</v>
      </c>
      <c r="O503" s="29">
        <f t="shared" si="53"/>
        <v>1.3862551494147723E-2</v>
      </c>
      <c r="P503" s="30">
        <f t="shared" si="54"/>
        <v>5.2877615142923329E-3</v>
      </c>
      <c r="Z503" s="3"/>
      <c r="AA503" s="3"/>
      <c r="AB503" s="3"/>
      <c r="AC503" s="3"/>
      <c r="AD503" s="3"/>
      <c r="AE503" s="7"/>
    </row>
    <row r="504" spans="2:31" x14ac:dyDescent="0.15">
      <c r="B504" s="16">
        <v>43343</v>
      </c>
      <c r="C504" s="23">
        <v>31212</v>
      </c>
      <c r="D504" s="23">
        <v>11370</v>
      </c>
      <c r="E504" s="23">
        <v>28409</v>
      </c>
      <c r="F504" s="23">
        <v>39368</v>
      </c>
      <c r="G504" s="23">
        <v>15487</v>
      </c>
      <c r="H504" s="24">
        <v>39592</v>
      </c>
      <c r="I504" s="2">
        <f t="shared" si="55"/>
        <v>500</v>
      </c>
      <c r="J504" s="16">
        <v>43343</v>
      </c>
      <c r="K504" s="29">
        <f t="shared" si="49"/>
        <v>1.2127894156560126E-2</v>
      </c>
      <c r="L504" s="29">
        <f t="shared" si="50"/>
        <v>-6.1527643491254835E-4</v>
      </c>
      <c r="M504" s="29">
        <f t="shared" si="51"/>
        <v>1.2335236484104506E-3</v>
      </c>
      <c r="N504" s="29">
        <f t="shared" si="52"/>
        <v>1.156277300991837E-2</v>
      </c>
      <c r="O504" s="29">
        <f t="shared" si="53"/>
        <v>-1.1609158336021164E-3</v>
      </c>
      <c r="P504" s="30">
        <f t="shared" si="54"/>
        <v>6.0476698683742391E-3</v>
      </c>
      <c r="Z504" s="3"/>
      <c r="AA504" s="3"/>
      <c r="AB504" s="3"/>
      <c r="AC504" s="3"/>
      <c r="AD504" s="3"/>
      <c r="AE504" s="7"/>
    </row>
    <row r="505" spans="2:31" x14ac:dyDescent="0.15">
      <c r="B505" s="16">
        <v>43350</v>
      </c>
      <c r="C505" s="23">
        <v>30455</v>
      </c>
      <c r="D505" s="23">
        <v>11373</v>
      </c>
      <c r="E505" s="23">
        <v>28282</v>
      </c>
      <c r="F505" s="23">
        <v>38523</v>
      </c>
      <c r="G505" s="23">
        <v>15384</v>
      </c>
      <c r="H505" s="24">
        <v>39220</v>
      </c>
      <c r="I505" s="2">
        <f t="shared" si="55"/>
        <v>501</v>
      </c>
      <c r="J505" s="16">
        <v>43350</v>
      </c>
      <c r="K505" s="29">
        <f t="shared" si="49"/>
        <v>-2.4253492246571806E-2</v>
      </c>
      <c r="L505" s="29">
        <f t="shared" si="50"/>
        <v>2.6385224274405594E-4</v>
      </c>
      <c r="M505" s="29">
        <f t="shared" si="51"/>
        <v>-4.4704143053257983E-3</v>
      </c>
      <c r="N505" s="29">
        <f t="shared" si="52"/>
        <v>-2.1464133306238531E-2</v>
      </c>
      <c r="O505" s="29">
        <f t="shared" si="53"/>
        <v>-6.6507393297604578E-3</v>
      </c>
      <c r="P505" s="30">
        <f t="shared" si="54"/>
        <v>-9.3958375429379348E-3</v>
      </c>
      <c r="Z505" s="3"/>
      <c r="AA505" s="3"/>
      <c r="AB505" s="3"/>
      <c r="AC505" s="3"/>
      <c r="AD505" s="3"/>
      <c r="AE505" s="7"/>
    </row>
    <row r="506" spans="2:31" x14ac:dyDescent="0.15">
      <c r="B506" s="16">
        <v>43357</v>
      </c>
      <c r="C506" s="23">
        <v>31535</v>
      </c>
      <c r="D506" s="23">
        <v>11373</v>
      </c>
      <c r="E506" s="23">
        <v>28407</v>
      </c>
      <c r="F506" s="23">
        <v>39470</v>
      </c>
      <c r="G506" s="23">
        <v>15626</v>
      </c>
      <c r="H506" s="24">
        <v>39726</v>
      </c>
      <c r="I506" s="2">
        <f t="shared" si="55"/>
        <v>502</v>
      </c>
      <c r="J506" s="16">
        <v>43357</v>
      </c>
      <c r="K506" s="29">
        <f t="shared" si="49"/>
        <v>3.5462157281234585E-2</v>
      </c>
      <c r="L506" s="29">
        <f t="shared" si="50"/>
        <v>0</v>
      </c>
      <c r="M506" s="29">
        <f t="shared" si="51"/>
        <v>4.4197722933314587E-3</v>
      </c>
      <c r="N506" s="29">
        <f t="shared" si="52"/>
        <v>2.4582716818523975E-2</v>
      </c>
      <c r="O506" s="29">
        <f t="shared" si="53"/>
        <v>1.5730629225169102E-2</v>
      </c>
      <c r="P506" s="30">
        <f t="shared" si="54"/>
        <v>1.2901580826109038E-2</v>
      </c>
      <c r="Z506" s="3"/>
      <c r="AA506" s="3"/>
      <c r="AB506" s="3"/>
      <c r="AC506" s="3"/>
      <c r="AD506" s="3"/>
      <c r="AE506" s="7"/>
    </row>
    <row r="507" spans="2:31" x14ac:dyDescent="0.15">
      <c r="B507" s="16">
        <v>43364</v>
      </c>
      <c r="C507" s="23">
        <v>32603</v>
      </c>
      <c r="D507" s="23">
        <v>11341</v>
      </c>
      <c r="E507" s="23">
        <v>28380</v>
      </c>
      <c r="F507" s="23">
        <v>40180</v>
      </c>
      <c r="G507" s="23">
        <v>15706</v>
      </c>
      <c r="H507" s="24">
        <v>39579</v>
      </c>
      <c r="I507" s="2">
        <f t="shared" si="55"/>
        <v>503</v>
      </c>
      <c r="J507" s="16">
        <v>43364</v>
      </c>
      <c r="K507" s="29">
        <f t="shared" si="49"/>
        <v>3.3867131758363644E-2</v>
      </c>
      <c r="L507" s="29">
        <f t="shared" si="50"/>
        <v>-2.8136815264222514E-3</v>
      </c>
      <c r="M507" s="29">
        <f t="shared" si="51"/>
        <v>-9.5046995458869521E-4</v>
      </c>
      <c r="N507" s="29">
        <f t="shared" si="52"/>
        <v>1.7988345578920706E-2</v>
      </c>
      <c r="O507" s="29">
        <f t="shared" si="53"/>
        <v>5.119672340970105E-3</v>
      </c>
      <c r="P507" s="30">
        <f t="shared" si="54"/>
        <v>-3.7003473795499398E-3</v>
      </c>
      <c r="Z507" s="3"/>
      <c r="AA507" s="3"/>
      <c r="AB507" s="3"/>
      <c r="AC507" s="3"/>
      <c r="AD507" s="3"/>
      <c r="AE507" s="7"/>
    </row>
    <row r="508" spans="2:31" x14ac:dyDescent="0.15">
      <c r="B508" s="16">
        <v>43371</v>
      </c>
      <c r="C508" s="23">
        <v>33151</v>
      </c>
      <c r="D508" s="23">
        <v>11338</v>
      </c>
      <c r="E508" s="23">
        <v>28853</v>
      </c>
      <c r="F508" s="23">
        <v>40348</v>
      </c>
      <c r="G508" s="23">
        <v>15739</v>
      </c>
      <c r="H508" s="24">
        <v>39119</v>
      </c>
      <c r="I508" s="2">
        <f t="shared" si="55"/>
        <v>504</v>
      </c>
      <c r="J508" s="16">
        <v>43371</v>
      </c>
      <c r="K508" s="29">
        <f t="shared" si="49"/>
        <v>1.6808269177682966E-2</v>
      </c>
      <c r="L508" s="29">
        <f t="shared" si="50"/>
        <v>-2.6452693765977031E-4</v>
      </c>
      <c r="M508" s="29">
        <f t="shared" si="51"/>
        <v>1.6666666666666607E-2</v>
      </c>
      <c r="N508" s="29">
        <f t="shared" si="52"/>
        <v>4.1811846689896459E-3</v>
      </c>
      <c r="O508" s="29">
        <f t="shared" si="53"/>
        <v>2.1011078568700103E-3</v>
      </c>
      <c r="P508" s="30">
        <f t="shared" si="54"/>
        <v>-1.162232497031257E-2</v>
      </c>
      <c r="Z508" s="3"/>
      <c r="AA508" s="3"/>
      <c r="AB508" s="3"/>
      <c r="AC508" s="3"/>
      <c r="AD508" s="3"/>
      <c r="AE508" s="7"/>
    </row>
    <row r="509" spans="2:31" x14ac:dyDescent="0.15">
      <c r="B509" s="16">
        <v>43378</v>
      </c>
      <c r="C509" s="23">
        <v>32688</v>
      </c>
      <c r="D509" s="23">
        <v>11321</v>
      </c>
      <c r="E509" s="23">
        <v>28422</v>
      </c>
      <c r="F509" s="23">
        <v>40100</v>
      </c>
      <c r="G509" s="23">
        <v>15618</v>
      </c>
      <c r="H509" s="24">
        <v>38459</v>
      </c>
      <c r="I509" s="2">
        <f t="shared" si="55"/>
        <v>505</v>
      </c>
      <c r="J509" s="16">
        <v>43378</v>
      </c>
      <c r="K509" s="29">
        <f t="shared" si="49"/>
        <v>-1.3966396187143681E-2</v>
      </c>
      <c r="L509" s="29">
        <f t="shared" si="50"/>
        <v>-1.4993826071617589E-3</v>
      </c>
      <c r="M509" s="29">
        <f t="shared" si="51"/>
        <v>-1.4937788098291382E-2</v>
      </c>
      <c r="N509" s="29">
        <f t="shared" si="52"/>
        <v>-6.1465252304947482E-3</v>
      </c>
      <c r="O509" s="29">
        <f t="shared" si="53"/>
        <v>-7.6879090158206154E-3</v>
      </c>
      <c r="P509" s="30">
        <f t="shared" si="54"/>
        <v>-1.687159692221174E-2</v>
      </c>
      <c r="Z509" s="3"/>
      <c r="AA509" s="3"/>
      <c r="AB509" s="3"/>
      <c r="AC509" s="3"/>
      <c r="AD509" s="3"/>
      <c r="AE509" s="7"/>
    </row>
    <row r="510" spans="2:31" x14ac:dyDescent="0.15">
      <c r="B510" s="16">
        <v>43385</v>
      </c>
      <c r="C510" s="23">
        <v>31181</v>
      </c>
      <c r="D510" s="23">
        <v>11326</v>
      </c>
      <c r="E510" s="23">
        <v>28416</v>
      </c>
      <c r="F510" s="23">
        <v>37240</v>
      </c>
      <c r="G510" s="23">
        <v>15406</v>
      </c>
      <c r="H510" s="24">
        <v>37212</v>
      </c>
      <c r="I510" s="2">
        <f t="shared" si="55"/>
        <v>506</v>
      </c>
      <c r="J510" s="16">
        <v>43385</v>
      </c>
      <c r="K510" s="29">
        <f t="shared" si="49"/>
        <v>-4.6102545276554108E-2</v>
      </c>
      <c r="L510" s="29">
        <f t="shared" si="50"/>
        <v>4.4165709742949311E-4</v>
      </c>
      <c r="M510" s="29">
        <f t="shared" si="51"/>
        <v>-2.1110407430868783E-4</v>
      </c>
      <c r="N510" s="29">
        <f t="shared" si="52"/>
        <v>-7.1321695760598547E-2</v>
      </c>
      <c r="O510" s="29">
        <f t="shared" si="53"/>
        <v>-1.3574081188372444E-2</v>
      </c>
      <c r="P510" s="30">
        <f t="shared" si="54"/>
        <v>-3.2424139993239565E-2</v>
      </c>
      <c r="Z510" s="3"/>
      <c r="AA510" s="3"/>
      <c r="AB510" s="3"/>
      <c r="AC510" s="3"/>
      <c r="AD510" s="3"/>
      <c r="AE510" s="7"/>
    </row>
    <row r="511" spans="2:31" x14ac:dyDescent="0.15">
      <c r="B511" s="16">
        <v>43392</v>
      </c>
      <c r="C511" s="23">
        <v>30967</v>
      </c>
      <c r="D511" s="23">
        <v>11324</v>
      </c>
      <c r="E511" s="23">
        <v>28595</v>
      </c>
      <c r="F511" s="23">
        <v>37611</v>
      </c>
      <c r="G511" s="23">
        <v>15341</v>
      </c>
      <c r="H511" s="24">
        <v>37767</v>
      </c>
      <c r="I511" s="2">
        <f t="shared" si="55"/>
        <v>507</v>
      </c>
      <c r="J511" s="16">
        <v>43392</v>
      </c>
      <c r="K511" s="29">
        <f t="shared" si="49"/>
        <v>-6.8631538436868533E-3</v>
      </c>
      <c r="L511" s="29">
        <f t="shared" si="50"/>
        <v>-1.7658484901994509E-4</v>
      </c>
      <c r="M511" s="29">
        <f t="shared" si="51"/>
        <v>6.299268018018056E-3</v>
      </c>
      <c r="N511" s="29">
        <f t="shared" si="52"/>
        <v>9.962406015037617E-3</v>
      </c>
      <c r="O511" s="29">
        <f t="shared" si="53"/>
        <v>-4.2191354017915295E-3</v>
      </c>
      <c r="P511" s="30">
        <f t="shared" si="54"/>
        <v>1.4914543695581983E-2</v>
      </c>
      <c r="Z511" s="3"/>
      <c r="AA511" s="3"/>
      <c r="AB511" s="3"/>
      <c r="AC511" s="3"/>
      <c r="AD511" s="3"/>
      <c r="AE511" s="7"/>
    </row>
    <row r="512" spans="2:31" x14ac:dyDescent="0.15">
      <c r="B512" s="16">
        <v>43399</v>
      </c>
      <c r="C512" s="23">
        <v>29115</v>
      </c>
      <c r="D512" s="23">
        <v>11365</v>
      </c>
      <c r="E512" s="23">
        <v>28421</v>
      </c>
      <c r="F512" s="23">
        <v>36729</v>
      </c>
      <c r="G512" s="23">
        <v>15345</v>
      </c>
      <c r="H512" s="24">
        <v>38224</v>
      </c>
      <c r="I512" s="2">
        <f t="shared" si="55"/>
        <v>508</v>
      </c>
      <c r="J512" s="16">
        <v>43399</v>
      </c>
      <c r="K512" s="29">
        <f t="shared" si="49"/>
        <v>-5.9805599509154872E-2</v>
      </c>
      <c r="L512" s="29">
        <f t="shared" si="50"/>
        <v>3.6206287530908821E-3</v>
      </c>
      <c r="M512" s="29">
        <f t="shared" si="51"/>
        <v>-6.0849798915894038E-3</v>
      </c>
      <c r="N512" s="29">
        <f t="shared" si="52"/>
        <v>-2.345058626465657E-2</v>
      </c>
      <c r="O512" s="29">
        <f t="shared" si="53"/>
        <v>2.6073919561953041E-4</v>
      </c>
      <c r="P512" s="30">
        <f t="shared" si="54"/>
        <v>1.2100511028146244E-2</v>
      </c>
      <c r="Z512" s="3"/>
      <c r="AA512" s="3"/>
      <c r="AB512" s="3"/>
      <c r="AC512" s="3"/>
      <c r="AD512" s="3"/>
      <c r="AE512" s="7"/>
    </row>
    <row r="513" spans="2:31" x14ac:dyDescent="0.15">
      <c r="B513" s="16">
        <v>43406</v>
      </c>
      <c r="C513" s="23">
        <v>30577</v>
      </c>
      <c r="D513" s="23">
        <v>11350</v>
      </c>
      <c r="E513" s="23">
        <v>28558</v>
      </c>
      <c r="F513" s="23">
        <v>37515</v>
      </c>
      <c r="G513" s="23">
        <v>15446</v>
      </c>
      <c r="H513" s="24">
        <v>38245</v>
      </c>
      <c r="I513" s="2">
        <f t="shared" si="55"/>
        <v>509</v>
      </c>
      <c r="J513" s="16">
        <v>43406</v>
      </c>
      <c r="K513" s="29">
        <f t="shared" si="49"/>
        <v>5.0214665979735562E-2</v>
      </c>
      <c r="L513" s="29">
        <f t="shared" si="50"/>
        <v>-1.3198416190056683E-3</v>
      </c>
      <c r="M513" s="29">
        <f t="shared" si="51"/>
        <v>4.8203792969987447E-3</v>
      </c>
      <c r="N513" s="29">
        <f t="shared" si="52"/>
        <v>2.1399983664134536E-2</v>
      </c>
      <c r="O513" s="29">
        <f t="shared" si="53"/>
        <v>6.5819485174323233E-3</v>
      </c>
      <c r="P513" s="30">
        <f t="shared" si="54"/>
        <v>5.4939305148593576E-4</v>
      </c>
      <c r="Z513" s="3"/>
      <c r="AA513" s="3"/>
      <c r="AB513" s="3"/>
      <c r="AC513" s="3"/>
      <c r="AD513" s="3"/>
      <c r="AE513" s="7"/>
    </row>
    <row r="514" spans="2:31" x14ac:dyDescent="0.15">
      <c r="B514" s="16">
        <v>43413</v>
      </c>
      <c r="C514" s="23">
        <v>30585</v>
      </c>
      <c r="D514" s="23">
        <v>11349</v>
      </c>
      <c r="E514" s="23">
        <v>28705</v>
      </c>
      <c r="F514" s="23">
        <v>38622</v>
      </c>
      <c r="G514" s="23">
        <v>15529</v>
      </c>
      <c r="H514" s="24">
        <v>39403</v>
      </c>
      <c r="I514" s="2">
        <f t="shared" si="55"/>
        <v>510</v>
      </c>
      <c r="J514" s="16">
        <v>43413</v>
      </c>
      <c r="K514" s="29">
        <f t="shared" si="49"/>
        <v>2.6163456192573875E-4</v>
      </c>
      <c r="L514" s="29">
        <f t="shared" si="50"/>
        <v>-8.8105726872234058E-5</v>
      </c>
      <c r="M514" s="29">
        <f t="shared" si="51"/>
        <v>5.1474192870648583E-3</v>
      </c>
      <c r="N514" s="29">
        <f t="shared" si="52"/>
        <v>2.9508196721311553E-2</v>
      </c>
      <c r="O514" s="29">
        <f t="shared" si="53"/>
        <v>5.3735594976045409E-3</v>
      </c>
      <c r="P514" s="30">
        <f t="shared" si="54"/>
        <v>3.0278467773565243E-2</v>
      </c>
      <c r="Z514" s="3"/>
      <c r="AA514" s="3"/>
      <c r="AB514" s="3"/>
      <c r="AC514" s="3"/>
      <c r="AD514" s="3"/>
      <c r="AE514" s="7"/>
    </row>
    <row r="515" spans="2:31" x14ac:dyDescent="0.15">
      <c r="B515" s="16">
        <v>43420</v>
      </c>
      <c r="C515" s="23">
        <v>29794</v>
      </c>
      <c r="D515" s="23">
        <v>11372</v>
      </c>
      <c r="E515" s="23">
        <v>29070</v>
      </c>
      <c r="F515" s="23">
        <v>37526</v>
      </c>
      <c r="G515" s="23">
        <v>15497</v>
      </c>
      <c r="H515" s="24">
        <v>38925</v>
      </c>
      <c r="I515" s="2">
        <f t="shared" si="55"/>
        <v>511</v>
      </c>
      <c r="J515" s="16">
        <v>43420</v>
      </c>
      <c r="K515" s="29">
        <f t="shared" si="49"/>
        <v>-2.5862350825568092E-2</v>
      </c>
      <c r="L515" s="29">
        <f t="shared" si="50"/>
        <v>2.0266102740329472E-3</v>
      </c>
      <c r="M515" s="29">
        <f t="shared" si="51"/>
        <v>1.2715554781397076E-2</v>
      </c>
      <c r="N515" s="29">
        <f t="shared" si="52"/>
        <v>-2.8377608616850458E-2</v>
      </c>
      <c r="O515" s="29">
        <f t="shared" si="53"/>
        <v>-2.0606606993367471E-3</v>
      </c>
      <c r="P515" s="30">
        <f t="shared" si="54"/>
        <v>-1.2131056010963648E-2</v>
      </c>
      <c r="Z515" s="3"/>
      <c r="AA515" s="3"/>
      <c r="AB515" s="3"/>
      <c r="AC515" s="3"/>
      <c r="AD515" s="3"/>
      <c r="AE515" s="7"/>
    </row>
    <row r="516" spans="2:31" x14ac:dyDescent="0.15">
      <c r="B516" s="16">
        <v>43427</v>
      </c>
      <c r="C516" s="23">
        <v>29752</v>
      </c>
      <c r="D516" s="23">
        <v>11389</v>
      </c>
      <c r="E516" s="23">
        <v>29205</v>
      </c>
      <c r="F516" s="23">
        <v>36542</v>
      </c>
      <c r="G516" s="23">
        <v>15474</v>
      </c>
      <c r="H516" s="24">
        <v>38882</v>
      </c>
      <c r="I516" s="2">
        <f t="shared" si="55"/>
        <v>512</v>
      </c>
      <c r="J516" s="16">
        <v>43427</v>
      </c>
      <c r="K516" s="29">
        <f t="shared" si="49"/>
        <v>-1.4096798013022438E-3</v>
      </c>
      <c r="L516" s="29">
        <f t="shared" si="50"/>
        <v>1.4948997537811426E-3</v>
      </c>
      <c r="M516" s="29">
        <f t="shared" si="51"/>
        <v>4.6439628482972672E-3</v>
      </c>
      <c r="N516" s="29">
        <f t="shared" si="52"/>
        <v>-2.6221819538453373E-2</v>
      </c>
      <c r="O516" s="29">
        <f t="shared" si="53"/>
        <v>-1.4841582241724716E-3</v>
      </c>
      <c r="P516" s="30">
        <f t="shared" si="54"/>
        <v>-1.1046885035324028E-3</v>
      </c>
      <c r="Z516" s="3"/>
      <c r="AA516" s="3"/>
      <c r="AB516" s="3"/>
      <c r="AC516" s="3"/>
      <c r="AD516" s="3"/>
      <c r="AE516" s="7"/>
    </row>
    <row r="517" spans="2:31" x14ac:dyDescent="0.15">
      <c r="B517" s="16">
        <v>43434</v>
      </c>
      <c r="C517" s="23">
        <v>30710</v>
      </c>
      <c r="D517" s="23">
        <v>11400</v>
      </c>
      <c r="E517" s="23">
        <v>29616</v>
      </c>
      <c r="F517" s="23">
        <v>37610</v>
      </c>
      <c r="G517" s="23">
        <v>15581</v>
      </c>
      <c r="H517" s="24">
        <v>39453</v>
      </c>
      <c r="I517" s="2">
        <f t="shared" si="55"/>
        <v>513</v>
      </c>
      <c r="J517" s="16">
        <v>43434</v>
      </c>
      <c r="K517" s="29">
        <f t="shared" ref="K517:K580" si="56">C517/C516-1</f>
        <v>3.2199515998924344E-2</v>
      </c>
      <c r="L517" s="29">
        <f t="shared" ref="L517:L580" si="57">D517/D516-1</f>
        <v>9.658442356659247E-4</v>
      </c>
      <c r="M517" s="29">
        <f t="shared" ref="M517:M580" si="58">E517/E516-1</f>
        <v>1.4072932717000608E-2</v>
      </c>
      <c r="N517" s="29">
        <f t="shared" ref="N517:N580" si="59">F517/F516-1</f>
        <v>2.9226643314542278E-2</v>
      </c>
      <c r="O517" s="29">
        <f t="shared" ref="O517:O580" si="60">G517/G516-1</f>
        <v>6.9148248675197088E-3</v>
      </c>
      <c r="P517" s="30">
        <f t="shared" ref="P517:P580" si="61">H517/H516-1</f>
        <v>1.4685458566946252E-2</v>
      </c>
      <c r="Z517" s="3"/>
      <c r="AA517" s="3"/>
      <c r="AB517" s="3"/>
      <c r="AC517" s="3"/>
      <c r="AD517" s="3"/>
      <c r="AE517" s="7"/>
    </row>
    <row r="518" spans="2:31" x14ac:dyDescent="0.15">
      <c r="B518" s="16">
        <v>43441</v>
      </c>
      <c r="C518" s="23">
        <v>29776</v>
      </c>
      <c r="D518" s="23">
        <v>11414</v>
      </c>
      <c r="E518" s="23">
        <v>29720</v>
      </c>
      <c r="F518" s="23">
        <v>36578</v>
      </c>
      <c r="G518" s="23">
        <v>15594</v>
      </c>
      <c r="H518" s="24">
        <v>39787</v>
      </c>
      <c r="I518" s="2">
        <f t="shared" si="55"/>
        <v>514</v>
      </c>
      <c r="J518" s="16">
        <v>43441</v>
      </c>
      <c r="K518" s="29">
        <f t="shared" si="56"/>
        <v>-3.0413546076196729E-2</v>
      </c>
      <c r="L518" s="29">
        <f t="shared" si="57"/>
        <v>1.2280701754385781E-3</v>
      </c>
      <c r="M518" s="29">
        <f t="shared" si="58"/>
        <v>3.5116153430578834E-3</v>
      </c>
      <c r="N518" s="29">
        <f t="shared" si="59"/>
        <v>-2.7439510768412667E-2</v>
      </c>
      <c r="O518" s="29">
        <f t="shared" si="60"/>
        <v>8.3434952827166065E-4</v>
      </c>
      <c r="P518" s="30">
        <f t="shared" si="61"/>
        <v>8.4657693964971248E-3</v>
      </c>
      <c r="Z518" s="3"/>
      <c r="AA518" s="3"/>
      <c r="AB518" s="3"/>
      <c r="AC518" s="3"/>
      <c r="AD518" s="3"/>
      <c r="AE518" s="7"/>
    </row>
    <row r="519" spans="2:31" x14ac:dyDescent="0.15">
      <c r="B519" s="16">
        <v>43448</v>
      </c>
      <c r="C519" s="23">
        <v>29360</v>
      </c>
      <c r="D519" s="23">
        <v>11438</v>
      </c>
      <c r="E519" s="23">
        <v>29642</v>
      </c>
      <c r="F519" s="23">
        <v>36548</v>
      </c>
      <c r="G519" s="23">
        <v>15691</v>
      </c>
      <c r="H519" s="24">
        <v>39227</v>
      </c>
      <c r="I519" s="2">
        <f t="shared" ref="I519:I582" si="62">I518+1</f>
        <v>515</v>
      </c>
      <c r="J519" s="16">
        <v>43448</v>
      </c>
      <c r="K519" s="29">
        <f t="shared" si="56"/>
        <v>-1.3970983342289078E-2</v>
      </c>
      <c r="L519" s="29">
        <f t="shared" si="57"/>
        <v>2.102680918170563E-3</v>
      </c>
      <c r="M519" s="29">
        <f t="shared" si="58"/>
        <v>-2.6244952893674789E-3</v>
      </c>
      <c r="N519" s="29">
        <f t="shared" si="59"/>
        <v>-8.2016512657878682E-4</v>
      </c>
      <c r="O519" s="29">
        <f t="shared" si="60"/>
        <v>6.2203411568551026E-3</v>
      </c>
      <c r="P519" s="30">
        <f t="shared" si="61"/>
        <v>-1.4074949103978662E-2</v>
      </c>
      <c r="Z519" s="3"/>
      <c r="AA519" s="3"/>
      <c r="AB519" s="3"/>
      <c r="AC519" s="3"/>
      <c r="AD519" s="3"/>
      <c r="AE519" s="7"/>
    </row>
    <row r="520" spans="2:31" x14ac:dyDescent="0.15">
      <c r="B520" s="16">
        <v>43455</v>
      </c>
      <c r="C520" s="23">
        <v>27690</v>
      </c>
      <c r="D520" s="23">
        <v>11445</v>
      </c>
      <c r="E520" s="23">
        <v>28668</v>
      </c>
      <c r="F520" s="23">
        <v>33775</v>
      </c>
      <c r="G520" s="23">
        <v>15521</v>
      </c>
      <c r="H520" s="24">
        <v>36912</v>
      </c>
      <c r="I520" s="2">
        <f t="shared" si="62"/>
        <v>516</v>
      </c>
      <c r="J520" s="16">
        <v>43455</v>
      </c>
      <c r="K520" s="29">
        <f t="shared" si="56"/>
        <v>-5.6880108991825606E-2</v>
      </c>
      <c r="L520" s="29">
        <f t="shared" si="57"/>
        <v>6.1199510403908697E-4</v>
      </c>
      <c r="M520" s="29">
        <f t="shared" si="58"/>
        <v>-3.2858781458740993E-2</v>
      </c>
      <c r="N520" s="29">
        <f t="shared" si="59"/>
        <v>-7.5872824778373649E-2</v>
      </c>
      <c r="O520" s="29">
        <f t="shared" si="60"/>
        <v>-1.0834236186348822E-2</v>
      </c>
      <c r="P520" s="30">
        <f t="shared" si="61"/>
        <v>-5.90154740357407E-2</v>
      </c>
      <c r="Z520" s="3"/>
      <c r="AA520" s="3"/>
      <c r="AB520" s="3"/>
      <c r="AC520" s="3"/>
      <c r="AD520" s="3"/>
      <c r="AE520" s="7"/>
    </row>
    <row r="521" spans="2:31" x14ac:dyDescent="0.15">
      <c r="B521" s="16">
        <v>43462</v>
      </c>
      <c r="C521" s="23">
        <v>27536</v>
      </c>
      <c r="D521" s="23">
        <v>11481</v>
      </c>
      <c r="E521" s="23">
        <v>29070</v>
      </c>
      <c r="F521" s="23">
        <v>33681</v>
      </c>
      <c r="G521" s="23">
        <v>15477</v>
      </c>
      <c r="H521" s="24">
        <v>36192</v>
      </c>
      <c r="I521" s="2">
        <f t="shared" si="62"/>
        <v>517</v>
      </c>
      <c r="J521" s="16">
        <v>43462</v>
      </c>
      <c r="K521" s="29">
        <f t="shared" si="56"/>
        <v>-5.5615745756590895E-3</v>
      </c>
      <c r="L521" s="29">
        <f t="shared" si="57"/>
        <v>3.1454783748361415E-3</v>
      </c>
      <c r="M521" s="29">
        <f t="shared" si="58"/>
        <v>1.4022603599832539E-2</v>
      </c>
      <c r="N521" s="29">
        <f t="shared" si="59"/>
        <v>-2.7831236121391711E-3</v>
      </c>
      <c r="O521" s="29">
        <f t="shared" si="60"/>
        <v>-2.8348688873139904E-3</v>
      </c>
      <c r="P521" s="30">
        <f t="shared" si="61"/>
        <v>-1.950585175552666E-2</v>
      </c>
      <c r="Z521" s="3"/>
      <c r="AA521" s="3"/>
      <c r="AB521" s="3"/>
      <c r="AC521" s="3"/>
      <c r="AD521" s="3"/>
      <c r="AE521" s="7"/>
    </row>
    <row r="522" spans="2:31" x14ac:dyDescent="0.15">
      <c r="B522" s="16">
        <v>43469</v>
      </c>
      <c r="C522" s="23">
        <v>26901</v>
      </c>
      <c r="D522" s="23">
        <v>11526</v>
      </c>
      <c r="E522" s="23">
        <v>28696</v>
      </c>
      <c r="F522" s="23">
        <v>32410</v>
      </c>
      <c r="G522" s="23">
        <v>15080</v>
      </c>
      <c r="H522" s="24">
        <v>34838</v>
      </c>
      <c r="I522" s="2">
        <f t="shared" si="62"/>
        <v>518</v>
      </c>
      <c r="J522" s="16">
        <v>43469</v>
      </c>
      <c r="K522" s="29">
        <f t="shared" si="56"/>
        <v>-2.3060720511330568E-2</v>
      </c>
      <c r="L522" s="29">
        <f t="shared" si="57"/>
        <v>3.9195192056440398E-3</v>
      </c>
      <c r="M522" s="29">
        <f t="shared" si="58"/>
        <v>-1.2865497076023358E-2</v>
      </c>
      <c r="N522" s="29">
        <f t="shared" si="59"/>
        <v>-3.7736409251506786E-2</v>
      </c>
      <c r="O522" s="29">
        <f t="shared" si="60"/>
        <v>-2.5650965949473359E-2</v>
      </c>
      <c r="P522" s="30">
        <f t="shared" si="61"/>
        <v>-3.7411582670203392E-2</v>
      </c>
      <c r="Z522" s="3"/>
      <c r="AA522" s="3"/>
      <c r="AB522" s="3"/>
      <c r="AC522" s="3"/>
      <c r="AD522" s="3"/>
      <c r="AE522" s="7"/>
    </row>
    <row r="523" spans="2:31" x14ac:dyDescent="0.15">
      <c r="B523" s="16">
        <v>43476</v>
      </c>
      <c r="C523" s="23">
        <v>27997</v>
      </c>
      <c r="D523" s="23">
        <v>11494</v>
      </c>
      <c r="E523" s="23">
        <v>29636</v>
      </c>
      <c r="F523" s="23">
        <v>34604</v>
      </c>
      <c r="G523" s="23">
        <v>15192</v>
      </c>
      <c r="H523" s="24">
        <v>36901</v>
      </c>
      <c r="I523" s="2">
        <f t="shared" si="62"/>
        <v>519</v>
      </c>
      <c r="J523" s="16">
        <v>43476</v>
      </c>
      <c r="K523" s="29">
        <f t="shared" si="56"/>
        <v>4.0741979852050081E-2</v>
      </c>
      <c r="L523" s="29">
        <f t="shared" si="57"/>
        <v>-2.7763317716467117E-3</v>
      </c>
      <c r="M523" s="29">
        <f t="shared" si="58"/>
        <v>3.2757178700864253E-2</v>
      </c>
      <c r="N523" s="29">
        <f t="shared" si="59"/>
        <v>6.7695155816106078E-2</v>
      </c>
      <c r="O523" s="29">
        <f t="shared" si="60"/>
        <v>7.4270557029176842E-3</v>
      </c>
      <c r="P523" s="30">
        <f t="shared" si="61"/>
        <v>5.9216947011883514E-2</v>
      </c>
      <c r="Z523" s="3"/>
      <c r="AA523" s="3"/>
      <c r="AB523" s="3"/>
      <c r="AC523" s="3"/>
      <c r="AD523" s="3"/>
      <c r="AE523" s="7"/>
    </row>
    <row r="524" spans="2:31" x14ac:dyDescent="0.15">
      <c r="B524" s="16">
        <v>43483</v>
      </c>
      <c r="C524" s="23">
        <v>28415</v>
      </c>
      <c r="D524" s="23">
        <v>11498</v>
      </c>
      <c r="E524" s="23">
        <v>29696</v>
      </c>
      <c r="F524" s="23">
        <v>35269</v>
      </c>
      <c r="G524" s="23">
        <v>15287</v>
      </c>
      <c r="H524" s="24">
        <v>37829</v>
      </c>
      <c r="I524" s="2">
        <f t="shared" si="62"/>
        <v>520</v>
      </c>
      <c r="J524" s="16">
        <v>43483</v>
      </c>
      <c r="K524" s="29">
        <f t="shared" si="56"/>
        <v>1.4930171089759581E-2</v>
      </c>
      <c r="L524" s="29">
        <f t="shared" si="57"/>
        <v>3.4800765616838092E-4</v>
      </c>
      <c r="M524" s="29">
        <f t="shared" si="58"/>
        <v>2.0245647185854754E-3</v>
      </c>
      <c r="N524" s="29">
        <f t="shared" si="59"/>
        <v>1.9217431510808014E-2</v>
      </c>
      <c r="O524" s="29">
        <f t="shared" si="60"/>
        <v>6.253291205897904E-3</v>
      </c>
      <c r="P524" s="30">
        <f t="shared" si="61"/>
        <v>2.5148369962873618E-2</v>
      </c>
      <c r="Z524" s="3"/>
      <c r="AA524" s="3"/>
      <c r="AB524" s="3"/>
      <c r="AC524" s="3"/>
      <c r="AD524" s="3"/>
      <c r="AE524" s="7"/>
    </row>
    <row r="525" spans="2:31" x14ac:dyDescent="0.15">
      <c r="B525" s="16">
        <v>43490</v>
      </c>
      <c r="C525" s="23">
        <v>28563</v>
      </c>
      <c r="D525" s="23">
        <v>11520</v>
      </c>
      <c r="E525" s="23">
        <v>29947</v>
      </c>
      <c r="F525" s="23">
        <v>35497</v>
      </c>
      <c r="G525" s="23">
        <v>15357</v>
      </c>
      <c r="H525" s="24">
        <v>38084</v>
      </c>
      <c r="I525" s="2">
        <f t="shared" si="62"/>
        <v>521</v>
      </c>
      <c r="J525" s="16">
        <v>43490</v>
      </c>
      <c r="K525" s="29">
        <f t="shared" si="56"/>
        <v>5.2085166285411599E-3</v>
      </c>
      <c r="L525" s="29">
        <f t="shared" si="57"/>
        <v>1.9133762393459541E-3</v>
      </c>
      <c r="M525" s="29">
        <f t="shared" si="58"/>
        <v>8.452316810344751E-3</v>
      </c>
      <c r="N525" s="29">
        <f t="shared" si="59"/>
        <v>6.464600640789353E-3</v>
      </c>
      <c r="O525" s="29">
        <f t="shared" si="60"/>
        <v>4.5790540982533212E-3</v>
      </c>
      <c r="P525" s="30">
        <f t="shared" si="61"/>
        <v>6.7408601866292273E-3</v>
      </c>
      <c r="Z525" s="3"/>
      <c r="AA525" s="3"/>
      <c r="AB525" s="3"/>
      <c r="AC525" s="3"/>
      <c r="AD525" s="3"/>
      <c r="AE525" s="7"/>
    </row>
    <row r="526" spans="2:31" x14ac:dyDescent="0.15">
      <c r="B526" s="16">
        <v>43497</v>
      </c>
      <c r="C526" s="23">
        <v>28573</v>
      </c>
      <c r="D526" s="23">
        <v>11556</v>
      </c>
      <c r="E526" s="23">
        <v>30423</v>
      </c>
      <c r="F526" s="23">
        <v>36054</v>
      </c>
      <c r="G526" s="23">
        <v>15391</v>
      </c>
      <c r="H526" s="24">
        <v>39491</v>
      </c>
      <c r="I526" s="2">
        <f t="shared" si="62"/>
        <v>522</v>
      </c>
      <c r="J526" s="16">
        <v>43497</v>
      </c>
      <c r="K526" s="29">
        <f t="shared" si="56"/>
        <v>3.5010328046780614E-4</v>
      </c>
      <c r="L526" s="29">
        <f t="shared" si="57"/>
        <v>3.1250000000000444E-3</v>
      </c>
      <c r="M526" s="29">
        <f t="shared" si="58"/>
        <v>1.5894747387050545E-2</v>
      </c>
      <c r="N526" s="29">
        <f t="shared" si="59"/>
        <v>1.5691466884525385E-2</v>
      </c>
      <c r="O526" s="29">
        <f t="shared" si="60"/>
        <v>2.2139740834798971E-3</v>
      </c>
      <c r="P526" s="30">
        <f t="shared" si="61"/>
        <v>3.6944648671358049E-2</v>
      </c>
      <c r="Z526" s="3"/>
      <c r="AA526" s="3"/>
      <c r="AB526" s="3"/>
      <c r="AC526" s="3"/>
      <c r="AD526" s="3"/>
      <c r="AE526" s="7"/>
    </row>
    <row r="527" spans="2:31" x14ac:dyDescent="0.15">
      <c r="B527" s="16">
        <v>43504</v>
      </c>
      <c r="C527" s="23">
        <v>27946</v>
      </c>
      <c r="D527" s="23">
        <v>11560</v>
      </c>
      <c r="E527" s="23">
        <v>30127</v>
      </c>
      <c r="F527" s="23">
        <v>36354</v>
      </c>
      <c r="G527" s="23">
        <v>15406</v>
      </c>
      <c r="H527" s="24">
        <v>39978</v>
      </c>
      <c r="I527" s="2">
        <f t="shared" si="62"/>
        <v>523</v>
      </c>
      <c r="J527" s="16">
        <v>43504</v>
      </c>
      <c r="K527" s="29">
        <f t="shared" si="56"/>
        <v>-2.1943793091379948E-2</v>
      </c>
      <c r="L527" s="29">
        <f t="shared" si="57"/>
        <v>3.4614053305648262E-4</v>
      </c>
      <c r="M527" s="29">
        <f t="shared" si="58"/>
        <v>-9.7294809847812136E-3</v>
      </c>
      <c r="N527" s="29">
        <f t="shared" si="59"/>
        <v>8.3208520552504606E-3</v>
      </c>
      <c r="O527" s="29">
        <f t="shared" si="60"/>
        <v>9.7459554284973215E-4</v>
      </c>
      <c r="P527" s="30">
        <f t="shared" si="61"/>
        <v>1.2331923729457239E-2</v>
      </c>
      <c r="Z527" s="3"/>
      <c r="AA527" s="3"/>
      <c r="AB527" s="3"/>
      <c r="AC527" s="3"/>
      <c r="AD527" s="3"/>
      <c r="AE527" s="7"/>
    </row>
    <row r="528" spans="2:31" x14ac:dyDescent="0.15">
      <c r="B528" s="16">
        <v>43511</v>
      </c>
      <c r="C528" s="23">
        <v>28725</v>
      </c>
      <c r="D528" s="23">
        <v>11554</v>
      </c>
      <c r="E528" s="23">
        <v>30119</v>
      </c>
      <c r="F528" s="23">
        <v>37011</v>
      </c>
      <c r="G528" s="23">
        <v>15464</v>
      </c>
      <c r="H528" s="24">
        <v>40034</v>
      </c>
      <c r="I528" s="2">
        <f t="shared" si="62"/>
        <v>524</v>
      </c>
      <c r="J528" s="16">
        <v>43511</v>
      </c>
      <c r="K528" s="29">
        <f t="shared" si="56"/>
        <v>2.7875187862305806E-2</v>
      </c>
      <c r="L528" s="29">
        <f t="shared" si="57"/>
        <v>-5.1903114186846455E-4</v>
      </c>
      <c r="M528" s="29">
        <f t="shared" si="58"/>
        <v>-2.6554253659505367E-4</v>
      </c>
      <c r="N528" s="29">
        <f t="shared" si="59"/>
        <v>1.8072289156626509E-2</v>
      </c>
      <c r="O528" s="29">
        <f t="shared" si="60"/>
        <v>3.7647669739062639E-3</v>
      </c>
      <c r="P528" s="30">
        <f t="shared" si="61"/>
        <v>1.4007704237330998E-3</v>
      </c>
      <c r="Z528" s="3"/>
      <c r="AA528" s="3"/>
      <c r="AB528" s="3"/>
      <c r="AC528" s="3"/>
      <c r="AD528" s="3"/>
      <c r="AE528" s="7"/>
    </row>
    <row r="529" spans="2:31" x14ac:dyDescent="0.15">
      <c r="B529" s="16">
        <v>43518</v>
      </c>
      <c r="C529" s="23">
        <v>29440</v>
      </c>
      <c r="D529" s="23">
        <v>11567</v>
      </c>
      <c r="E529" s="23">
        <v>30419</v>
      </c>
      <c r="F529" s="23">
        <v>37651</v>
      </c>
      <c r="G529" s="23">
        <v>15536</v>
      </c>
      <c r="H529" s="24">
        <v>40292</v>
      </c>
      <c r="I529" s="2">
        <f t="shared" si="62"/>
        <v>525</v>
      </c>
      <c r="J529" s="16">
        <v>43518</v>
      </c>
      <c r="K529" s="29">
        <f t="shared" si="56"/>
        <v>2.4891209747606613E-2</v>
      </c>
      <c r="L529" s="29">
        <f t="shared" si="57"/>
        <v>1.1251514626968717E-3</v>
      </c>
      <c r="M529" s="29">
        <f t="shared" si="58"/>
        <v>9.9604900561107712E-3</v>
      </c>
      <c r="N529" s="29">
        <f t="shared" si="59"/>
        <v>1.7292156385939395E-2</v>
      </c>
      <c r="O529" s="29">
        <f t="shared" si="60"/>
        <v>4.6559751681325423E-3</v>
      </c>
      <c r="P529" s="30">
        <f t="shared" si="61"/>
        <v>6.4445221561673094E-3</v>
      </c>
      <c r="Z529" s="3"/>
      <c r="AA529" s="3"/>
      <c r="AB529" s="3"/>
      <c r="AC529" s="3"/>
      <c r="AD529" s="3"/>
      <c r="AE529" s="7"/>
    </row>
    <row r="530" spans="2:31" x14ac:dyDescent="0.15">
      <c r="B530" s="16">
        <v>43525</v>
      </c>
      <c r="C530" s="23">
        <v>29701</v>
      </c>
      <c r="D530" s="23">
        <v>11533</v>
      </c>
      <c r="E530" s="23">
        <v>30384</v>
      </c>
      <c r="F530" s="23">
        <v>38129</v>
      </c>
      <c r="G530" s="23">
        <v>15651</v>
      </c>
      <c r="H530" s="24">
        <v>40427</v>
      </c>
      <c r="I530" s="2">
        <f t="shared" si="62"/>
        <v>526</v>
      </c>
      <c r="J530" s="16">
        <v>43525</v>
      </c>
      <c r="K530" s="29">
        <f t="shared" si="56"/>
        <v>8.8654891304347228E-3</v>
      </c>
      <c r="L530" s="29">
        <f t="shared" si="57"/>
        <v>-2.9393965591769655E-3</v>
      </c>
      <c r="M530" s="29">
        <f t="shared" si="58"/>
        <v>-1.1505966665570355E-3</v>
      </c>
      <c r="N530" s="29">
        <f t="shared" si="59"/>
        <v>1.2695545935034858E-2</v>
      </c>
      <c r="O530" s="29">
        <f t="shared" si="60"/>
        <v>7.4021627188465278E-3</v>
      </c>
      <c r="P530" s="30">
        <f t="shared" si="61"/>
        <v>3.3505410503325006E-3</v>
      </c>
      <c r="Z530" s="3"/>
      <c r="AA530" s="3"/>
      <c r="AB530" s="3"/>
      <c r="AC530" s="3"/>
      <c r="AD530" s="3"/>
      <c r="AE530" s="7"/>
    </row>
    <row r="531" spans="2:31" x14ac:dyDescent="0.15">
      <c r="B531" s="16">
        <v>43532</v>
      </c>
      <c r="C531" s="23">
        <v>28897</v>
      </c>
      <c r="D531" s="23">
        <v>11561</v>
      </c>
      <c r="E531" s="23">
        <v>30270</v>
      </c>
      <c r="F531" s="23">
        <v>37688</v>
      </c>
      <c r="G531" s="23">
        <v>15640</v>
      </c>
      <c r="H531" s="24">
        <v>40281</v>
      </c>
      <c r="I531" s="2">
        <f t="shared" si="62"/>
        <v>527</v>
      </c>
      <c r="J531" s="16">
        <v>43532</v>
      </c>
      <c r="K531" s="29">
        <f t="shared" si="56"/>
        <v>-2.7069795629776738E-2</v>
      </c>
      <c r="L531" s="29">
        <f t="shared" si="57"/>
        <v>2.4278158328274735E-3</v>
      </c>
      <c r="M531" s="29">
        <f t="shared" si="58"/>
        <v>-3.7519747235387202E-3</v>
      </c>
      <c r="N531" s="29">
        <f t="shared" si="59"/>
        <v>-1.1565999632825452E-2</v>
      </c>
      <c r="O531" s="29">
        <f t="shared" si="60"/>
        <v>-7.0283049006458764E-4</v>
      </c>
      <c r="P531" s="30">
        <f t="shared" si="61"/>
        <v>-3.6114477947906121E-3</v>
      </c>
      <c r="Z531" s="3"/>
      <c r="AA531" s="3"/>
      <c r="AB531" s="3"/>
      <c r="AC531" s="3"/>
      <c r="AD531" s="3"/>
      <c r="AE531" s="7"/>
    </row>
    <row r="532" spans="2:31" x14ac:dyDescent="0.15">
      <c r="B532" s="16">
        <v>43539</v>
      </c>
      <c r="C532" s="23">
        <v>29479</v>
      </c>
      <c r="D532" s="23">
        <v>11567</v>
      </c>
      <c r="E532" s="23">
        <v>30959</v>
      </c>
      <c r="F532" s="23">
        <v>38579</v>
      </c>
      <c r="G532" s="23">
        <v>15768</v>
      </c>
      <c r="H532" s="24">
        <v>41325</v>
      </c>
      <c r="I532" s="2">
        <f t="shared" si="62"/>
        <v>528</v>
      </c>
      <c r="J532" s="16">
        <v>43539</v>
      </c>
      <c r="K532" s="29">
        <f t="shared" si="56"/>
        <v>2.0140499013738378E-2</v>
      </c>
      <c r="L532" s="29">
        <f t="shared" si="57"/>
        <v>5.1898624686441686E-4</v>
      </c>
      <c r="M532" s="29">
        <f t="shared" si="58"/>
        <v>2.2761810373306934E-2</v>
      </c>
      <c r="N532" s="29">
        <f t="shared" si="59"/>
        <v>2.3641477393334664E-2</v>
      </c>
      <c r="O532" s="29">
        <f t="shared" si="60"/>
        <v>8.1841432225064903E-3</v>
      </c>
      <c r="P532" s="30">
        <f t="shared" si="61"/>
        <v>2.591792656587466E-2</v>
      </c>
      <c r="Z532" s="3"/>
      <c r="AA532" s="3"/>
      <c r="AB532" s="3"/>
      <c r="AC532" s="3"/>
      <c r="AD532" s="3"/>
      <c r="AE532" s="7"/>
    </row>
    <row r="533" spans="2:31" x14ac:dyDescent="0.15">
      <c r="B533" s="16">
        <v>43546</v>
      </c>
      <c r="C533" s="23">
        <v>29711</v>
      </c>
      <c r="D533" s="23">
        <v>11604</v>
      </c>
      <c r="E533" s="23">
        <v>31298</v>
      </c>
      <c r="F533" s="23">
        <v>38737</v>
      </c>
      <c r="G533" s="23">
        <v>15731</v>
      </c>
      <c r="H533" s="24">
        <v>41155</v>
      </c>
      <c r="I533" s="2">
        <f t="shared" si="62"/>
        <v>529</v>
      </c>
      <c r="J533" s="16">
        <v>43546</v>
      </c>
      <c r="K533" s="29">
        <f t="shared" si="56"/>
        <v>7.870009159062441E-3</v>
      </c>
      <c r="L533" s="29">
        <f t="shared" si="57"/>
        <v>3.1987550791043873E-3</v>
      </c>
      <c r="M533" s="29">
        <f t="shared" si="58"/>
        <v>1.0949966084175866E-2</v>
      </c>
      <c r="N533" s="29">
        <f t="shared" si="59"/>
        <v>4.0954923663132359E-3</v>
      </c>
      <c r="O533" s="29">
        <f t="shared" si="60"/>
        <v>-2.3465246067986278E-3</v>
      </c>
      <c r="P533" s="30">
        <f t="shared" si="61"/>
        <v>-4.1137326073805713E-3</v>
      </c>
      <c r="Z533" s="3"/>
      <c r="AA533" s="3"/>
      <c r="AB533" s="3"/>
      <c r="AC533" s="3"/>
      <c r="AD533" s="3"/>
      <c r="AE533" s="7"/>
    </row>
    <row r="534" spans="2:31" x14ac:dyDescent="0.15">
      <c r="B534" s="16">
        <v>43553</v>
      </c>
      <c r="C534" s="23">
        <v>29368</v>
      </c>
      <c r="D534" s="23">
        <v>11623</v>
      </c>
      <c r="E534" s="23">
        <v>31503</v>
      </c>
      <c r="F534" s="23">
        <v>38230</v>
      </c>
      <c r="G534" s="23">
        <v>15785</v>
      </c>
      <c r="H534" s="24">
        <v>41621</v>
      </c>
      <c r="I534" s="2">
        <f t="shared" si="62"/>
        <v>530</v>
      </c>
      <c r="J534" s="16">
        <v>43553</v>
      </c>
      <c r="K534" s="29">
        <f t="shared" si="56"/>
        <v>-1.1544545791121186E-2</v>
      </c>
      <c r="L534" s="29">
        <f t="shared" si="57"/>
        <v>1.6373664253706011E-3</v>
      </c>
      <c r="M534" s="29">
        <f t="shared" si="58"/>
        <v>6.5499392932455436E-3</v>
      </c>
      <c r="N534" s="29">
        <f t="shared" si="59"/>
        <v>-1.3088261868497764E-2</v>
      </c>
      <c r="O534" s="29">
        <f t="shared" si="60"/>
        <v>3.4327124785455965E-3</v>
      </c>
      <c r="P534" s="30">
        <f t="shared" si="61"/>
        <v>1.13230470173733E-2</v>
      </c>
      <c r="Z534" s="3"/>
      <c r="AA534" s="3"/>
      <c r="AB534" s="3"/>
      <c r="AC534" s="3"/>
      <c r="AD534" s="3"/>
      <c r="AE534" s="7"/>
    </row>
    <row r="535" spans="2:31" x14ac:dyDescent="0.15">
      <c r="B535" s="16">
        <v>43560</v>
      </c>
      <c r="C535" s="23">
        <v>30195</v>
      </c>
      <c r="D535" s="23">
        <v>11579</v>
      </c>
      <c r="E535" s="23">
        <v>31057</v>
      </c>
      <c r="F535" s="23">
        <v>39441</v>
      </c>
      <c r="G535" s="23">
        <v>15820</v>
      </c>
      <c r="H535" s="24">
        <v>41906</v>
      </c>
      <c r="I535" s="2">
        <f t="shared" si="62"/>
        <v>531</v>
      </c>
      <c r="J535" s="16">
        <v>43560</v>
      </c>
      <c r="K535" s="29">
        <f t="shared" si="56"/>
        <v>2.8159901934077913E-2</v>
      </c>
      <c r="L535" s="29">
        <f t="shared" si="57"/>
        <v>-3.7855975221543492E-3</v>
      </c>
      <c r="M535" s="29">
        <f t="shared" si="58"/>
        <v>-1.4157381836650496E-2</v>
      </c>
      <c r="N535" s="29">
        <f t="shared" si="59"/>
        <v>3.1676693696050195E-2</v>
      </c>
      <c r="O535" s="29">
        <f t="shared" si="60"/>
        <v>2.2172949002217113E-3</v>
      </c>
      <c r="P535" s="30">
        <f t="shared" si="61"/>
        <v>6.8475048653324766E-3</v>
      </c>
      <c r="Z535" s="3"/>
      <c r="AA535" s="3"/>
      <c r="AB535" s="3"/>
      <c r="AC535" s="3"/>
      <c r="AD535" s="3"/>
      <c r="AE535" s="7"/>
    </row>
    <row r="536" spans="2:31" x14ac:dyDescent="0.15">
      <c r="B536" s="16">
        <v>43567</v>
      </c>
      <c r="C536" s="23">
        <v>30278</v>
      </c>
      <c r="D536" s="23">
        <v>11603</v>
      </c>
      <c r="E536" s="23">
        <v>30971</v>
      </c>
      <c r="F536" s="23">
        <v>39575</v>
      </c>
      <c r="G536" s="23">
        <v>15878</v>
      </c>
      <c r="H536" s="24">
        <v>41974</v>
      </c>
      <c r="I536" s="2">
        <f t="shared" si="62"/>
        <v>532</v>
      </c>
      <c r="J536" s="16">
        <v>43567</v>
      </c>
      <c r="K536" s="29">
        <f t="shared" si="56"/>
        <v>2.7487994701109741E-3</v>
      </c>
      <c r="L536" s="29">
        <f t="shared" si="57"/>
        <v>2.0727178512824906E-3</v>
      </c>
      <c r="M536" s="29">
        <f t="shared" si="58"/>
        <v>-2.7691019737901001E-3</v>
      </c>
      <c r="N536" s="29">
        <f t="shared" si="59"/>
        <v>3.3974797799245504E-3</v>
      </c>
      <c r="O536" s="29">
        <f t="shared" si="60"/>
        <v>3.6662452591655903E-3</v>
      </c>
      <c r="P536" s="30">
        <f t="shared" si="61"/>
        <v>1.6226793299289888E-3</v>
      </c>
      <c r="Z536" s="3"/>
      <c r="AA536" s="3"/>
      <c r="AB536" s="3"/>
      <c r="AC536" s="3"/>
      <c r="AD536" s="3"/>
      <c r="AE536" s="7"/>
    </row>
    <row r="537" spans="2:31" x14ac:dyDescent="0.15">
      <c r="B537" s="16">
        <v>43574</v>
      </c>
      <c r="C537" s="23">
        <v>30732</v>
      </c>
      <c r="D537" s="23">
        <v>11566</v>
      </c>
      <c r="E537" s="23">
        <v>31063</v>
      </c>
      <c r="F537" s="23">
        <v>39896</v>
      </c>
      <c r="G537" s="23">
        <v>15825</v>
      </c>
      <c r="H537" s="24">
        <v>41257</v>
      </c>
      <c r="I537" s="2">
        <f t="shared" si="62"/>
        <v>533</v>
      </c>
      <c r="J537" s="16">
        <v>43574</v>
      </c>
      <c r="K537" s="29">
        <f t="shared" si="56"/>
        <v>1.4994385362309348E-2</v>
      </c>
      <c r="L537" s="29">
        <f t="shared" si="57"/>
        <v>-3.188830474877169E-3</v>
      </c>
      <c r="M537" s="29">
        <f t="shared" si="58"/>
        <v>2.9705208097898783E-3</v>
      </c>
      <c r="N537" s="29">
        <f t="shared" si="59"/>
        <v>8.1111813013265976E-3</v>
      </c>
      <c r="O537" s="29">
        <f t="shared" si="60"/>
        <v>-3.3379518831087029E-3</v>
      </c>
      <c r="P537" s="30">
        <f t="shared" si="61"/>
        <v>-1.7082003144803903E-2</v>
      </c>
      <c r="Z537" s="3"/>
      <c r="AA537" s="3"/>
      <c r="AB537" s="3"/>
      <c r="AC537" s="3"/>
      <c r="AD537" s="3"/>
      <c r="AE537" s="7"/>
    </row>
    <row r="538" spans="2:31" x14ac:dyDescent="0.15">
      <c r="B538" s="16">
        <v>43581</v>
      </c>
      <c r="C538" s="23">
        <v>30821</v>
      </c>
      <c r="D538" s="23">
        <v>11584</v>
      </c>
      <c r="E538" s="23">
        <v>31271</v>
      </c>
      <c r="F538" s="23">
        <v>39928</v>
      </c>
      <c r="G538" s="23">
        <v>15735</v>
      </c>
      <c r="H538" s="24">
        <v>41476</v>
      </c>
      <c r="I538" s="2">
        <f t="shared" si="62"/>
        <v>534</v>
      </c>
      <c r="J538" s="16">
        <v>43581</v>
      </c>
      <c r="K538" s="29">
        <f t="shared" si="56"/>
        <v>2.8960041650396562E-3</v>
      </c>
      <c r="L538" s="29">
        <f t="shared" si="57"/>
        <v>1.556285664879864E-3</v>
      </c>
      <c r="M538" s="29">
        <f t="shared" si="58"/>
        <v>6.6960692785629217E-3</v>
      </c>
      <c r="N538" s="29">
        <f t="shared" si="59"/>
        <v>8.02085422097365E-4</v>
      </c>
      <c r="O538" s="29">
        <f t="shared" si="60"/>
        <v>-5.687203791469142E-3</v>
      </c>
      <c r="P538" s="30">
        <f t="shared" si="61"/>
        <v>5.3081901253120289E-3</v>
      </c>
      <c r="Z538" s="3"/>
      <c r="AA538" s="3"/>
      <c r="AB538" s="3"/>
      <c r="AC538" s="3"/>
      <c r="AD538" s="3"/>
      <c r="AE538" s="7"/>
    </row>
    <row r="539" spans="2:31" x14ac:dyDescent="0.15">
      <c r="B539" s="16">
        <v>43588</v>
      </c>
      <c r="C539" s="23">
        <v>30821</v>
      </c>
      <c r="D539" s="23">
        <v>11584</v>
      </c>
      <c r="E539" s="23">
        <v>31271</v>
      </c>
      <c r="F539" s="23">
        <v>39928</v>
      </c>
      <c r="G539" s="23">
        <v>15735</v>
      </c>
      <c r="H539" s="24">
        <v>41476</v>
      </c>
      <c r="I539" s="2">
        <f t="shared" si="62"/>
        <v>535</v>
      </c>
      <c r="J539" s="16">
        <v>43588</v>
      </c>
      <c r="K539" s="29">
        <f t="shared" si="56"/>
        <v>0</v>
      </c>
      <c r="L539" s="29">
        <f t="shared" si="57"/>
        <v>0</v>
      </c>
      <c r="M539" s="29">
        <f t="shared" si="58"/>
        <v>0</v>
      </c>
      <c r="N539" s="29">
        <f t="shared" si="59"/>
        <v>0</v>
      </c>
      <c r="O539" s="29">
        <f t="shared" si="60"/>
        <v>0</v>
      </c>
      <c r="P539" s="30">
        <f t="shared" si="61"/>
        <v>0</v>
      </c>
      <c r="Z539" s="3"/>
      <c r="AA539" s="3"/>
      <c r="AB539" s="3"/>
      <c r="AC539" s="3"/>
      <c r="AD539" s="3"/>
      <c r="AE539" s="7"/>
    </row>
    <row r="540" spans="2:31" x14ac:dyDescent="0.15">
      <c r="B540" s="16">
        <v>43595</v>
      </c>
      <c r="C540" s="23">
        <v>29548</v>
      </c>
      <c r="D540" s="23">
        <v>11593</v>
      </c>
      <c r="E540" s="23">
        <v>31268</v>
      </c>
      <c r="F540" s="23">
        <v>38460</v>
      </c>
      <c r="G540" s="23">
        <v>15583</v>
      </c>
      <c r="H540" s="24">
        <v>40645</v>
      </c>
      <c r="I540" s="2">
        <f t="shared" si="62"/>
        <v>536</v>
      </c>
      <c r="J540" s="16">
        <v>43595</v>
      </c>
      <c r="K540" s="29">
        <f t="shared" si="56"/>
        <v>-4.1303007689562299E-2</v>
      </c>
      <c r="L540" s="29">
        <f t="shared" si="57"/>
        <v>7.7693370165743403E-4</v>
      </c>
      <c r="M540" s="29">
        <f t="shared" si="58"/>
        <v>-9.5935531322921541E-5</v>
      </c>
      <c r="N540" s="29">
        <f t="shared" si="59"/>
        <v>-3.6766179122420306E-2</v>
      </c>
      <c r="O540" s="29">
        <f t="shared" si="60"/>
        <v>-9.6599936447410162E-3</v>
      </c>
      <c r="P540" s="30">
        <f t="shared" si="61"/>
        <v>-2.0035683286720007E-2</v>
      </c>
      <c r="Z540" s="3"/>
      <c r="AA540" s="3"/>
      <c r="AB540" s="3"/>
      <c r="AC540" s="3"/>
      <c r="AD540" s="3"/>
      <c r="AE540" s="7"/>
    </row>
    <row r="541" spans="2:31" x14ac:dyDescent="0.15">
      <c r="B541" s="16">
        <v>43602</v>
      </c>
      <c r="C541" s="23">
        <v>29426</v>
      </c>
      <c r="D541" s="23">
        <v>11599</v>
      </c>
      <c r="E541" s="23">
        <v>31815</v>
      </c>
      <c r="F541" s="23">
        <v>38714</v>
      </c>
      <c r="G541" s="23">
        <v>15604</v>
      </c>
      <c r="H541" s="24">
        <v>41476</v>
      </c>
      <c r="I541" s="2">
        <f t="shared" si="62"/>
        <v>537</v>
      </c>
      <c r="J541" s="16">
        <v>43602</v>
      </c>
      <c r="K541" s="29">
        <f t="shared" si="56"/>
        <v>-4.1288750507648686E-3</v>
      </c>
      <c r="L541" s="29">
        <f t="shared" si="57"/>
        <v>5.1755369619588265E-4</v>
      </c>
      <c r="M541" s="29">
        <f t="shared" si="58"/>
        <v>1.7493923500063957E-2</v>
      </c>
      <c r="N541" s="29">
        <f t="shared" si="59"/>
        <v>6.6042641705668093E-3</v>
      </c>
      <c r="O541" s="29">
        <f t="shared" si="60"/>
        <v>1.3476224090354094E-3</v>
      </c>
      <c r="P541" s="30">
        <f t="shared" si="61"/>
        <v>2.0445319227457182E-2</v>
      </c>
      <c r="Z541" s="3"/>
      <c r="AA541" s="3"/>
      <c r="AB541" s="3"/>
      <c r="AC541" s="3"/>
      <c r="AD541" s="3"/>
      <c r="AE541" s="7"/>
    </row>
    <row r="542" spans="2:31" x14ac:dyDescent="0.15">
      <c r="B542" s="16">
        <v>43609</v>
      </c>
      <c r="C542" s="23">
        <v>29232</v>
      </c>
      <c r="D542" s="23">
        <v>11618</v>
      </c>
      <c r="E542" s="23">
        <v>32215</v>
      </c>
      <c r="F542" s="23">
        <v>37909</v>
      </c>
      <c r="G542" s="23">
        <v>15627</v>
      </c>
      <c r="H542" s="24">
        <v>41301</v>
      </c>
      <c r="I542" s="2">
        <f t="shared" si="62"/>
        <v>538</v>
      </c>
      <c r="J542" s="16">
        <v>43609</v>
      </c>
      <c r="K542" s="29">
        <f t="shared" si="56"/>
        <v>-6.5928090804050488E-3</v>
      </c>
      <c r="L542" s="29">
        <f t="shared" si="57"/>
        <v>1.6380722476074805E-3</v>
      </c>
      <c r="M542" s="29">
        <f t="shared" si="58"/>
        <v>1.2572685840012587E-2</v>
      </c>
      <c r="N542" s="29">
        <f t="shared" si="59"/>
        <v>-2.0793511391227981E-2</v>
      </c>
      <c r="O542" s="29">
        <f t="shared" si="60"/>
        <v>1.4739810305048895E-3</v>
      </c>
      <c r="P542" s="30">
        <f t="shared" si="61"/>
        <v>-4.2193075513550227E-3</v>
      </c>
      <c r="Z542" s="3"/>
      <c r="AA542" s="3"/>
      <c r="AB542" s="3"/>
      <c r="AC542" s="3"/>
      <c r="AD542" s="3"/>
      <c r="AE542" s="7"/>
    </row>
    <row r="543" spans="2:31" x14ac:dyDescent="0.15">
      <c r="B543" s="16">
        <v>43616</v>
      </c>
      <c r="C543" s="23">
        <v>28508</v>
      </c>
      <c r="D543" s="23">
        <v>11653</v>
      </c>
      <c r="E543" s="23">
        <v>31798</v>
      </c>
      <c r="F543" s="23">
        <v>37389</v>
      </c>
      <c r="G543" s="23">
        <v>15603</v>
      </c>
      <c r="H543" s="24">
        <v>40446</v>
      </c>
      <c r="I543" s="2">
        <f t="shared" si="62"/>
        <v>539</v>
      </c>
      <c r="J543" s="16">
        <v>43616</v>
      </c>
      <c r="K543" s="29">
        <f t="shared" si="56"/>
        <v>-2.4767378215654112E-2</v>
      </c>
      <c r="L543" s="29">
        <f t="shared" si="57"/>
        <v>3.0125667068341411E-3</v>
      </c>
      <c r="M543" s="29">
        <f t="shared" si="58"/>
        <v>-1.2944280614620496E-2</v>
      </c>
      <c r="N543" s="29">
        <f t="shared" si="59"/>
        <v>-1.3717059273523402E-2</v>
      </c>
      <c r="O543" s="29">
        <f t="shared" si="60"/>
        <v>-1.53580341716264E-3</v>
      </c>
      <c r="P543" s="30">
        <f t="shared" si="61"/>
        <v>-2.0701677925473949E-2</v>
      </c>
      <c r="Z543" s="3"/>
      <c r="AA543" s="3"/>
      <c r="AB543" s="3"/>
      <c r="AC543" s="3"/>
      <c r="AD543" s="3"/>
      <c r="AE543" s="7"/>
    </row>
    <row r="544" spans="2:31" x14ac:dyDescent="0.15">
      <c r="B544" s="16">
        <v>43623</v>
      </c>
      <c r="C544" s="23">
        <v>28909</v>
      </c>
      <c r="D544" s="23">
        <v>11683</v>
      </c>
      <c r="E544" s="23">
        <v>31947</v>
      </c>
      <c r="F544" s="23">
        <v>37806</v>
      </c>
      <c r="G544" s="23">
        <v>15689</v>
      </c>
      <c r="H544" s="24">
        <v>41055</v>
      </c>
      <c r="I544" s="2">
        <f t="shared" si="62"/>
        <v>540</v>
      </c>
      <c r="J544" s="16">
        <v>43623</v>
      </c>
      <c r="K544" s="29">
        <f t="shared" si="56"/>
        <v>1.4066227023993294E-2</v>
      </c>
      <c r="L544" s="29">
        <f t="shared" si="57"/>
        <v>2.5744443490947067E-3</v>
      </c>
      <c r="M544" s="29">
        <f t="shared" si="58"/>
        <v>4.6858292974401028E-3</v>
      </c>
      <c r="N544" s="29">
        <f t="shared" si="59"/>
        <v>1.1153012918238003E-2</v>
      </c>
      <c r="O544" s="29">
        <f t="shared" si="60"/>
        <v>5.5117605588668184E-3</v>
      </c>
      <c r="P544" s="30">
        <f t="shared" si="61"/>
        <v>1.5057113187954219E-2</v>
      </c>
      <c r="Z544" s="3"/>
      <c r="AA544" s="3"/>
      <c r="AB544" s="3"/>
      <c r="AC544" s="3"/>
      <c r="AD544" s="3"/>
      <c r="AE544" s="7"/>
    </row>
    <row r="545" spans="2:31" x14ac:dyDescent="0.15">
      <c r="B545" s="16">
        <v>43630</v>
      </c>
      <c r="C545" s="23">
        <v>29220</v>
      </c>
      <c r="D545" s="23">
        <v>11701</v>
      </c>
      <c r="E545" s="23">
        <v>32226</v>
      </c>
      <c r="F545" s="23">
        <v>38413</v>
      </c>
      <c r="G545" s="23">
        <v>15719</v>
      </c>
      <c r="H545" s="24">
        <v>41430</v>
      </c>
      <c r="I545" s="2">
        <f t="shared" si="62"/>
        <v>541</v>
      </c>
      <c r="J545" s="16">
        <v>43630</v>
      </c>
      <c r="K545" s="29">
        <f t="shared" si="56"/>
        <v>1.0757895465079992E-2</v>
      </c>
      <c r="L545" s="29">
        <f t="shared" si="57"/>
        <v>1.5407001626295269E-3</v>
      </c>
      <c r="M545" s="29">
        <f t="shared" si="58"/>
        <v>8.7332143863274592E-3</v>
      </c>
      <c r="N545" s="29">
        <f t="shared" si="59"/>
        <v>1.6055652541924648E-2</v>
      </c>
      <c r="O545" s="29">
        <f t="shared" si="60"/>
        <v>1.9121677608515686E-3</v>
      </c>
      <c r="P545" s="30">
        <f t="shared" si="61"/>
        <v>9.1340884179758053E-3</v>
      </c>
      <c r="Z545" s="3"/>
      <c r="AA545" s="3"/>
      <c r="AB545" s="3"/>
      <c r="AC545" s="3"/>
      <c r="AD545" s="3"/>
      <c r="AE545" s="7"/>
    </row>
    <row r="546" spans="2:31" x14ac:dyDescent="0.15">
      <c r="B546" s="16">
        <v>43637</v>
      </c>
      <c r="C546" s="23">
        <v>29412</v>
      </c>
      <c r="D546" s="23">
        <v>11746</v>
      </c>
      <c r="E546" s="23">
        <v>32271</v>
      </c>
      <c r="F546" s="23">
        <v>38882</v>
      </c>
      <c r="G546" s="23">
        <v>15710</v>
      </c>
      <c r="H546" s="24">
        <v>41620</v>
      </c>
      <c r="I546" s="2">
        <f t="shared" si="62"/>
        <v>542</v>
      </c>
      <c r="J546" s="16">
        <v>43637</v>
      </c>
      <c r="K546" s="29">
        <f t="shared" si="56"/>
        <v>6.5708418891170517E-3</v>
      </c>
      <c r="L546" s="29">
        <f t="shared" si="57"/>
        <v>3.8458251431501278E-3</v>
      </c>
      <c r="M546" s="29">
        <f t="shared" si="58"/>
        <v>1.3963880096816705E-3</v>
      </c>
      <c r="N546" s="29">
        <f t="shared" si="59"/>
        <v>1.2209408273240907E-2</v>
      </c>
      <c r="O546" s="29">
        <f t="shared" si="60"/>
        <v>-5.7255550607548944E-4</v>
      </c>
      <c r="P546" s="30">
        <f t="shared" si="61"/>
        <v>4.5860487569393538E-3</v>
      </c>
      <c r="Z546" s="3"/>
      <c r="AA546" s="3"/>
      <c r="AB546" s="3"/>
      <c r="AC546" s="3"/>
      <c r="AD546" s="3"/>
      <c r="AE546" s="7"/>
    </row>
    <row r="547" spans="2:31" x14ac:dyDescent="0.15">
      <c r="B547" s="16">
        <v>43644</v>
      </c>
      <c r="C547" s="23">
        <v>29477</v>
      </c>
      <c r="D547" s="23">
        <v>11721</v>
      </c>
      <c r="E547" s="23">
        <v>32265</v>
      </c>
      <c r="F547" s="23">
        <v>38718</v>
      </c>
      <c r="G547" s="23">
        <v>15800</v>
      </c>
      <c r="H547" s="24">
        <v>40574</v>
      </c>
      <c r="I547" s="2">
        <f t="shared" si="62"/>
        <v>543</v>
      </c>
      <c r="J547" s="16">
        <v>43644</v>
      </c>
      <c r="K547" s="29">
        <f t="shared" si="56"/>
        <v>2.2099823201413571E-3</v>
      </c>
      <c r="L547" s="29">
        <f t="shared" si="57"/>
        <v>-2.1283841307678797E-3</v>
      </c>
      <c r="M547" s="29">
        <f t="shared" si="58"/>
        <v>-1.8592544389695043E-4</v>
      </c>
      <c r="N547" s="29">
        <f t="shared" si="59"/>
        <v>-4.2178900262331842E-3</v>
      </c>
      <c r="O547" s="29">
        <f t="shared" si="60"/>
        <v>5.7288351368554036E-3</v>
      </c>
      <c r="P547" s="30">
        <f t="shared" si="61"/>
        <v>-2.5132148005766464E-2</v>
      </c>
      <c r="Z547" s="3"/>
      <c r="AA547" s="3"/>
      <c r="AB547" s="3"/>
      <c r="AC547" s="3"/>
      <c r="AD547" s="3"/>
      <c r="AE547" s="7"/>
    </row>
    <row r="548" spans="2:31" x14ac:dyDescent="0.15">
      <c r="B548" s="16">
        <v>43651</v>
      </c>
      <c r="C548" s="23">
        <v>30120</v>
      </c>
      <c r="D548" s="23">
        <v>11741</v>
      </c>
      <c r="E548" s="23">
        <v>33048</v>
      </c>
      <c r="F548" s="23">
        <v>39643</v>
      </c>
      <c r="G548" s="23">
        <v>15898</v>
      </c>
      <c r="H548" s="24">
        <v>41940</v>
      </c>
      <c r="I548" s="2">
        <f t="shared" si="62"/>
        <v>544</v>
      </c>
      <c r="J548" s="16">
        <v>43651</v>
      </c>
      <c r="K548" s="29">
        <f t="shared" si="56"/>
        <v>2.181361739661436E-2</v>
      </c>
      <c r="L548" s="29">
        <f t="shared" si="57"/>
        <v>1.7063390495690722E-3</v>
      </c>
      <c r="M548" s="29">
        <f t="shared" si="58"/>
        <v>2.4267782426778295E-2</v>
      </c>
      <c r="N548" s="29">
        <f t="shared" si="59"/>
        <v>2.3890696833514191E-2</v>
      </c>
      <c r="O548" s="29">
        <f t="shared" si="60"/>
        <v>6.2025316455696089E-3</v>
      </c>
      <c r="P548" s="30">
        <f t="shared" si="61"/>
        <v>3.3666880268152122E-2</v>
      </c>
      <c r="Z548" s="3"/>
      <c r="AA548" s="3"/>
      <c r="AB548" s="3"/>
      <c r="AC548" s="3"/>
      <c r="AD548" s="3"/>
      <c r="AE548" s="7"/>
    </row>
    <row r="549" spans="2:31" x14ac:dyDescent="0.15">
      <c r="B549" s="16">
        <v>43658</v>
      </c>
      <c r="C549" s="23">
        <v>30031</v>
      </c>
      <c r="D549" s="23">
        <v>11687</v>
      </c>
      <c r="E549" s="23">
        <v>33207</v>
      </c>
      <c r="F549" s="23">
        <v>39731</v>
      </c>
      <c r="G549" s="23">
        <v>15809</v>
      </c>
      <c r="H549" s="24">
        <v>41976</v>
      </c>
      <c r="I549" s="2">
        <f t="shared" si="62"/>
        <v>545</v>
      </c>
      <c r="J549" s="16">
        <v>43658</v>
      </c>
      <c r="K549" s="29">
        <f t="shared" si="56"/>
        <v>-2.9548472775564605E-3</v>
      </c>
      <c r="L549" s="29">
        <f t="shared" si="57"/>
        <v>-4.5992675240610348E-3</v>
      </c>
      <c r="M549" s="29">
        <f t="shared" si="58"/>
        <v>4.8111837327524665E-3</v>
      </c>
      <c r="N549" s="29">
        <f t="shared" si="59"/>
        <v>2.2198118204979078E-3</v>
      </c>
      <c r="O549" s="29">
        <f t="shared" si="60"/>
        <v>-5.5981884513774949E-3</v>
      </c>
      <c r="P549" s="30">
        <f t="shared" si="61"/>
        <v>8.5836909871250811E-4</v>
      </c>
      <c r="Z549" s="3"/>
      <c r="AA549" s="3"/>
      <c r="AB549" s="3"/>
      <c r="AC549" s="3"/>
      <c r="AD549" s="3"/>
      <c r="AE549" s="7"/>
    </row>
    <row r="550" spans="2:31" x14ac:dyDescent="0.15">
      <c r="B550" s="16">
        <v>43665</v>
      </c>
      <c r="C550" s="23">
        <v>29717</v>
      </c>
      <c r="D550" s="23">
        <v>11708</v>
      </c>
      <c r="E550" s="23">
        <v>33499</v>
      </c>
      <c r="F550" s="23">
        <v>39354</v>
      </c>
      <c r="G550" s="23">
        <v>15772</v>
      </c>
      <c r="H550" s="24">
        <v>41501</v>
      </c>
      <c r="I550" s="2">
        <f t="shared" si="62"/>
        <v>546</v>
      </c>
      <c r="J550" s="16">
        <v>43665</v>
      </c>
      <c r="K550" s="29">
        <f t="shared" si="56"/>
        <v>-1.0455862275648542E-2</v>
      </c>
      <c r="L550" s="29">
        <f t="shared" si="57"/>
        <v>1.7968683152220777E-3</v>
      </c>
      <c r="M550" s="29">
        <f t="shared" si="58"/>
        <v>8.7933267082240807E-3</v>
      </c>
      <c r="N550" s="29">
        <f t="shared" si="59"/>
        <v>-9.4888122624651183E-3</v>
      </c>
      <c r="O550" s="29">
        <f t="shared" si="60"/>
        <v>-2.3404389904484457E-3</v>
      </c>
      <c r="P550" s="30">
        <f t="shared" si="61"/>
        <v>-1.1315990089574957E-2</v>
      </c>
      <c r="Z550" s="3"/>
      <c r="AA550" s="3"/>
      <c r="AB550" s="3"/>
      <c r="AC550" s="3"/>
      <c r="AD550" s="3"/>
      <c r="AE550" s="7"/>
    </row>
    <row r="551" spans="2:31" x14ac:dyDescent="0.15">
      <c r="B551" s="16">
        <v>43672</v>
      </c>
      <c r="C551" s="23">
        <v>29980</v>
      </c>
      <c r="D551" s="23">
        <v>11724</v>
      </c>
      <c r="E551" s="23">
        <v>33566</v>
      </c>
      <c r="F551" s="23">
        <v>39816</v>
      </c>
      <c r="G551" s="23">
        <v>15864</v>
      </c>
      <c r="H551" s="24">
        <v>41477</v>
      </c>
      <c r="I551" s="2">
        <f t="shared" si="62"/>
        <v>547</v>
      </c>
      <c r="J551" s="16">
        <v>43672</v>
      </c>
      <c r="K551" s="29">
        <f t="shared" si="56"/>
        <v>8.850153111013892E-3</v>
      </c>
      <c r="L551" s="29">
        <f t="shared" si="57"/>
        <v>1.3665869490946392E-3</v>
      </c>
      <c r="M551" s="29">
        <f t="shared" si="58"/>
        <v>2.0000597032747702E-3</v>
      </c>
      <c r="N551" s="29">
        <f t="shared" si="59"/>
        <v>1.1739594450373536E-2</v>
      </c>
      <c r="O551" s="29">
        <f t="shared" si="60"/>
        <v>5.8331219883338559E-3</v>
      </c>
      <c r="P551" s="30">
        <f t="shared" si="61"/>
        <v>-5.7829931808872637E-4</v>
      </c>
      <c r="Z551" s="3"/>
      <c r="AA551" s="3"/>
      <c r="AB551" s="3"/>
      <c r="AC551" s="3"/>
      <c r="AD551" s="3"/>
      <c r="AE551" s="7"/>
    </row>
    <row r="552" spans="2:31" x14ac:dyDescent="0.15">
      <c r="B552" s="16">
        <v>43679</v>
      </c>
      <c r="C552" s="23">
        <v>29184</v>
      </c>
      <c r="D552" s="23">
        <v>11750</v>
      </c>
      <c r="E552" s="23">
        <v>33661</v>
      </c>
      <c r="F552" s="23">
        <v>38634</v>
      </c>
      <c r="G552" s="23">
        <v>15695</v>
      </c>
      <c r="H552" s="24">
        <v>40754</v>
      </c>
      <c r="I552" s="2">
        <f t="shared" si="62"/>
        <v>548</v>
      </c>
      <c r="J552" s="16">
        <v>43679</v>
      </c>
      <c r="K552" s="29">
        <f t="shared" si="56"/>
        <v>-2.6551034022681774E-2</v>
      </c>
      <c r="L552" s="29">
        <f t="shared" si="57"/>
        <v>2.2176731490959334E-3</v>
      </c>
      <c r="M552" s="29">
        <f t="shared" si="58"/>
        <v>2.8302448906631916E-3</v>
      </c>
      <c r="N552" s="29">
        <f t="shared" si="59"/>
        <v>-2.968655816757082E-2</v>
      </c>
      <c r="O552" s="29">
        <f t="shared" si="60"/>
        <v>-1.0653050932929897E-2</v>
      </c>
      <c r="P552" s="30">
        <f t="shared" si="61"/>
        <v>-1.7431347493791716E-2</v>
      </c>
      <c r="Z552" s="3"/>
      <c r="AA552" s="3"/>
      <c r="AB552" s="3"/>
      <c r="AC552" s="3"/>
      <c r="AD552" s="3"/>
      <c r="AE552" s="7"/>
    </row>
    <row r="553" spans="2:31" x14ac:dyDescent="0.15">
      <c r="B553" s="16">
        <v>43686</v>
      </c>
      <c r="C553" s="23">
        <v>28640</v>
      </c>
      <c r="D553" s="23">
        <v>11831</v>
      </c>
      <c r="E553" s="23">
        <v>33828</v>
      </c>
      <c r="F553" s="23">
        <v>37825</v>
      </c>
      <c r="G553" s="23">
        <v>15729</v>
      </c>
      <c r="H553" s="24">
        <v>40910</v>
      </c>
      <c r="I553" s="2">
        <f t="shared" si="62"/>
        <v>549</v>
      </c>
      <c r="J553" s="16">
        <v>43686</v>
      </c>
      <c r="K553" s="29">
        <f t="shared" si="56"/>
        <v>-1.8640350877192957E-2</v>
      </c>
      <c r="L553" s="29">
        <f t="shared" si="57"/>
        <v>6.8936170212765546E-3</v>
      </c>
      <c r="M553" s="29">
        <f t="shared" si="58"/>
        <v>4.9612310983035979E-3</v>
      </c>
      <c r="N553" s="29">
        <f t="shared" si="59"/>
        <v>-2.094010457110318E-2</v>
      </c>
      <c r="O553" s="29">
        <f t="shared" si="60"/>
        <v>2.1662949984071478E-3</v>
      </c>
      <c r="P553" s="30">
        <f t="shared" si="61"/>
        <v>3.8278451194975194E-3</v>
      </c>
      <c r="Z553" s="3"/>
      <c r="AA553" s="3"/>
      <c r="AB553" s="3"/>
      <c r="AC553" s="3"/>
      <c r="AD553" s="3"/>
      <c r="AE553" s="7"/>
    </row>
    <row r="554" spans="2:31" x14ac:dyDescent="0.15">
      <c r="B554" s="16">
        <v>43693</v>
      </c>
      <c r="C554" s="23">
        <v>28270</v>
      </c>
      <c r="D554" s="23">
        <v>11849</v>
      </c>
      <c r="E554" s="23">
        <v>34612</v>
      </c>
      <c r="F554" s="23">
        <v>36677</v>
      </c>
      <c r="G554" s="23">
        <v>15893</v>
      </c>
      <c r="H554" s="24">
        <v>40645</v>
      </c>
      <c r="I554" s="2">
        <f t="shared" si="62"/>
        <v>550</v>
      </c>
      <c r="J554" s="16">
        <v>43693</v>
      </c>
      <c r="K554" s="29">
        <f t="shared" si="56"/>
        <v>-1.2918994413407825E-2</v>
      </c>
      <c r="L554" s="29">
        <f t="shared" si="57"/>
        <v>1.5214267602061682E-3</v>
      </c>
      <c r="M554" s="29">
        <f t="shared" si="58"/>
        <v>2.3176067163296787E-2</v>
      </c>
      <c r="N554" s="29">
        <f t="shared" si="59"/>
        <v>-3.0350297422339745E-2</v>
      </c>
      <c r="O554" s="29">
        <f t="shared" si="60"/>
        <v>1.0426600546760811E-2</v>
      </c>
      <c r="P554" s="30">
        <f t="shared" si="61"/>
        <v>-6.477633830359375E-3</v>
      </c>
      <c r="Z554" s="3"/>
      <c r="AA554" s="3"/>
      <c r="AB554" s="3"/>
      <c r="AC554" s="3"/>
      <c r="AD554" s="3"/>
      <c r="AE554" s="7"/>
    </row>
    <row r="555" spans="2:31" x14ac:dyDescent="0.15">
      <c r="B555" s="16">
        <v>43700</v>
      </c>
      <c r="C555" s="23">
        <v>28672</v>
      </c>
      <c r="D555" s="23">
        <v>11837</v>
      </c>
      <c r="E555" s="23">
        <v>34740</v>
      </c>
      <c r="F555" s="23">
        <v>37784</v>
      </c>
      <c r="G555" s="23">
        <v>15862</v>
      </c>
      <c r="H555" s="24">
        <v>41477</v>
      </c>
      <c r="I555" s="2">
        <f t="shared" si="62"/>
        <v>551</v>
      </c>
      <c r="J555" s="16">
        <v>43700</v>
      </c>
      <c r="K555" s="29">
        <f t="shared" si="56"/>
        <v>1.4220021223912305E-2</v>
      </c>
      <c r="L555" s="29">
        <f t="shared" si="57"/>
        <v>-1.0127436914507681E-3</v>
      </c>
      <c r="M555" s="29">
        <f t="shared" si="58"/>
        <v>3.698139373627729E-3</v>
      </c>
      <c r="N555" s="29">
        <f t="shared" si="59"/>
        <v>3.0182403140933012E-2</v>
      </c>
      <c r="O555" s="29">
        <f t="shared" si="60"/>
        <v>-1.9505442647707039E-3</v>
      </c>
      <c r="P555" s="30">
        <f t="shared" si="61"/>
        <v>2.0469922499692483E-2</v>
      </c>
      <c r="Z555" s="3"/>
      <c r="AA555" s="3"/>
      <c r="AB555" s="3"/>
      <c r="AC555" s="3"/>
      <c r="AD555" s="3"/>
      <c r="AE555" s="7"/>
    </row>
    <row r="556" spans="2:31" x14ac:dyDescent="0.15">
      <c r="B556" s="16">
        <v>43707</v>
      </c>
      <c r="C556" s="23">
        <v>28674</v>
      </c>
      <c r="D556" s="23">
        <v>11885</v>
      </c>
      <c r="E556" s="23">
        <v>34886</v>
      </c>
      <c r="F556" s="23">
        <v>37751</v>
      </c>
      <c r="G556" s="23">
        <v>15940</v>
      </c>
      <c r="H556" s="24">
        <v>41477</v>
      </c>
      <c r="I556" s="2">
        <f t="shared" si="62"/>
        <v>552</v>
      </c>
      <c r="J556" s="16">
        <v>43707</v>
      </c>
      <c r="K556" s="29">
        <f t="shared" si="56"/>
        <v>6.9754464285809448E-5</v>
      </c>
      <c r="L556" s="29">
        <f t="shared" si="57"/>
        <v>4.055081524034776E-3</v>
      </c>
      <c r="M556" s="29">
        <f t="shared" si="58"/>
        <v>4.2026482440991053E-3</v>
      </c>
      <c r="N556" s="29">
        <f t="shared" si="59"/>
        <v>-8.7338556002536372E-4</v>
      </c>
      <c r="O556" s="29">
        <f t="shared" si="60"/>
        <v>4.9174126844029331E-3</v>
      </c>
      <c r="P556" s="30">
        <f t="shared" si="61"/>
        <v>0</v>
      </c>
      <c r="Z556" s="3"/>
      <c r="AA556" s="3"/>
      <c r="AB556" s="3"/>
      <c r="AC556" s="3"/>
      <c r="AD556" s="3"/>
      <c r="AE556" s="7"/>
    </row>
    <row r="557" spans="2:31" x14ac:dyDescent="0.15">
      <c r="B557" s="16">
        <v>43714</v>
      </c>
      <c r="C557" s="23">
        <v>29354</v>
      </c>
      <c r="D557" s="23">
        <v>11834</v>
      </c>
      <c r="E557" s="23">
        <v>35490</v>
      </c>
      <c r="F557" s="23">
        <v>38707</v>
      </c>
      <c r="G557" s="23">
        <v>15939</v>
      </c>
      <c r="H557" s="24">
        <v>42235</v>
      </c>
      <c r="I557" s="2">
        <f t="shared" si="62"/>
        <v>553</v>
      </c>
      <c r="J557" s="16">
        <v>43714</v>
      </c>
      <c r="K557" s="29">
        <f t="shared" si="56"/>
        <v>2.3714863639534123E-2</v>
      </c>
      <c r="L557" s="29">
        <f t="shared" si="57"/>
        <v>-4.2911232646192232E-3</v>
      </c>
      <c r="M557" s="29">
        <f t="shared" si="58"/>
        <v>1.7313535515679712E-2</v>
      </c>
      <c r="N557" s="29">
        <f t="shared" si="59"/>
        <v>2.5323832481258801E-2</v>
      </c>
      <c r="O557" s="29">
        <f t="shared" si="60"/>
        <v>-6.2735257214563411E-5</v>
      </c>
      <c r="P557" s="30">
        <f t="shared" si="61"/>
        <v>1.8275188658774644E-2</v>
      </c>
      <c r="Z557" s="3"/>
      <c r="AA557" s="3"/>
      <c r="AB557" s="3"/>
      <c r="AC557" s="3"/>
      <c r="AD557" s="3"/>
      <c r="AE557" s="7"/>
    </row>
    <row r="558" spans="2:31" x14ac:dyDescent="0.15">
      <c r="B558" s="16">
        <v>43721</v>
      </c>
      <c r="C558" s="23">
        <v>30441</v>
      </c>
      <c r="D558" s="23">
        <v>11725</v>
      </c>
      <c r="E558" s="23">
        <v>35562</v>
      </c>
      <c r="F558" s="23">
        <v>39595</v>
      </c>
      <c r="G558" s="23">
        <v>16033</v>
      </c>
      <c r="H558" s="24">
        <v>42712</v>
      </c>
      <c r="I558" s="2">
        <f t="shared" si="62"/>
        <v>554</v>
      </c>
      <c r="J558" s="16">
        <v>43721</v>
      </c>
      <c r="K558" s="29">
        <f t="shared" si="56"/>
        <v>3.7030728350480269E-2</v>
      </c>
      <c r="L558" s="29">
        <f t="shared" si="57"/>
        <v>-9.210748690214654E-3</v>
      </c>
      <c r="M558" s="29">
        <f t="shared" si="58"/>
        <v>2.0287404902790129E-3</v>
      </c>
      <c r="N558" s="29">
        <f t="shared" si="59"/>
        <v>2.2941586793086444E-2</v>
      </c>
      <c r="O558" s="29">
        <f t="shared" si="60"/>
        <v>5.8974841583536719E-3</v>
      </c>
      <c r="P558" s="30">
        <f t="shared" si="61"/>
        <v>1.1293950514975837E-2</v>
      </c>
      <c r="Z558" s="3"/>
      <c r="AA558" s="3"/>
      <c r="AB558" s="3"/>
      <c r="AC558" s="3"/>
      <c r="AD558" s="3"/>
      <c r="AE558" s="7"/>
    </row>
    <row r="559" spans="2:31" x14ac:dyDescent="0.15">
      <c r="B559" s="16">
        <v>43728</v>
      </c>
      <c r="C559" s="23">
        <v>30563</v>
      </c>
      <c r="D559" s="23">
        <v>11760</v>
      </c>
      <c r="E559" s="23">
        <v>35751</v>
      </c>
      <c r="F559" s="23">
        <v>39541</v>
      </c>
      <c r="G559" s="23">
        <v>16006</v>
      </c>
      <c r="H559" s="24">
        <v>42861</v>
      </c>
      <c r="I559" s="2">
        <f t="shared" si="62"/>
        <v>555</v>
      </c>
      <c r="J559" s="16">
        <v>43728</v>
      </c>
      <c r="K559" s="29">
        <f t="shared" si="56"/>
        <v>4.0077527019479753E-3</v>
      </c>
      <c r="L559" s="29">
        <f t="shared" si="57"/>
        <v>2.9850746268655914E-3</v>
      </c>
      <c r="M559" s="29">
        <f t="shared" si="58"/>
        <v>5.3146617175636734E-3</v>
      </c>
      <c r="N559" s="29">
        <f t="shared" si="59"/>
        <v>-1.3638085616870521E-3</v>
      </c>
      <c r="O559" s="29">
        <f t="shared" si="60"/>
        <v>-1.6840266949417204E-3</v>
      </c>
      <c r="P559" s="30">
        <f t="shared" si="61"/>
        <v>3.4884809889492718E-3</v>
      </c>
      <c r="Z559" s="3"/>
      <c r="AA559" s="3"/>
      <c r="AB559" s="3"/>
      <c r="AC559" s="3"/>
      <c r="AD559" s="3"/>
      <c r="AE559" s="7"/>
    </row>
    <row r="560" spans="2:31" x14ac:dyDescent="0.15">
      <c r="B560" s="16">
        <v>43735</v>
      </c>
      <c r="C560" s="23">
        <v>30498</v>
      </c>
      <c r="D560" s="23">
        <v>11781</v>
      </c>
      <c r="E560" s="23">
        <v>36543</v>
      </c>
      <c r="F560" s="23">
        <v>39004</v>
      </c>
      <c r="G560" s="23">
        <v>15983</v>
      </c>
      <c r="H560" s="24">
        <v>43246</v>
      </c>
      <c r="I560" s="2">
        <f t="shared" si="62"/>
        <v>556</v>
      </c>
      <c r="J560" s="16">
        <v>43735</v>
      </c>
      <c r="K560" s="29">
        <f t="shared" si="56"/>
        <v>-2.1267545725223158E-3</v>
      </c>
      <c r="L560" s="29">
        <f t="shared" si="57"/>
        <v>1.7857142857142794E-3</v>
      </c>
      <c r="M560" s="29">
        <f t="shared" si="58"/>
        <v>2.2153226483175192E-2</v>
      </c>
      <c r="N560" s="29">
        <f t="shared" si="59"/>
        <v>-1.3580840140613559E-2</v>
      </c>
      <c r="O560" s="29">
        <f t="shared" si="60"/>
        <v>-1.4369611395727011E-3</v>
      </c>
      <c r="P560" s="30">
        <f t="shared" si="61"/>
        <v>8.9825249060917489E-3</v>
      </c>
      <c r="Z560" s="3"/>
      <c r="AA560" s="3"/>
      <c r="AB560" s="3"/>
      <c r="AC560" s="3"/>
      <c r="AD560" s="3"/>
      <c r="AE560" s="7"/>
    </row>
    <row r="561" spans="2:31" x14ac:dyDescent="0.15">
      <c r="B561" s="16">
        <v>43742</v>
      </c>
      <c r="C561" s="23">
        <v>29835</v>
      </c>
      <c r="D561" s="23">
        <v>11769</v>
      </c>
      <c r="E561" s="23">
        <v>36896</v>
      </c>
      <c r="F561" s="23">
        <v>37748</v>
      </c>
      <c r="G561" s="23">
        <v>15945</v>
      </c>
      <c r="H561" s="24">
        <v>42750</v>
      </c>
      <c r="I561" s="2">
        <f t="shared" si="62"/>
        <v>557</v>
      </c>
      <c r="J561" s="16">
        <v>43742</v>
      </c>
      <c r="K561" s="29">
        <f t="shared" si="56"/>
        <v>-2.1739130434782594E-2</v>
      </c>
      <c r="L561" s="29">
        <f t="shared" si="57"/>
        <v>-1.0185892538833174E-3</v>
      </c>
      <c r="M561" s="29">
        <f t="shared" si="58"/>
        <v>9.6598527761815323E-3</v>
      </c>
      <c r="N561" s="29">
        <f t="shared" si="59"/>
        <v>-3.2201825453799571E-2</v>
      </c>
      <c r="O561" s="29">
        <f t="shared" si="60"/>
        <v>-2.3775261215041033E-3</v>
      </c>
      <c r="P561" s="30">
        <f t="shared" si="61"/>
        <v>-1.1469268834111812E-2</v>
      </c>
      <c r="Z561" s="3"/>
      <c r="AA561" s="3"/>
      <c r="AB561" s="3"/>
      <c r="AC561" s="3"/>
      <c r="AD561" s="3"/>
      <c r="AE561" s="7"/>
    </row>
    <row r="562" spans="2:31" x14ac:dyDescent="0.15">
      <c r="B562" s="16">
        <v>43749</v>
      </c>
      <c r="C562" s="23">
        <v>30379</v>
      </c>
      <c r="D562" s="23">
        <v>11726</v>
      </c>
      <c r="E562" s="23">
        <v>37268</v>
      </c>
      <c r="F562" s="23">
        <v>38633</v>
      </c>
      <c r="G562" s="23">
        <v>16048</v>
      </c>
      <c r="H562" s="24">
        <v>43308</v>
      </c>
      <c r="I562" s="2">
        <f t="shared" si="62"/>
        <v>558</v>
      </c>
      <c r="J562" s="16">
        <v>43749</v>
      </c>
      <c r="K562" s="29">
        <f t="shared" si="56"/>
        <v>1.8233618233618243E-2</v>
      </c>
      <c r="L562" s="29">
        <f t="shared" si="57"/>
        <v>-3.6536664117596818E-3</v>
      </c>
      <c r="M562" s="29">
        <f t="shared" si="58"/>
        <v>1.0082393755420638E-2</v>
      </c>
      <c r="N562" s="29">
        <f t="shared" si="59"/>
        <v>2.3444950725866276E-2</v>
      </c>
      <c r="O562" s="29">
        <f t="shared" si="60"/>
        <v>6.459705236751434E-3</v>
      </c>
      <c r="P562" s="30">
        <f t="shared" si="61"/>
        <v>1.3052631578947427E-2</v>
      </c>
      <c r="Z562" s="3"/>
      <c r="AA562" s="3"/>
      <c r="AB562" s="3"/>
      <c r="AC562" s="3"/>
      <c r="AD562" s="3"/>
      <c r="AE562" s="7"/>
    </row>
    <row r="563" spans="2:31" x14ac:dyDescent="0.15">
      <c r="B563" s="16">
        <v>43756</v>
      </c>
      <c r="C563" s="23">
        <v>31345</v>
      </c>
      <c r="D563" s="23">
        <v>11702</v>
      </c>
      <c r="E563" s="23">
        <v>37378</v>
      </c>
      <c r="F563" s="23">
        <v>39769</v>
      </c>
      <c r="G563" s="23">
        <v>16157</v>
      </c>
      <c r="H563" s="24">
        <v>44127</v>
      </c>
      <c r="I563" s="2">
        <f t="shared" si="62"/>
        <v>559</v>
      </c>
      <c r="J563" s="16">
        <v>43756</v>
      </c>
      <c r="K563" s="29">
        <f t="shared" si="56"/>
        <v>3.1798281707758669E-2</v>
      </c>
      <c r="L563" s="29">
        <f t="shared" si="57"/>
        <v>-2.0467337540508446E-3</v>
      </c>
      <c r="M563" s="29">
        <f t="shared" si="58"/>
        <v>2.9515938606847758E-3</v>
      </c>
      <c r="N563" s="29">
        <f t="shared" si="59"/>
        <v>2.9404912898299385E-2</v>
      </c>
      <c r="O563" s="29">
        <f t="shared" si="60"/>
        <v>6.7921236291126341E-3</v>
      </c>
      <c r="P563" s="30">
        <f t="shared" si="61"/>
        <v>1.8911055694098122E-2</v>
      </c>
      <c r="Z563" s="3"/>
      <c r="AA563" s="3"/>
      <c r="AB563" s="3"/>
      <c r="AC563" s="3"/>
      <c r="AD563" s="3"/>
      <c r="AE563" s="7"/>
    </row>
    <row r="564" spans="2:31" x14ac:dyDescent="0.15">
      <c r="B564" s="16">
        <v>43763</v>
      </c>
      <c r="C564" s="23">
        <v>31770</v>
      </c>
      <c r="D564" s="23">
        <v>11700</v>
      </c>
      <c r="E564" s="23">
        <v>37568</v>
      </c>
      <c r="F564" s="23">
        <v>39988</v>
      </c>
      <c r="G564" s="23">
        <v>16155</v>
      </c>
      <c r="H564" s="24">
        <v>44643</v>
      </c>
      <c r="I564" s="2">
        <f t="shared" si="62"/>
        <v>560</v>
      </c>
      <c r="J564" s="16">
        <v>43763</v>
      </c>
      <c r="K564" s="29">
        <f t="shared" si="56"/>
        <v>1.3558781304833234E-2</v>
      </c>
      <c r="L564" s="29">
        <f t="shared" si="57"/>
        <v>-1.7091095539223389E-4</v>
      </c>
      <c r="M564" s="29">
        <f t="shared" si="58"/>
        <v>5.0832040237573928E-3</v>
      </c>
      <c r="N564" s="29">
        <f t="shared" si="59"/>
        <v>5.5068017802810676E-3</v>
      </c>
      <c r="O564" s="29">
        <f t="shared" si="60"/>
        <v>-1.2378535619239628E-4</v>
      </c>
      <c r="P564" s="30">
        <f t="shared" si="61"/>
        <v>1.1693520973553584E-2</v>
      </c>
      <c r="Z564" s="3"/>
      <c r="AA564" s="3"/>
      <c r="AB564" s="3"/>
      <c r="AC564" s="3"/>
      <c r="AD564" s="3"/>
      <c r="AE564" s="7"/>
    </row>
    <row r="565" spans="2:31" x14ac:dyDescent="0.15">
      <c r="B565" s="16">
        <v>43770</v>
      </c>
      <c r="C565" s="23">
        <v>31842</v>
      </c>
      <c r="D565" s="23">
        <v>11751</v>
      </c>
      <c r="E565" s="23">
        <v>37826</v>
      </c>
      <c r="F565" s="23">
        <v>40020</v>
      </c>
      <c r="G565" s="23">
        <v>16116</v>
      </c>
      <c r="H565" s="24">
        <v>44253</v>
      </c>
      <c r="I565" s="2">
        <f t="shared" si="62"/>
        <v>561</v>
      </c>
      <c r="J565" s="16">
        <v>43770</v>
      </c>
      <c r="K565" s="29">
        <f t="shared" si="56"/>
        <v>2.2662889518414442E-3</v>
      </c>
      <c r="L565" s="29">
        <f t="shared" si="57"/>
        <v>4.3589743589742547E-3</v>
      </c>
      <c r="M565" s="29">
        <f t="shared" si="58"/>
        <v>6.8675468483816449E-3</v>
      </c>
      <c r="N565" s="29">
        <f t="shared" si="59"/>
        <v>8.0024007202150749E-4</v>
      </c>
      <c r="O565" s="29">
        <f t="shared" si="60"/>
        <v>-2.4141132776229757E-3</v>
      </c>
      <c r="P565" s="30">
        <f t="shared" si="61"/>
        <v>-8.7359720448894063E-3</v>
      </c>
      <c r="Z565" s="3"/>
      <c r="AA565" s="3"/>
      <c r="AB565" s="3"/>
      <c r="AC565" s="3"/>
      <c r="AD565" s="3"/>
      <c r="AE565" s="7"/>
    </row>
    <row r="566" spans="2:31" x14ac:dyDescent="0.15">
      <c r="B566" s="16">
        <v>43777</v>
      </c>
      <c r="C566" s="23">
        <v>32590</v>
      </c>
      <c r="D566" s="23">
        <v>11628</v>
      </c>
      <c r="E566" s="23">
        <v>36509</v>
      </c>
      <c r="F566" s="23">
        <v>41170</v>
      </c>
      <c r="G566" s="23">
        <v>16047</v>
      </c>
      <c r="H566" s="24">
        <v>43599</v>
      </c>
      <c r="I566" s="2">
        <f t="shared" si="62"/>
        <v>562</v>
      </c>
      <c r="J566" s="16">
        <v>43777</v>
      </c>
      <c r="K566" s="29">
        <f t="shared" si="56"/>
        <v>2.3490986747063625E-2</v>
      </c>
      <c r="L566" s="29">
        <f t="shared" si="57"/>
        <v>-1.0467194281337799E-2</v>
      </c>
      <c r="M566" s="29">
        <f t="shared" si="58"/>
        <v>-3.4817321419129743E-2</v>
      </c>
      <c r="N566" s="29">
        <f t="shared" si="59"/>
        <v>2.8735632183908066E-2</v>
      </c>
      <c r="O566" s="29">
        <f t="shared" si="60"/>
        <v>-4.2814594192107647E-3</v>
      </c>
      <c r="P566" s="30">
        <f t="shared" si="61"/>
        <v>-1.4778659073961142E-2</v>
      </c>
      <c r="Z566" s="3"/>
      <c r="AA566" s="3"/>
      <c r="AB566" s="3"/>
      <c r="AC566" s="3"/>
      <c r="AD566" s="3"/>
      <c r="AE566" s="7"/>
    </row>
    <row r="567" spans="2:31" x14ac:dyDescent="0.15">
      <c r="B567" s="16">
        <v>43784</v>
      </c>
      <c r="C567" s="23">
        <v>32465</v>
      </c>
      <c r="D567" s="23">
        <v>11634</v>
      </c>
      <c r="E567" s="23">
        <v>36030</v>
      </c>
      <c r="F567" s="23">
        <v>40905</v>
      </c>
      <c r="G567" s="23">
        <v>15984</v>
      </c>
      <c r="H567" s="24">
        <v>43296</v>
      </c>
      <c r="I567" s="2">
        <f t="shared" si="62"/>
        <v>563</v>
      </c>
      <c r="J567" s="16">
        <v>43784</v>
      </c>
      <c r="K567" s="29">
        <f t="shared" si="56"/>
        <v>-3.8355323718932688E-3</v>
      </c>
      <c r="L567" s="29">
        <f t="shared" si="57"/>
        <v>5.1599587203310371E-4</v>
      </c>
      <c r="M567" s="29">
        <f t="shared" si="58"/>
        <v>-1.3120052589772335E-2</v>
      </c>
      <c r="N567" s="29">
        <f t="shared" si="59"/>
        <v>-6.4367257711925863E-3</v>
      </c>
      <c r="O567" s="29">
        <f t="shared" si="60"/>
        <v>-3.9259674705552916E-3</v>
      </c>
      <c r="P567" s="30">
        <f t="shared" si="61"/>
        <v>-6.9497006812082596E-3</v>
      </c>
      <c r="Z567" s="3"/>
      <c r="AA567" s="3"/>
      <c r="AB567" s="3"/>
      <c r="AC567" s="3"/>
      <c r="AD567" s="3"/>
      <c r="AE567" s="7"/>
    </row>
    <row r="568" spans="2:31" x14ac:dyDescent="0.15">
      <c r="B568" s="16">
        <v>43791</v>
      </c>
      <c r="C568" s="23">
        <v>32194</v>
      </c>
      <c r="D568" s="23">
        <v>11650</v>
      </c>
      <c r="E568" s="23">
        <v>37107</v>
      </c>
      <c r="F568" s="23">
        <v>41004</v>
      </c>
      <c r="G568" s="23">
        <v>16034</v>
      </c>
      <c r="H568" s="24">
        <v>43296</v>
      </c>
      <c r="I568" s="2">
        <f t="shared" si="62"/>
        <v>564</v>
      </c>
      <c r="J568" s="16">
        <v>43791</v>
      </c>
      <c r="K568" s="29">
        <f t="shared" si="56"/>
        <v>-8.3474511011858432E-3</v>
      </c>
      <c r="L568" s="29">
        <f t="shared" si="57"/>
        <v>1.3752793536188079E-3</v>
      </c>
      <c r="M568" s="29">
        <f t="shared" si="58"/>
        <v>2.9891756869275588E-2</v>
      </c>
      <c r="N568" s="29">
        <f t="shared" si="59"/>
        <v>2.4202420242023237E-3</v>
      </c>
      <c r="O568" s="29">
        <f t="shared" si="60"/>
        <v>3.128128128128127E-3</v>
      </c>
      <c r="P568" s="30">
        <f t="shared" si="61"/>
        <v>0</v>
      </c>
      <c r="Z568" s="3"/>
      <c r="AA568" s="3"/>
      <c r="AB568" s="3"/>
      <c r="AC568" s="3"/>
      <c r="AD568" s="3"/>
      <c r="AE568" s="7"/>
    </row>
    <row r="569" spans="2:31" x14ac:dyDescent="0.15">
      <c r="B569" s="16">
        <v>43798</v>
      </c>
      <c r="C569" s="23">
        <v>32441</v>
      </c>
      <c r="D569" s="23">
        <v>11664</v>
      </c>
      <c r="E569" s="23">
        <v>37332</v>
      </c>
      <c r="F569" s="23">
        <v>41964</v>
      </c>
      <c r="G569" s="23">
        <v>16160</v>
      </c>
      <c r="H569" s="24">
        <v>44420</v>
      </c>
      <c r="I569" s="2">
        <f t="shared" si="62"/>
        <v>565</v>
      </c>
      <c r="J569" s="16">
        <v>43798</v>
      </c>
      <c r="K569" s="29">
        <f t="shared" si="56"/>
        <v>7.6722370628068415E-3</v>
      </c>
      <c r="L569" s="29">
        <f t="shared" si="57"/>
        <v>1.2017167381974669E-3</v>
      </c>
      <c r="M569" s="29">
        <f t="shared" si="58"/>
        <v>6.0635459616784626E-3</v>
      </c>
      <c r="N569" s="29">
        <f t="shared" si="59"/>
        <v>2.3412350014632821E-2</v>
      </c>
      <c r="O569" s="29">
        <f t="shared" si="60"/>
        <v>7.8583011101409639E-3</v>
      </c>
      <c r="P569" s="30">
        <f t="shared" si="61"/>
        <v>2.5960827790096008E-2</v>
      </c>
      <c r="Z569" s="3"/>
      <c r="AA569" s="3"/>
      <c r="AB569" s="3"/>
      <c r="AC569" s="3"/>
      <c r="AD569" s="3"/>
      <c r="AE569" s="7"/>
    </row>
    <row r="570" spans="2:31" x14ac:dyDescent="0.15">
      <c r="B570" s="16">
        <v>43805</v>
      </c>
      <c r="C570" s="23">
        <v>32528</v>
      </c>
      <c r="D570" s="23">
        <v>11612</v>
      </c>
      <c r="E570" s="23">
        <v>36728</v>
      </c>
      <c r="F570" s="23">
        <v>41212</v>
      </c>
      <c r="G570" s="23">
        <v>16067</v>
      </c>
      <c r="H570" s="24">
        <v>43756</v>
      </c>
      <c r="I570" s="2">
        <f t="shared" si="62"/>
        <v>566</v>
      </c>
      <c r="J570" s="16">
        <v>43805</v>
      </c>
      <c r="K570" s="29">
        <f t="shared" si="56"/>
        <v>2.6817915600629849E-3</v>
      </c>
      <c r="L570" s="29">
        <f t="shared" si="57"/>
        <v>-4.4581618655692434E-3</v>
      </c>
      <c r="M570" s="29">
        <f t="shared" si="58"/>
        <v>-1.6179149255330594E-2</v>
      </c>
      <c r="N570" s="29">
        <f t="shared" si="59"/>
        <v>-1.7920122009341344E-2</v>
      </c>
      <c r="O570" s="29">
        <f t="shared" si="60"/>
        <v>-5.7549504950494823E-3</v>
      </c>
      <c r="P570" s="30">
        <f t="shared" si="61"/>
        <v>-1.4948221521837057E-2</v>
      </c>
      <c r="Z570" s="3"/>
      <c r="AA570" s="3"/>
      <c r="AB570" s="3"/>
      <c r="AC570" s="3"/>
      <c r="AD570" s="3"/>
      <c r="AE570" s="7"/>
    </row>
    <row r="571" spans="2:31" x14ac:dyDescent="0.15">
      <c r="B571" s="16">
        <v>43812</v>
      </c>
      <c r="C571" s="23">
        <v>33448</v>
      </c>
      <c r="D571" s="23">
        <v>11619</v>
      </c>
      <c r="E571" s="23">
        <v>35779</v>
      </c>
      <c r="F571" s="23">
        <v>42219</v>
      </c>
      <c r="G571" s="23">
        <v>16204</v>
      </c>
      <c r="H571" s="24">
        <v>42952</v>
      </c>
      <c r="I571" s="2">
        <f t="shared" si="62"/>
        <v>567</v>
      </c>
      <c r="J571" s="16">
        <v>43812</v>
      </c>
      <c r="K571" s="29">
        <f t="shared" si="56"/>
        <v>2.82833251352681E-2</v>
      </c>
      <c r="L571" s="29">
        <f t="shared" si="57"/>
        <v>6.0282466414052216E-4</v>
      </c>
      <c r="M571" s="29">
        <f t="shared" si="58"/>
        <v>-2.5838597255499862E-2</v>
      </c>
      <c r="N571" s="29">
        <f t="shared" si="59"/>
        <v>2.443463069009022E-2</v>
      </c>
      <c r="O571" s="29">
        <f t="shared" si="60"/>
        <v>8.5267940499160755E-3</v>
      </c>
      <c r="P571" s="30">
        <f t="shared" si="61"/>
        <v>-1.8374622908858163E-2</v>
      </c>
      <c r="Z571" s="3"/>
      <c r="AA571" s="3"/>
      <c r="AB571" s="3"/>
      <c r="AC571" s="3"/>
      <c r="AD571" s="3"/>
      <c r="AE571" s="7"/>
    </row>
    <row r="572" spans="2:31" x14ac:dyDescent="0.15">
      <c r="B572" s="16">
        <v>43819</v>
      </c>
      <c r="C572" s="23">
        <v>33151</v>
      </c>
      <c r="D572" s="23">
        <v>11590</v>
      </c>
      <c r="E572" s="23">
        <v>35486</v>
      </c>
      <c r="F572" s="23">
        <v>42645</v>
      </c>
      <c r="G572" s="23">
        <v>16114</v>
      </c>
      <c r="H572" s="24">
        <v>43185</v>
      </c>
      <c r="I572" s="2">
        <f t="shared" si="62"/>
        <v>568</v>
      </c>
      <c r="J572" s="16">
        <v>43819</v>
      </c>
      <c r="K572" s="29">
        <f t="shared" si="56"/>
        <v>-8.8794546759148885E-3</v>
      </c>
      <c r="L572" s="29">
        <f t="shared" si="57"/>
        <v>-2.4959118684912962E-3</v>
      </c>
      <c r="M572" s="29">
        <f t="shared" si="58"/>
        <v>-8.1891612398333757E-3</v>
      </c>
      <c r="N572" s="29">
        <f t="shared" si="59"/>
        <v>1.0090243729126591E-2</v>
      </c>
      <c r="O572" s="29">
        <f t="shared" si="60"/>
        <v>-5.5541841520612145E-3</v>
      </c>
      <c r="P572" s="30">
        <f t="shared" si="61"/>
        <v>5.4246600856771021E-3</v>
      </c>
      <c r="Z572" s="3"/>
      <c r="AA572" s="3"/>
      <c r="AB572" s="3"/>
      <c r="AC572" s="3"/>
      <c r="AD572" s="3"/>
      <c r="AE572" s="7"/>
    </row>
    <row r="573" spans="2:31" x14ac:dyDescent="0.15">
      <c r="B573" s="16">
        <v>43826</v>
      </c>
      <c r="C573" s="23">
        <v>33235</v>
      </c>
      <c r="D573" s="23">
        <v>11613</v>
      </c>
      <c r="E573" s="23">
        <v>36286</v>
      </c>
      <c r="F573" s="23">
        <v>43161</v>
      </c>
      <c r="G573" s="23">
        <v>16155</v>
      </c>
      <c r="H573" s="24">
        <v>43626</v>
      </c>
      <c r="I573" s="2">
        <f t="shared" si="62"/>
        <v>569</v>
      </c>
      <c r="J573" s="16">
        <v>43826</v>
      </c>
      <c r="K573" s="29">
        <f t="shared" si="56"/>
        <v>2.5338602153781586E-3</v>
      </c>
      <c r="L573" s="29">
        <f t="shared" si="57"/>
        <v>1.9844693701467353E-3</v>
      </c>
      <c r="M573" s="29">
        <f t="shared" si="58"/>
        <v>2.2544101899340641E-2</v>
      </c>
      <c r="N573" s="29">
        <f t="shared" si="59"/>
        <v>1.2099894477664463E-2</v>
      </c>
      <c r="O573" s="29">
        <f t="shared" si="60"/>
        <v>2.5443713541020152E-3</v>
      </c>
      <c r="P573" s="30">
        <f t="shared" si="61"/>
        <v>1.0211879124696122E-2</v>
      </c>
      <c r="Z573" s="3"/>
      <c r="AA573" s="3"/>
      <c r="AB573" s="3"/>
      <c r="AC573" s="3"/>
      <c r="AD573" s="3"/>
      <c r="AE573" s="7"/>
    </row>
    <row r="574" spans="2:31" x14ac:dyDescent="0.15">
      <c r="B574" s="16">
        <v>43833</v>
      </c>
      <c r="C574" s="23">
        <v>32979</v>
      </c>
      <c r="D574" s="23">
        <v>11627</v>
      </c>
      <c r="E574" s="23">
        <v>36235</v>
      </c>
      <c r="F574" s="23">
        <v>43214</v>
      </c>
      <c r="G574" s="23">
        <v>16226</v>
      </c>
      <c r="H574" s="24">
        <v>43820</v>
      </c>
      <c r="I574" s="2">
        <f t="shared" si="62"/>
        <v>570</v>
      </c>
      <c r="J574" s="16">
        <v>43833</v>
      </c>
      <c r="K574" s="29">
        <f t="shared" si="56"/>
        <v>-7.7027230329471674E-3</v>
      </c>
      <c r="L574" s="29">
        <f t="shared" si="57"/>
        <v>1.2055455093429313E-3</v>
      </c>
      <c r="M574" s="29">
        <f t="shared" si="58"/>
        <v>-1.405500744088628E-3</v>
      </c>
      <c r="N574" s="29">
        <f t="shared" si="59"/>
        <v>1.2279604272376066E-3</v>
      </c>
      <c r="O574" s="29">
        <f t="shared" si="60"/>
        <v>4.3949241720828702E-3</v>
      </c>
      <c r="P574" s="30">
        <f t="shared" si="61"/>
        <v>4.4468894695823824E-3</v>
      </c>
      <c r="Z574" s="3"/>
      <c r="AA574" s="3"/>
      <c r="AB574" s="3"/>
      <c r="AC574" s="3"/>
      <c r="AD574" s="3"/>
      <c r="AE574" s="7"/>
    </row>
    <row r="575" spans="2:31" x14ac:dyDescent="0.15">
      <c r="B575" s="16">
        <v>43840</v>
      </c>
      <c r="C575" s="23">
        <v>33235</v>
      </c>
      <c r="D575" s="23">
        <v>11606</v>
      </c>
      <c r="E575" s="23">
        <v>36027</v>
      </c>
      <c r="F575" s="23">
        <v>43534</v>
      </c>
      <c r="G575" s="23">
        <v>16157</v>
      </c>
      <c r="H575" s="24">
        <v>43522</v>
      </c>
      <c r="I575" s="2">
        <f t="shared" si="62"/>
        <v>571</v>
      </c>
      <c r="J575" s="16">
        <v>43840</v>
      </c>
      <c r="K575" s="29">
        <f t="shared" si="56"/>
        <v>7.7625155401921386E-3</v>
      </c>
      <c r="L575" s="29">
        <f t="shared" si="57"/>
        <v>-1.8061408789885602E-3</v>
      </c>
      <c r="M575" s="29">
        <f t="shared" si="58"/>
        <v>-5.7403063336552984E-3</v>
      </c>
      <c r="N575" s="29">
        <f t="shared" si="59"/>
        <v>7.4050076364140516E-3</v>
      </c>
      <c r="O575" s="29">
        <f t="shared" si="60"/>
        <v>-4.2524343645999885E-3</v>
      </c>
      <c r="P575" s="30">
        <f t="shared" si="61"/>
        <v>-6.800547695116399E-3</v>
      </c>
      <c r="Z575" s="3"/>
      <c r="AA575" s="3"/>
      <c r="AB575" s="3"/>
      <c r="AC575" s="3"/>
      <c r="AD575" s="3"/>
      <c r="AE575" s="7"/>
    </row>
    <row r="576" spans="2:31" x14ac:dyDescent="0.15">
      <c r="B576" s="16">
        <v>43847</v>
      </c>
      <c r="C576" s="23">
        <v>33494</v>
      </c>
      <c r="D576" s="23">
        <v>11596</v>
      </c>
      <c r="E576" s="23">
        <v>36435</v>
      </c>
      <c r="F576" s="23">
        <v>44360</v>
      </c>
      <c r="G576" s="23">
        <v>16343</v>
      </c>
      <c r="H576" s="24">
        <v>45039</v>
      </c>
      <c r="I576" s="2">
        <f t="shared" si="62"/>
        <v>572</v>
      </c>
      <c r="J576" s="16">
        <v>43847</v>
      </c>
      <c r="K576" s="29">
        <f t="shared" si="56"/>
        <v>7.792989318489596E-3</v>
      </c>
      <c r="L576" s="29">
        <f t="shared" si="57"/>
        <v>-8.6162329829397866E-4</v>
      </c>
      <c r="M576" s="29">
        <f t="shared" si="58"/>
        <v>1.1324839703555689E-2</v>
      </c>
      <c r="N576" s="29">
        <f t="shared" si="59"/>
        <v>1.8973675747691487E-2</v>
      </c>
      <c r="O576" s="29">
        <f t="shared" si="60"/>
        <v>1.1512038125889745E-2</v>
      </c>
      <c r="P576" s="30">
        <f t="shared" si="61"/>
        <v>3.4855934929461041E-2</v>
      </c>
      <c r="Z576" s="3"/>
      <c r="AA576" s="3"/>
      <c r="AB576" s="3"/>
      <c r="AC576" s="3"/>
      <c r="AD576" s="3"/>
      <c r="AE576" s="7"/>
    </row>
    <row r="577" spans="2:31" x14ac:dyDescent="0.15">
      <c r="B577" s="16">
        <v>43854</v>
      </c>
      <c r="C577" s="23">
        <v>33189</v>
      </c>
      <c r="D577" s="23">
        <v>11633</v>
      </c>
      <c r="E577" s="23">
        <v>37042</v>
      </c>
      <c r="F577" s="23">
        <v>44046</v>
      </c>
      <c r="G577" s="23">
        <v>16291</v>
      </c>
      <c r="H577" s="24">
        <v>45144</v>
      </c>
      <c r="I577" s="2">
        <f t="shared" si="62"/>
        <v>573</v>
      </c>
      <c r="J577" s="16">
        <v>43854</v>
      </c>
      <c r="K577" s="29">
        <f t="shared" si="56"/>
        <v>-9.1061085567564204E-3</v>
      </c>
      <c r="L577" s="29">
        <f t="shared" si="57"/>
        <v>3.1907554329078103E-3</v>
      </c>
      <c r="M577" s="29">
        <f t="shared" si="58"/>
        <v>1.6659805132427596E-2</v>
      </c>
      <c r="N577" s="29">
        <f t="shared" si="59"/>
        <v>-7.0784490532010969E-3</v>
      </c>
      <c r="O577" s="29">
        <f t="shared" si="60"/>
        <v>-3.1817903689652649E-3</v>
      </c>
      <c r="P577" s="30">
        <f t="shared" si="61"/>
        <v>2.3313128621860191E-3</v>
      </c>
      <c r="Z577" s="3"/>
      <c r="AA577" s="3"/>
      <c r="AB577" s="3"/>
      <c r="AC577" s="3"/>
      <c r="AD577" s="3"/>
      <c r="AE577" s="7"/>
    </row>
    <row r="578" spans="2:31" x14ac:dyDescent="0.15">
      <c r="B578" s="16">
        <v>43861</v>
      </c>
      <c r="C578" s="23">
        <v>32313</v>
      </c>
      <c r="D578" s="23">
        <v>11672</v>
      </c>
      <c r="E578" s="23">
        <v>37503</v>
      </c>
      <c r="F578" s="23">
        <v>43247</v>
      </c>
      <c r="G578" s="23">
        <v>16351</v>
      </c>
      <c r="H578" s="24">
        <v>44631</v>
      </c>
      <c r="I578" s="2">
        <f t="shared" si="62"/>
        <v>574</v>
      </c>
      <c r="J578" s="16">
        <v>43861</v>
      </c>
      <c r="K578" s="29">
        <f t="shared" si="56"/>
        <v>-2.6394287263852512E-2</v>
      </c>
      <c r="L578" s="29">
        <f t="shared" si="57"/>
        <v>3.3525315911631104E-3</v>
      </c>
      <c r="M578" s="29">
        <f t="shared" si="58"/>
        <v>1.2445332325468295E-2</v>
      </c>
      <c r="N578" s="29">
        <f t="shared" si="59"/>
        <v>-1.8140126231666942E-2</v>
      </c>
      <c r="O578" s="29">
        <f t="shared" si="60"/>
        <v>3.6830151617457396E-3</v>
      </c>
      <c r="P578" s="30">
        <f t="shared" si="61"/>
        <v>-1.1363636363636354E-2</v>
      </c>
      <c r="Z578" s="3"/>
      <c r="AA578" s="3"/>
      <c r="AB578" s="3"/>
      <c r="AC578" s="3"/>
      <c r="AD578" s="3"/>
      <c r="AE578" s="7"/>
    </row>
    <row r="579" spans="2:31" x14ac:dyDescent="0.15">
      <c r="B579" s="16">
        <v>43868</v>
      </c>
      <c r="C579" s="23">
        <v>33187</v>
      </c>
      <c r="D579" s="23">
        <v>11647</v>
      </c>
      <c r="E579" s="23">
        <v>37482</v>
      </c>
      <c r="F579" s="23">
        <v>44382</v>
      </c>
      <c r="G579" s="23">
        <v>16358</v>
      </c>
      <c r="H579" s="24">
        <v>45052</v>
      </c>
      <c r="I579" s="2">
        <f t="shared" si="62"/>
        <v>575</v>
      </c>
      <c r="J579" s="16">
        <v>43868</v>
      </c>
      <c r="K579" s="29">
        <f t="shared" si="56"/>
        <v>2.7047937362671304E-2</v>
      </c>
      <c r="L579" s="29">
        <f t="shared" si="57"/>
        <v>-2.1418779986291936E-3</v>
      </c>
      <c r="M579" s="29">
        <f t="shared" si="58"/>
        <v>-5.5995520358376183E-4</v>
      </c>
      <c r="N579" s="29">
        <f t="shared" si="59"/>
        <v>2.6244595000809223E-2</v>
      </c>
      <c r="O579" s="29">
        <f t="shared" si="60"/>
        <v>4.2810837257656331E-4</v>
      </c>
      <c r="P579" s="30">
        <f t="shared" si="61"/>
        <v>9.4329053796688989E-3</v>
      </c>
      <c r="Z579" s="3"/>
      <c r="AA579" s="3"/>
      <c r="AB579" s="3"/>
      <c r="AC579" s="3"/>
      <c r="AD579" s="3"/>
      <c r="AE579" s="7"/>
    </row>
    <row r="580" spans="2:31" x14ac:dyDescent="0.15">
      <c r="B580" s="16">
        <v>43875</v>
      </c>
      <c r="C580" s="23">
        <v>32981</v>
      </c>
      <c r="D580" s="23">
        <v>11638</v>
      </c>
      <c r="E580" s="23">
        <v>37791</v>
      </c>
      <c r="F580" s="23">
        <v>44689</v>
      </c>
      <c r="G580" s="23">
        <v>16327</v>
      </c>
      <c r="H580" s="24">
        <v>45828</v>
      </c>
      <c r="I580" s="2">
        <f t="shared" si="62"/>
        <v>576</v>
      </c>
      <c r="J580" s="16">
        <v>43875</v>
      </c>
      <c r="K580" s="29">
        <f t="shared" si="56"/>
        <v>-6.2072498267393694E-3</v>
      </c>
      <c r="L580" s="29">
        <f t="shared" si="57"/>
        <v>-7.7273117540999081E-4</v>
      </c>
      <c r="M580" s="29">
        <f t="shared" si="58"/>
        <v>8.2439570994077283E-3</v>
      </c>
      <c r="N580" s="29">
        <f t="shared" si="59"/>
        <v>6.9172186922625833E-3</v>
      </c>
      <c r="O580" s="29">
        <f t="shared" si="60"/>
        <v>-1.8950972001466893E-3</v>
      </c>
      <c r="P580" s="30">
        <f t="shared" si="61"/>
        <v>1.7224540530941912E-2</v>
      </c>
      <c r="Z580" s="3"/>
      <c r="AA580" s="3"/>
      <c r="AB580" s="3"/>
      <c r="AC580" s="3"/>
      <c r="AD580" s="3"/>
      <c r="AE580" s="7"/>
    </row>
    <row r="581" spans="2:31" x14ac:dyDescent="0.15">
      <c r="B581" s="16">
        <v>43882</v>
      </c>
      <c r="C581" s="23">
        <v>32556</v>
      </c>
      <c r="D581" s="23">
        <v>11680</v>
      </c>
      <c r="E581" s="23">
        <v>37979</v>
      </c>
      <c r="F581" s="23">
        <v>45557</v>
      </c>
      <c r="G581" s="23">
        <v>16686</v>
      </c>
      <c r="H581" s="24">
        <v>47029</v>
      </c>
      <c r="I581" s="2">
        <f t="shared" si="62"/>
        <v>577</v>
      </c>
      <c r="J581" s="16">
        <v>43882</v>
      </c>
      <c r="K581" s="29">
        <f t="shared" ref="K581:K616" si="63">C581/C580-1</f>
        <v>-1.2886207210211942E-2</v>
      </c>
      <c r="L581" s="29">
        <f t="shared" ref="L581:L616" si="64">D581/D580-1</f>
        <v>3.6088675030074846E-3</v>
      </c>
      <c r="M581" s="29">
        <f t="shared" ref="M581:M616" si="65">E581/E580-1</f>
        <v>4.9747294329338665E-3</v>
      </c>
      <c r="N581" s="29">
        <f t="shared" ref="N581:N616" si="66">F581/F580-1</f>
        <v>1.9423124258766133E-2</v>
      </c>
      <c r="O581" s="29">
        <f t="shared" ref="O581:O616" si="67">G581/G580-1</f>
        <v>2.1988117841612143E-2</v>
      </c>
      <c r="P581" s="30">
        <f t="shared" ref="P581:P616" si="68">H581/H580-1</f>
        <v>2.6206685868901181E-2</v>
      </c>
      <c r="Z581" s="3"/>
      <c r="AA581" s="3"/>
      <c r="AB581" s="3"/>
      <c r="AC581" s="3"/>
      <c r="AD581" s="3"/>
      <c r="AE581" s="7"/>
    </row>
    <row r="582" spans="2:31" x14ac:dyDescent="0.15">
      <c r="B582" s="16">
        <v>43889</v>
      </c>
      <c r="C582" s="23">
        <v>29461</v>
      </c>
      <c r="D582" s="23">
        <v>11759</v>
      </c>
      <c r="E582" s="23">
        <v>34367</v>
      </c>
      <c r="F582" s="23">
        <v>39832</v>
      </c>
      <c r="G582" s="23">
        <v>16537</v>
      </c>
      <c r="H582" s="24">
        <v>41824</v>
      </c>
      <c r="I582" s="2">
        <f t="shared" si="62"/>
        <v>578</v>
      </c>
      <c r="J582" s="16">
        <v>43889</v>
      </c>
      <c r="K582" s="29">
        <f t="shared" si="63"/>
        <v>-9.5066961543187167E-2</v>
      </c>
      <c r="L582" s="29">
        <f t="shared" si="64"/>
        <v>6.7636986301369273E-3</v>
      </c>
      <c r="M582" s="29">
        <f t="shared" si="65"/>
        <v>-9.5105189710102955E-2</v>
      </c>
      <c r="N582" s="29">
        <f t="shared" si="66"/>
        <v>-0.12566674715191961</v>
      </c>
      <c r="O582" s="29">
        <f t="shared" si="67"/>
        <v>-8.9296416157257363E-3</v>
      </c>
      <c r="P582" s="30">
        <f t="shared" si="68"/>
        <v>-0.11067639116289951</v>
      </c>
      <c r="Z582" s="3"/>
      <c r="AA582" s="3"/>
      <c r="AB582" s="3"/>
      <c r="AC582" s="3"/>
      <c r="AD582" s="3"/>
      <c r="AE582" s="7"/>
    </row>
    <row r="583" spans="2:31" x14ac:dyDescent="0.15">
      <c r="B583" s="16">
        <v>43896</v>
      </c>
      <c r="C583" s="23">
        <v>28909</v>
      </c>
      <c r="D583" s="23">
        <v>11739</v>
      </c>
      <c r="E583" s="23">
        <v>34795</v>
      </c>
      <c r="F583" s="23">
        <v>39009</v>
      </c>
      <c r="G583" s="23">
        <v>16419</v>
      </c>
      <c r="H583" s="24">
        <v>41464</v>
      </c>
      <c r="I583" s="2">
        <f t="shared" ref="I583:I646" si="69">I582+1</f>
        <v>579</v>
      </c>
      <c r="J583" s="16">
        <v>43896</v>
      </c>
      <c r="K583" s="29">
        <f t="shared" si="63"/>
        <v>-1.8736634873222191E-2</v>
      </c>
      <c r="L583" s="29">
        <f t="shared" si="64"/>
        <v>-1.700824900076503E-3</v>
      </c>
      <c r="M583" s="29">
        <f t="shared" si="65"/>
        <v>1.245380743154767E-2</v>
      </c>
      <c r="N583" s="29">
        <f t="shared" si="66"/>
        <v>-2.0661779473789887E-2</v>
      </c>
      <c r="O583" s="29">
        <f t="shared" si="67"/>
        <v>-7.1355143012638012E-3</v>
      </c>
      <c r="P583" s="30">
        <f t="shared" si="68"/>
        <v>-8.6074980872226092E-3</v>
      </c>
      <c r="Z583" s="3"/>
      <c r="AA583" s="3"/>
      <c r="AB583" s="3"/>
      <c r="AC583" s="3"/>
      <c r="AD583" s="3"/>
      <c r="AE583" s="7"/>
    </row>
    <row r="584" spans="2:31" x14ac:dyDescent="0.15">
      <c r="B584" s="16">
        <v>43903</v>
      </c>
      <c r="C584" s="23">
        <v>24285</v>
      </c>
      <c r="D584" s="23">
        <v>11617</v>
      </c>
      <c r="E584" s="23">
        <v>27314</v>
      </c>
      <c r="F584" s="23">
        <v>31059</v>
      </c>
      <c r="G584" s="23">
        <v>16113</v>
      </c>
      <c r="H584" s="24">
        <v>32669</v>
      </c>
      <c r="I584" s="2">
        <f t="shared" si="69"/>
        <v>580</v>
      </c>
      <c r="J584" s="16">
        <v>43903</v>
      </c>
      <c r="K584" s="29">
        <f t="shared" si="63"/>
        <v>-0.15995018852260545</v>
      </c>
      <c r="L584" s="29">
        <f t="shared" si="64"/>
        <v>-1.0392708067126666E-2</v>
      </c>
      <c r="M584" s="29">
        <f t="shared" si="65"/>
        <v>-0.21500215548210955</v>
      </c>
      <c r="N584" s="29">
        <f t="shared" si="66"/>
        <v>-0.20379912327924321</v>
      </c>
      <c r="O584" s="29">
        <f t="shared" si="67"/>
        <v>-1.8636945002740712E-2</v>
      </c>
      <c r="P584" s="30">
        <f t="shared" si="68"/>
        <v>-0.21211171136407481</v>
      </c>
      <c r="Z584" s="3"/>
      <c r="AA584" s="3"/>
      <c r="AB584" s="3"/>
      <c r="AC584" s="3"/>
      <c r="AD584" s="3"/>
      <c r="AE584" s="7"/>
    </row>
    <row r="585" spans="2:31" x14ac:dyDescent="0.15">
      <c r="B585" s="16">
        <v>43910</v>
      </c>
      <c r="C585" s="23">
        <v>23102</v>
      </c>
      <c r="D585" s="23">
        <v>11527</v>
      </c>
      <c r="E585" s="23">
        <v>19758</v>
      </c>
      <c r="F585" s="23">
        <v>30515</v>
      </c>
      <c r="G585" s="23">
        <v>15837</v>
      </c>
      <c r="H585" s="24">
        <v>27206</v>
      </c>
      <c r="I585" s="2">
        <f t="shared" si="69"/>
        <v>581</v>
      </c>
      <c r="J585" s="16">
        <v>43910</v>
      </c>
      <c r="K585" s="29">
        <f t="shared" si="63"/>
        <v>-4.8713197446983769E-2</v>
      </c>
      <c r="L585" s="29">
        <f t="shared" si="64"/>
        <v>-7.7472669363862767E-3</v>
      </c>
      <c r="M585" s="29">
        <f t="shared" si="65"/>
        <v>-0.27663469283151498</v>
      </c>
      <c r="N585" s="29">
        <f t="shared" si="66"/>
        <v>-1.7515051997810671E-2</v>
      </c>
      <c r="O585" s="29">
        <f t="shared" si="67"/>
        <v>-1.7129026252094559E-2</v>
      </c>
      <c r="P585" s="30">
        <f t="shared" si="68"/>
        <v>-0.16722274939545134</v>
      </c>
      <c r="Z585" s="3"/>
      <c r="AA585" s="3"/>
      <c r="AB585" s="3"/>
      <c r="AC585" s="3"/>
      <c r="AD585" s="3"/>
      <c r="AE585" s="7"/>
    </row>
    <row r="586" spans="2:31" x14ac:dyDescent="0.15">
      <c r="B586" s="16">
        <v>43917</v>
      </c>
      <c r="C586" s="23">
        <v>27016</v>
      </c>
      <c r="D586" s="23">
        <v>11570</v>
      </c>
      <c r="E586" s="23">
        <v>26436</v>
      </c>
      <c r="F586" s="23">
        <v>34135</v>
      </c>
      <c r="G586" s="23">
        <v>16495</v>
      </c>
      <c r="H586" s="24">
        <v>31253</v>
      </c>
      <c r="I586" s="2">
        <f t="shared" si="69"/>
        <v>582</v>
      </c>
      <c r="J586" s="16">
        <v>43917</v>
      </c>
      <c r="K586" s="29">
        <f t="shared" si="63"/>
        <v>0.16942256081724527</v>
      </c>
      <c r="L586" s="29">
        <f t="shared" si="64"/>
        <v>3.7303721696886338E-3</v>
      </c>
      <c r="M586" s="29">
        <f t="shared" si="65"/>
        <v>0.33798967506832667</v>
      </c>
      <c r="N586" s="29">
        <f t="shared" si="66"/>
        <v>0.11863018187776508</v>
      </c>
      <c r="O586" s="29">
        <f t="shared" si="67"/>
        <v>4.1548273031508431E-2</v>
      </c>
      <c r="P586" s="30">
        <f t="shared" si="68"/>
        <v>0.14875395133426461</v>
      </c>
      <c r="Z586" s="3"/>
      <c r="AA586" s="3"/>
      <c r="AB586" s="3"/>
      <c r="AC586" s="3"/>
      <c r="AD586" s="3"/>
      <c r="AE586" s="7"/>
    </row>
    <row r="587" spans="2:31" x14ac:dyDescent="0.15">
      <c r="B587" s="16">
        <v>43924</v>
      </c>
      <c r="C587" s="23">
        <v>25059</v>
      </c>
      <c r="D587" s="23">
        <v>11605</v>
      </c>
      <c r="E587" s="23">
        <v>24714</v>
      </c>
      <c r="F587" s="23">
        <v>32532</v>
      </c>
      <c r="G587" s="23">
        <v>16328</v>
      </c>
      <c r="H587" s="24">
        <v>28909</v>
      </c>
      <c r="I587" s="2">
        <f t="shared" si="69"/>
        <v>583</v>
      </c>
      <c r="J587" s="16">
        <v>43924</v>
      </c>
      <c r="K587" s="29">
        <f t="shared" si="63"/>
        <v>-7.2438554930411625E-2</v>
      </c>
      <c r="L587" s="29">
        <f t="shared" si="64"/>
        <v>3.0250648228176136E-3</v>
      </c>
      <c r="M587" s="29">
        <f t="shared" si="65"/>
        <v>-6.5138447571493452E-2</v>
      </c>
      <c r="N587" s="29">
        <f t="shared" si="66"/>
        <v>-4.6960597627068945E-2</v>
      </c>
      <c r="O587" s="29">
        <f t="shared" si="67"/>
        <v>-1.0124280084874204E-2</v>
      </c>
      <c r="P587" s="30">
        <f t="shared" si="68"/>
        <v>-7.5000799923207406E-2</v>
      </c>
      <c r="Z587" s="3"/>
      <c r="AA587" s="3"/>
      <c r="AB587" s="3"/>
      <c r="AC587" s="3"/>
      <c r="AD587" s="3"/>
      <c r="AE587" s="7"/>
    </row>
    <row r="588" spans="2:31" x14ac:dyDescent="0.15">
      <c r="B588" s="16">
        <v>43931</v>
      </c>
      <c r="C588" s="23">
        <v>27411</v>
      </c>
      <c r="D588" s="23">
        <v>11573</v>
      </c>
      <c r="E588" s="23">
        <v>26591</v>
      </c>
      <c r="F588" s="23">
        <v>35832</v>
      </c>
      <c r="G588" s="23">
        <v>16420</v>
      </c>
      <c r="H588" s="24">
        <v>34277</v>
      </c>
      <c r="I588" s="2">
        <f t="shared" si="69"/>
        <v>584</v>
      </c>
      <c r="J588" s="16">
        <v>43931</v>
      </c>
      <c r="K588" s="29">
        <f t="shared" si="63"/>
        <v>9.385849395426793E-2</v>
      </c>
      <c r="L588" s="29">
        <f t="shared" si="64"/>
        <v>-2.7574321413184055E-3</v>
      </c>
      <c r="M588" s="29">
        <f t="shared" si="65"/>
        <v>7.594885490005665E-2</v>
      </c>
      <c r="N588" s="29">
        <f t="shared" si="66"/>
        <v>0.1014385835485061</v>
      </c>
      <c r="O588" s="29">
        <f t="shared" si="67"/>
        <v>5.6344928956393314E-3</v>
      </c>
      <c r="P588" s="30">
        <f t="shared" si="68"/>
        <v>0.18568611850980665</v>
      </c>
      <c r="Z588" s="3"/>
      <c r="AA588" s="3"/>
      <c r="AB588" s="3"/>
      <c r="AC588" s="3"/>
      <c r="AD588" s="3"/>
      <c r="AE588" s="7"/>
    </row>
    <row r="589" spans="2:31" x14ac:dyDescent="0.15">
      <c r="B589" s="16">
        <v>43938</v>
      </c>
      <c r="C589" s="23">
        <v>27963</v>
      </c>
      <c r="D589" s="23">
        <v>11538</v>
      </c>
      <c r="E589" s="23">
        <v>27078</v>
      </c>
      <c r="F589" s="23">
        <v>35500</v>
      </c>
      <c r="G589" s="23">
        <v>16369</v>
      </c>
      <c r="H589" s="24">
        <v>32070</v>
      </c>
      <c r="I589" s="2">
        <f t="shared" si="69"/>
        <v>585</v>
      </c>
      <c r="J589" s="16">
        <v>43938</v>
      </c>
      <c r="K589" s="29">
        <f t="shared" si="63"/>
        <v>2.0137900842727374E-2</v>
      </c>
      <c r="L589" s="29">
        <f t="shared" si="64"/>
        <v>-3.0242806532446709E-3</v>
      </c>
      <c r="M589" s="29">
        <f t="shared" si="65"/>
        <v>1.831446730096653E-2</v>
      </c>
      <c r="N589" s="29">
        <f t="shared" si="66"/>
        <v>-9.2654610404108162E-3</v>
      </c>
      <c r="O589" s="29">
        <f t="shared" si="67"/>
        <v>-3.1059683313032771E-3</v>
      </c>
      <c r="P589" s="30">
        <f t="shared" si="68"/>
        <v>-6.4387198412929947E-2</v>
      </c>
      <c r="Z589" s="3"/>
      <c r="AA589" s="3"/>
      <c r="AB589" s="3"/>
      <c r="AC589" s="3"/>
      <c r="AD589" s="3"/>
      <c r="AE589" s="7"/>
    </row>
    <row r="590" spans="2:31" x14ac:dyDescent="0.15">
      <c r="B590" s="16">
        <v>43945</v>
      </c>
      <c r="C590" s="23">
        <v>27069</v>
      </c>
      <c r="D590" s="23">
        <v>11600</v>
      </c>
      <c r="E590" s="23">
        <v>26653</v>
      </c>
      <c r="F590" s="23">
        <v>35547</v>
      </c>
      <c r="G590" s="23">
        <v>16228</v>
      </c>
      <c r="H590" s="24">
        <v>31374</v>
      </c>
      <c r="I590" s="2">
        <f t="shared" si="69"/>
        <v>586</v>
      </c>
      <c r="J590" s="16">
        <v>43945</v>
      </c>
      <c r="K590" s="29">
        <f t="shared" si="63"/>
        <v>-3.1970818581697258E-2</v>
      </c>
      <c r="L590" s="29">
        <f t="shared" si="64"/>
        <v>5.3735482752643726E-3</v>
      </c>
      <c r="M590" s="29">
        <f t="shared" si="65"/>
        <v>-1.5695398478469569E-2</v>
      </c>
      <c r="N590" s="29">
        <f t="shared" si="66"/>
        <v>1.3239436619718603E-3</v>
      </c>
      <c r="O590" s="29">
        <f t="shared" si="67"/>
        <v>-8.6138432402712573E-3</v>
      </c>
      <c r="P590" s="30">
        <f t="shared" si="68"/>
        <v>-2.1702525724976662E-2</v>
      </c>
      <c r="Z590" s="3"/>
      <c r="AA590" s="3"/>
      <c r="AB590" s="3"/>
      <c r="AC590" s="3"/>
      <c r="AD590" s="3"/>
      <c r="AE590" s="7"/>
    </row>
    <row r="591" spans="2:31" x14ac:dyDescent="0.15">
      <c r="B591" s="16">
        <v>43952</v>
      </c>
      <c r="C591" s="23">
        <v>27570</v>
      </c>
      <c r="D591" s="23">
        <v>11595</v>
      </c>
      <c r="E591" s="23">
        <v>26956</v>
      </c>
      <c r="F591" s="23">
        <v>36861</v>
      </c>
      <c r="G591" s="23">
        <v>16375</v>
      </c>
      <c r="H591" s="24">
        <v>33225</v>
      </c>
      <c r="I591" s="2">
        <f t="shared" si="69"/>
        <v>587</v>
      </c>
      <c r="J591" s="16">
        <v>43952</v>
      </c>
      <c r="K591" s="29">
        <f t="shared" si="63"/>
        <v>1.8508256677379986E-2</v>
      </c>
      <c r="L591" s="29">
        <f t="shared" si="64"/>
        <v>-4.3103448275860767E-4</v>
      </c>
      <c r="M591" s="29">
        <f t="shared" si="65"/>
        <v>1.1368326267211959E-2</v>
      </c>
      <c r="N591" s="29">
        <f t="shared" si="66"/>
        <v>3.6965144737952649E-2</v>
      </c>
      <c r="O591" s="29">
        <f t="shared" si="67"/>
        <v>9.0584175499137665E-3</v>
      </c>
      <c r="P591" s="30">
        <f t="shared" si="68"/>
        <v>5.899789634729391E-2</v>
      </c>
      <c r="Z591" s="3"/>
      <c r="AA591" s="3"/>
      <c r="AB591" s="3"/>
      <c r="AC591" s="3"/>
      <c r="AD591" s="3"/>
      <c r="AE591" s="7"/>
    </row>
    <row r="592" spans="2:31" x14ac:dyDescent="0.15">
      <c r="B592" s="16">
        <v>43959</v>
      </c>
      <c r="C592" s="23">
        <v>28347</v>
      </c>
      <c r="D592" s="23">
        <v>11572</v>
      </c>
      <c r="E592" s="23">
        <v>28501</v>
      </c>
      <c r="F592" s="23">
        <v>36219</v>
      </c>
      <c r="G592" s="23">
        <v>16116</v>
      </c>
      <c r="H592" s="24">
        <v>31986</v>
      </c>
      <c r="I592" s="2">
        <f t="shared" si="69"/>
        <v>588</v>
      </c>
      <c r="J592" s="16">
        <v>43959</v>
      </c>
      <c r="K592" s="29">
        <f t="shared" si="63"/>
        <v>2.8182807399347087E-2</v>
      </c>
      <c r="L592" s="29">
        <f t="shared" si="64"/>
        <v>-1.9836136265631854E-3</v>
      </c>
      <c r="M592" s="29">
        <f t="shared" si="65"/>
        <v>5.73156254637186E-2</v>
      </c>
      <c r="N592" s="29">
        <f t="shared" si="66"/>
        <v>-1.7416781964678107E-2</v>
      </c>
      <c r="O592" s="29">
        <f t="shared" si="67"/>
        <v>-1.5816793893129732E-2</v>
      </c>
      <c r="P592" s="30">
        <f t="shared" si="68"/>
        <v>-3.7291196388261838E-2</v>
      </c>
      <c r="Z592" s="3"/>
      <c r="AA592" s="3"/>
      <c r="AB592" s="3"/>
      <c r="AC592" s="3"/>
      <c r="AD592" s="3"/>
      <c r="AE592" s="7"/>
    </row>
    <row r="593" spans="2:31" x14ac:dyDescent="0.15">
      <c r="B593" s="16">
        <v>43966</v>
      </c>
      <c r="C593" s="23">
        <v>28146</v>
      </c>
      <c r="D593" s="23">
        <v>11563</v>
      </c>
      <c r="E593" s="23">
        <v>26760</v>
      </c>
      <c r="F593" s="23">
        <v>36002</v>
      </c>
      <c r="G593" s="23">
        <v>16261</v>
      </c>
      <c r="H593" s="24">
        <v>30288</v>
      </c>
      <c r="I593" s="2">
        <f t="shared" si="69"/>
        <v>589</v>
      </c>
      <c r="J593" s="16">
        <v>43966</v>
      </c>
      <c r="K593" s="29">
        <f t="shared" si="63"/>
        <v>-7.0906974282992641E-3</v>
      </c>
      <c r="L593" s="29">
        <f t="shared" si="64"/>
        <v>-7.7773937089531398E-4</v>
      </c>
      <c r="M593" s="29">
        <f t="shared" si="65"/>
        <v>-6.1085575944703652E-2</v>
      </c>
      <c r="N593" s="29">
        <f t="shared" si="66"/>
        <v>-5.9913305171318543E-3</v>
      </c>
      <c r="O593" s="29">
        <f t="shared" si="67"/>
        <v>8.997269793993512E-3</v>
      </c>
      <c r="P593" s="30">
        <f t="shared" si="68"/>
        <v>-5.3085725004689555E-2</v>
      </c>
      <c r="Z593" s="3"/>
      <c r="AA593" s="3"/>
      <c r="AB593" s="3"/>
      <c r="AC593" s="3"/>
      <c r="AD593" s="3"/>
      <c r="AE593" s="7"/>
    </row>
    <row r="594" spans="2:31" x14ac:dyDescent="0.15">
      <c r="B594" s="16">
        <v>43973</v>
      </c>
      <c r="C594" s="23">
        <v>28628</v>
      </c>
      <c r="D594" s="23">
        <v>11584</v>
      </c>
      <c r="E594" s="23">
        <v>27894</v>
      </c>
      <c r="F594" s="23">
        <v>37510</v>
      </c>
      <c r="G594" s="23">
        <v>16401</v>
      </c>
      <c r="H594" s="24">
        <v>32020</v>
      </c>
      <c r="I594" s="2">
        <f t="shared" si="69"/>
        <v>590</v>
      </c>
      <c r="J594" s="16">
        <v>43973</v>
      </c>
      <c r="K594" s="29">
        <f t="shared" si="63"/>
        <v>1.7124991117743127E-2</v>
      </c>
      <c r="L594" s="29">
        <f t="shared" si="64"/>
        <v>1.8161376805327922E-3</v>
      </c>
      <c r="M594" s="29">
        <f t="shared" si="65"/>
        <v>4.237668161434982E-2</v>
      </c>
      <c r="N594" s="29">
        <f t="shared" si="66"/>
        <v>4.1886561857674476E-2</v>
      </c>
      <c r="O594" s="29">
        <f t="shared" si="67"/>
        <v>8.6095566078348007E-3</v>
      </c>
      <c r="P594" s="30">
        <f t="shared" si="68"/>
        <v>5.718436344426836E-2</v>
      </c>
      <c r="Z594" s="3"/>
      <c r="AA594" s="3"/>
      <c r="AB594" s="3"/>
      <c r="AC594" s="3"/>
      <c r="AD594" s="3"/>
      <c r="AE594" s="7"/>
    </row>
    <row r="595" spans="2:31" x14ac:dyDescent="0.15">
      <c r="B595" s="16">
        <v>43980</v>
      </c>
      <c r="C595" s="23">
        <v>30714</v>
      </c>
      <c r="D595" s="23">
        <v>11553</v>
      </c>
      <c r="E595" s="23">
        <v>29369</v>
      </c>
      <c r="F595" s="23">
        <v>38700</v>
      </c>
      <c r="G595" s="23">
        <v>16452</v>
      </c>
      <c r="H595" s="24">
        <v>33978</v>
      </c>
      <c r="I595" s="2">
        <f t="shared" si="69"/>
        <v>591</v>
      </c>
      <c r="J595" s="16">
        <v>43980</v>
      </c>
      <c r="K595" s="29">
        <f t="shared" si="63"/>
        <v>7.2865725862791608E-2</v>
      </c>
      <c r="L595" s="29">
        <f t="shared" si="64"/>
        <v>-2.6761049723756924E-3</v>
      </c>
      <c r="M595" s="29">
        <f t="shared" si="65"/>
        <v>5.2878755287875556E-2</v>
      </c>
      <c r="N595" s="29">
        <f t="shared" si="66"/>
        <v>3.1724873367102058E-2</v>
      </c>
      <c r="O595" s="29">
        <f t="shared" si="67"/>
        <v>3.1095664898481701E-3</v>
      </c>
      <c r="P595" s="30">
        <f t="shared" si="68"/>
        <v>6.1149281698938074E-2</v>
      </c>
      <c r="Z595" s="3"/>
      <c r="AA595" s="3"/>
      <c r="AB595" s="3"/>
      <c r="AC595" s="3"/>
      <c r="AD595" s="3"/>
      <c r="AE595" s="7"/>
    </row>
    <row r="596" spans="2:31" x14ac:dyDescent="0.15">
      <c r="B596" s="16">
        <v>43987</v>
      </c>
      <c r="C596" s="23">
        <v>32099</v>
      </c>
      <c r="D596" s="23">
        <v>11503</v>
      </c>
      <c r="E596" s="23">
        <v>29685</v>
      </c>
      <c r="F596" s="23">
        <v>40629</v>
      </c>
      <c r="G596" s="23">
        <v>16795</v>
      </c>
      <c r="H596" s="24">
        <v>36357</v>
      </c>
      <c r="I596" s="2">
        <f t="shared" si="69"/>
        <v>592</v>
      </c>
      <c r="J596" s="16">
        <v>43987</v>
      </c>
      <c r="K596" s="29">
        <f t="shared" si="63"/>
        <v>4.509344272969984E-2</v>
      </c>
      <c r="L596" s="29">
        <f t="shared" si="64"/>
        <v>-4.3278802042759912E-3</v>
      </c>
      <c r="M596" s="29">
        <f t="shared" si="65"/>
        <v>1.0759644523136602E-2</v>
      </c>
      <c r="N596" s="29">
        <f t="shared" si="66"/>
        <v>4.9844961240310015E-2</v>
      </c>
      <c r="O596" s="29">
        <f t="shared" si="67"/>
        <v>2.0848529054218412E-2</v>
      </c>
      <c r="P596" s="30">
        <f t="shared" si="68"/>
        <v>7.0015892636411836E-2</v>
      </c>
      <c r="Z596" s="3"/>
      <c r="AA596" s="3"/>
      <c r="AB596" s="3"/>
      <c r="AC596" s="3"/>
      <c r="AD596" s="3"/>
      <c r="AE596" s="7"/>
    </row>
    <row r="597" spans="2:31" x14ac:dyDescent="0.15">
      <c r="B597" s="16">
        <v>43994</v>
      </c>
      <c r="C597" s="23">
        <v>31301</v>
      </c>
      <c r="D597" s="23">
        <v>11535</v>
      </c>
      <c r="E597" s="23">
        <v>29634</v>
      </c>
      <c r="F597" s="23">
        <v>38372</v>
      </c>
      <c r="G597" s="23">
        <v>16511</v>
      </c>
      <c r="H597" s="24">
        <v>34161</v>
      </c>
      <c r="I597" s="2">
        <f t="shared" si="69"/>
        <v>593</v>
      </c>
      <c r="J597" s="16">
        <v>43994</v>
      </c>
      <c r="K597" s="29">
        <f t="shared" si="63"/>
        <v>-2.486058755724474E-2</v>
      </c>
      <c r="L597" s="29">
        <f t="shared" si="64"/>
        <v>2.7818829870469575E-3</v>
      </c>
      <c r="M597" s="29">
        <f t="shared" si="65"/>
        <v>-1.7180394138454069E-3</v>
      </c>
      <c r="N597" s="29">
        <f t="shared" si="66"/>
        <v>-5.5551453395357941E-2</v>
      </c>
      <c r="O597" s="29">
        <f t="shared" si="67"/>
        <v>-1.6909794581720705E-2</v>
      </c>
      <c r="P597" s="30">
        <f t="shared" si="68"/>
        <v>-6.0401023186731573E-2</v>
      </c>
      <c r="Z597" s="3"/>
      <c r="AA597" s="3"/>
      <c r="AB597" s="3"/>
      <c r="AC597" s="3"/>
      <c r="AD597" s="3"/>
      <c r="AE597" s="7"/>
    </row>
    <row r="598" spans="2:31" x14ac:dyDescent="0.15">
      <c r="B598" s="16">
        <v>44001</v>
      </c>
      <c r="C598" s="23">
        <v>31551</v>
      </c>
      <c r="D598" s="23">
        <v>11521</v>
      </c>
      <c r="E598" s="23">
        <v>29087</v>
      </c>
      <c r="F598" s="23">
        <v>39760</v>
      </c>
      <c r="G598" s="23">
        <v>16500</v>
      </c>
      <c r="H598" s="24">
        <v>35414</v>
      </c>
      <c r="I598" s="2">
        <f t="shared" si="69"/>
        <v>594</v>
      </c>
      <c r="J598" s="16">
        <v>44001</v>
      </c>
      <c r="K598" s="29">
        <f t="shared" si="63"/>
        <v>7.9869652726749507E-3</v>
      </c>
      <c r="L598" s="29">
        <f t="shared" si="64"/>
        <v>-1.2136974425660529E-3</v>
      </c>
      <c r="M598" s="29">
        <f t="shared" si="65"/>
        <v>-1.8458527367213318E-2</v>
      </c>
      <c r="N598" s="29">
        <f t="shared" si="66"/>
        <v>3.6172208902324643E-2</v>
      </c>
      <c r="O598" s="29">
        <f t="shared" si="67"/>
        <v>-6.6622251832115786E-4</v>
      </c>
      <c r="P598" s="30">
        <f t="shared" si="68"/>
        <v>3.6679254120195459E-2</v>
      </c>
      <c r="Z598" s="3"/>
      <c r="AA598" s="3"/>
      <c r="AB598" s="3"/>
      <c r="AC598" s="3"/>
      <c r="AD598" s="3"/>
      <c r="AE598" s="7"/>
    </row>
    <row r="599" spans="2:31" x14ac:dyDescent="0.15">
      <c r="B599" s="16">
        <v>44008</v>
      </c>
      <c r="C599" s="23">
        <v>31584</v>
      </c>
      <c r="D599" s="23">
        <v>11521</v>
      </c>
      <c r="E599" s="23">
        <v>29526</v>
      </c>
      <c r="F599" s="23">
        <v>39473</v>
      </c>
      <c r="G599" s="23">
        <v>16591</v>
      </c>
      <c r="H599" s="24">
        <v>34219</v>
      </c>
      <c r="I599" s="2">
        <f t="shared" si="69"/>
        <v>595</v>
      </c>
      <c r="J599" s="16">
        <v>44008</v>
      </c>
      <c r="K599" s="29">
        <f t="shared" si="63"/>
        <v>1.0459256441950338E-3</v>
      </c>
      <c r="L599" s="29">
        <f t="shared" si="64"/>
        <v>0</v>
      </c>
      <c r="M599" s="29">
        <f t="shared" si="65"/>
        <v>1.509265307525709E-2</v>
      </c>
      <c r="N599" s="29">
        <f t="shared" si="66"/>
        <v>-7.2183098591549477E-3</v>
      </c>
      <c r="O599" s="29">
        <f t="shared" si="67"/>
        <v>5.5151515151514729E-3</v>
      </c>
      <c r="P599" s="30">
        <f t="shared" si="68"/>
        <v>-3.3743717173998933E-2</v>
      </c>
      <c r="Z599" s="3"/>
      <c r="AA599" s="3"/>
      <c r="AB599" s="3"/>
      <c r="AC599" s="3"/>
      <c r="AD599" s="3"/>
      <c r="AE599" s="7"/>
    </row>
    <row r="600" spans="2:31" x14ac:dyDescent="0.15">
      <c r="B600" s="16">
        <v>44015</v>
      </c>
      <c r="C600" s="23">
        <v>31329</v>
      </c>
      <c r="D600" s="23">
        <v>11501</v>
      </c>
      <c r="E600" s="23">
        <v>29312</v>
      </c>
      <c r="F600" s="23">
        <v>40367</v>
      </c>
      <c r="G600" s="23">
        <v>16671</v>
      </c>
      <c r="H600" s="24">
        <v>35215</v>
      </c>
      <c r="I600" s="2">
        <f t="shared" si="69"/>
        <v>596</v>
      </c>
      <c r="J600" s="16">
        <v>44015</v>
      </c>
      <c r="K600" s="29">
        <f t="shared" si="63"/>
        <v>-8.0737082066869581E-3</v>
      </c>
      <c r="L600" s="29">
        <f t="shared" si="64"/>
        <v>-1.7359604201023782E-3</v>
      </c>
      <c r="M600" s="29">
        <f t="shared" si="65"/>
        <v>-7.2478493531125121E-3</v>
      </c>
      <c r="N600" s="29">
        <f t="shared" si="66"/>
        <v>2.264839257213791E-2</v>
      </c>
      <c r="O600" s="29">
        <f t="shared" si="67"/>
        <v>4.8218913868964819E-3</v>
      </c>
      <c r="P600" s="30">
        <f t="shared" si="68"/>
        <v>2.9106636663841723E-2</v>
      </c>
      <c r="Z600" s="3"/>
      <c r="AA600" s="3"/>
      <c r="AB600" s="3"/>
      <c r="AC600" s="3"/>
      <c r="AD600" s="3"/>
      <c r="AE600" s="7"/>
    </row>
    <row r="601" spans="2:31" x14ac:dyDescent="0.15">
      <c r="B601" s="16">
        <v>44022</v>
      </c>
      <c r="C601" s="23">
        <v>31301</v>
      </c>
      <c r="D601" s="23">
        <v>11523</v>
      </c>
      <c r="E601" s="23">
        <v>28848</v>
      </c>
      <c r="F601" s="23">
        <v>40404</v>
      </c>
      <c r="G601" s="23">
        <v>16713</v>
      </c>
      <c r="H601" s="24">
        <v>33949</v>
      </c>
      <c r="I601" s="2">
        <f t="shared" si="69"/>
        <v>597</v>
      </c>
      <c r="J601" s="16">
        <v>44022</v>
      </c>
      <c r="K601" s="29">
        <f t="shared" si="63"/>
        <v>-8.9374062370328744E-4</v>
      </c>
      <c r="L601" s="29">
        <f t="shared" si="64"/>
        <v>1.9128771411180967E-3</v>
      </c>
      <c r="M601" s="29">
        <f t="shared" si="65"/>
        <v>-1.5829694323144072E-2</v>
      </c>
      <c r="N601" s="29">
        <f t="shared" si="66"/>
        <v>9.1659028414303734E-4</v>
      </c>
      <c r="O601" s="29">
        <f t="shared" si="67"/>
        <v>2.519344970307813E-3</v>
      </c>
      <c r="P601" s="30">
        <f t="shared" si="68"/>
        <v>-3.5950589237540798E-2</v>
      </c>
      <c r="Z601" s="3"/>
      <c r="AA601" s="3"/>
      <c r="AB601" s="3"/>
      <c r="AC601" s="3"/>
      <c r="AD601" s="3"/>
      <c r="AE601" s="7"/>
    </row>
    <row r="602" spans="2:31" x14ac:dyDescent="0.15">
      <c r="B602" s="16">
        <v>44029</v>
      </c>
      <c r="C602" s="23">
        <v>31859</v>
      </c>
      <c r="D602" s="23">
        <v>11518</v>
      </c>
      <c r="E602" s="23">
        <v>28807</v>
      </c>
      <c r="F602" s="23">
        <v>41346</v>
      </c>
      <c r="G602" s="23">
        <v>16811</v>
      </c>
      <c r="H602" s="24">
        <v>34034</v>
      </c>
      <c r="I602" s="2">
        <f t="shared" si="69"/>
        <v>598</v>
      </c>
      <c r="J602" s="16">
        <v>44029</v>
      </c>
      <c r="K602" s="29">
        <f t="shared" si="63"/>
        <v>1.7826906488610517E-2</v>
      </c>
      <c r="L602" s="29">
        <f t="shared" si="64"/>
        <v>-4.3391477913734544E-4</v>
      </c>
      <c r="M602" s="29">
        <f t="shared" si="65"/>
        <v>-1.421242373821463E-3</v>
      </c>
      <c r="N602" s="29">
        <f t="shared" si="66"/>
        <v>2.3314523314523328E-2</v>
      </c>
      <c r="O602" s="29">
        <f t="shared" si="67"/>
        <v>5.8636989170106624E-3</v>
      </c>
      <c r="P602" s="30">
        <f t="shared" si="68"/>
        <v>2.5037556334501776E-3</v>
      </c>
      <c r="Z602" s="3"/>
      <c r="AA602" s="3"/>
      <c r="AB602" s="3"/>
      <c r="AC602" s="3"/>
      <c r="AD602" s="3"/>
      <c r="AE602" s="7"/>
    </row>
    <row r="603" spans="2:31" x14ac:dyDescent="0.15">
      <c r="B603" s="16">
        <v>44036</v>
      </c>
      <c r="C603" s="23">
        <v>31935</v>
      </c>
      <c r="D603" s="23">
        <v>11519</v>
      </c>
      <c r="E603" s="23">
        <v>28953</v>
      </c>
      <c r="F603" s="23">
        <v>41889</v>
      </c>
      <c r="G603" s="23">
        <v>16889</v>
      </c>
      <c r="H603" s="24">
        <v>34149</v>
      </c>
      <c r="I603" s="2">
        <f t="shared" si="69"/>
        <v>599</v>
      </c>
      <c r="J603" s="16">
        <v>44036</v>
      </c>
      <c r="K603" s="29">
        <f t="shared" si="63"/>
        <v>2.3855111585422417E-3</v>
      </c>
      <c r="L603" s="29">
        <f t="shared" si="64"/>
        <v>8.6820628581341097E-5</v>
      </c>
      <c r="M603" s="29">
        <f t="shared" si="65"/>
        <v>5.0682125872183459E-3</v>
      </c>
      <c r="N603" s="29">
        <f t="shared" si="66"/>
        <v>1.3133072123059142E-2</v>
      </c>
      <c r="O603" s="29">
        <f t="shared" si="67"/>
        <v>4.6398191660221855E-3</v>
      </c>
      <c r="P603" s="30">
        <f t="shared" si="68"/>
        <v>3.378973967209209E-3</v>
      </c>
      <c r="Z603" s="3"/>
      <c r="AA603" s="3"/>
      <c r="AB603" s="3"/>
      <c r="AC603" s="3"/>
      <c r="AD603" s="3"/>
      <c r="AE603" s="7"/>
    </row>
    <row r="604" spans="2:31" x14ac:dyDescent="0.15">
      <c r="B604" s="16">
        <v>44043</v>
      </c>
      <c r="C604" s="23">
        <v>30470</v>
      </c>
      <c r="D604" s="23">
        <v>11539</v>
      </c>
      <c r="E604" s="23">
        <v>28946</v>
      </c>
      <c r="F604" s="23">
        <v>40726</v>
      </c>
      <c r="G604" s="23">
        <v>16866</v>
      </c>
      <c r="H604" s="24">
        <v>34796</v>
      </c>
      <c r="I604" s="2">
        <f t="shared" si="69"/>
        <v>600</v>
      </c>
      <c r="J604" s="16">
        <v>44043</v>
      </c>
      <c r="K604" s="29">
        <f t="shared" si="63"/>
        <v>-4.5874432440895618E-2</v>
      </c>
      <c r="L604" s="29">
        <f t="shared" si="64"/>
        <v>1.7362618282836806E-3</v>
      </c>
      <c r="M604" s="29">
        <f t="shared" si="65"/>
        <v>-2.4177114634060803E-4</v>
      </c>
      <c r="N604" s="29">
        <f t="shared" si="66"/>
        <v>-2.7763852085272989E-2</v>
      </c>
      <c r="O604" s="29">
        <f t="shared" si="67"/>
        <v>-1.3618331458346011E-3</v>
      </c>
      <c r="P604" s="30">
        <f t="shared" si="68"/>
        <v>1.8946382031684639E-2</v>
      </c>
      <c r="Z604" s="3"/>
      <c r="AA604" s="3"/>
      <c r="AB604" s="3"/>
      <c r="AC604" s="3"/>
      <c r="AD604" s="3"/>
      <c r="AE604" s="7"/>
    </row>
    <row r="605" spans="2:31" x14ac:dyDescent="0.15">
      <c r="B605" s="16">
        <v>44050</v>
      </c>
      <c r="C605" s="23">
        <v>31315</v>
      </c>
      <c r="D605" s="23">
        <v>11532</v>
      </c>
      <c r="E605" s="23">
        <v>29066</v>
      </c>
      <c r="F605" s="23">
        <v>42141</v>
      </c>
      <c r="G605" s="23">
        <v>17047</v>
      </c>
      <c r="H605" s="24">
        <v>35256</v>
      </c>
      <c r="I605" s="2">
        <f t="shared" si="69"/>
        <v>601</v>
      </c>
      <c r="J605" s="16">
        <v>44050</v>
      </c>
      <c r="K605" s="29">
        <f t="shared" si="63"/>
        <v>2.7732195602231613E-2</v>
      </c>
      <c r="L605" s="29">
        <f t="shared" si="64"/>
        <v>-6.0663835687668755E-4</v>
      </c>
      <c r="M605" s="29">
        <f t="shared" si="65"/>
        <v>4.1456505216610484E-3</v>
      </c>
      <c r="N605" s="29">
        <f t="shared" si="66"/>
        <v>3.4744389333595249E-2</v>
      </c>
      <c r="O605" s="29">
        <f t="shared" si="67"/>
        <v>1.0731649472311089E-2</v>
      </c>
      <c r="P605" s="30">
        <f t="shared" si="68"/>
        <v>1.321991033452119E-2</v>
      </c>
      <c r="Z605" s="3"/>
      <c r="AA605" s="3"/>
      <c r="AB605" s="3"/>
      <c r="AC605" s="3"/>
      <c r="AD605" s="3"/>
      <c r="AE605" s="7"/>
    </row>
    <row r="606" spans="2:31" x14ac:dyDescent="0.15">
      <c r="B606" s="16">
        <v>44057</v>
      </c>
      <c r="C606" s="23">
        <v>32653</v>
      </c>
      <c r="D606" s="23">
        <v>11481</v>
      </c>
      <c r="E606" s="23">
        <v>29285</v>
      </c>
      <c r="F606" s="23">
        <v>43154</v>
      </c>
      <c r="G606" s="23">
        <v>17041</v>
      </c>
      <c r="H606" s="24">
        <v>35702</v>
      </c>
      <c r="I606" s="2">
        <f t="shared" si="69"/>
        <v>602</v>
      </c>
      <c r="J606" s="16">
        <v>44057</v>
      </c>
      <c r="K606" s="29">
        <f t="shared" si="63"/>
        <v>4.2727127574644808E-2</v>
      </c>
      <c r="L606" s="29">
        <f t="shared" si="64"/>
        <v>-4.4224765868886573E-3</v>
      </c>
      <c r="M606" s="29">
        <f t="shared" si="65"/>
        <v>7.5345764811118876E-3</v>
      </c>
      <c r="N606" s="29">
        <f t="shared" si="66"/>
        <v>2.4038347452599584E-2</v>
      </c>
      <c r="O606" s="29">
        <f t="shared" si="67"/>
        <v>-3.5196808822668402E-4</v>
      </c>
      <c r="P606" s="30">
        <f t="shared" si="68"/>
        <v>1.2650329022010354E-2</v>
      </c>
      <c r="Z606" s="3"/>
      <c r="AA606" s="3"/>
      <c r="AB606" s="3"/>
      <c r="AC606" s="3"/>
      <c r="AD606" s="3"/>
      <c r="AE606" s="7"/>
    </row>
    <row r="607" spans="2:31" x14ac:dyDescent="0.15">
      <c r="B607" s="16">
        <v>44064</v>
      </c>
      <c r="C607" s="23">
        <v>32127</v>
      </c>
      <c r="D607" s="23">
        <v>11486</v>
      </c>
      <c r="E607" s="23">
        <v>30160</v>
      </c>
      <c r="F607" s="23">
        <v>42722</v>
      </c>
      <c r="G607" s="23">
        <v>16974</v>
      </c>
      <c r="H607" s="24">
        <v>35295</v>
      </c>
      <c r="I607" s="2">
        <f t="shared" si="69"/>
        <v>603</v>
      </c>
      <c r="J607" s="16">
        <v>44064</v>
      </c>
      <c r="K607" s="29">
        <f t="shared" si="63"/>
        <v>-1.6108780203962891E-2</v>
      </c>
      <c r="L607" s="29">
        <f t="shared" si="64"/>
        <v>4.3550213396037485E-4</v>
      </c>
      <c r="M607" s="29">
        <f t="shared" si="65"/>
        <v>2.9878777531159306E-2</v>
      </c>
      <c r="N607" s="29">
        <f t="shared" si="66"/>
        <v>-1.0010659498540075E-2</v>
      </c>
      <c r="O607" s="29">
        <f t="shared" si="67"/>
        <v>-3.9316941494044189E-3</v>
      </c>
      <c r="P607" s="30">
        <f t="shared" si="68"/>
        <v>-1.1399921573021166E-2</v>
      </c>
      <c r="Z607" s="3"/>
      <c r="AA607" s="3"/>
      <c r="AB607" s="3"/>
      <c r="AC607" s="3"/>
      <c r="AD607" s="3"/>
      <c r="AE607" s="7"/>
    </row>
    <row r="608" spans="2:31" x14ac:dyDescent="0.15">
      <c r="B608" s="16">
        <v>44071</v>
      </c>
      <c r="C608" s="23">
        <v>32087</v>
      </c>
      <c r="D608" s="23">
        <v>11471</v>
      </c>
      <c r="E608" s="23">
        <v>30392</v>
      </c>
      <c r="F608" s="23">
        <v>44123</v>
      </c>
      <c r="G608" s="23">
        <v>16959</v>
      </c>
      <c r="H608" s="24">
        <v>36079</v>
      </c>
      <c r="I608" s="2">
        <f t="shared" si="69"/>
        <v>604</v>
      </c>
      <c r="J608" s="16">
        <v>44071</v>
      </c>
      <c r="K608" s="29">
        <f t="shared" si="63"/>
        <v>-1.245058673389976E-3</v>
      </c>
      <c r="L608" s="29">
        <f t="shared" si="64"/>
        <v>-1.3059376632421626E-3</v>
      </c>
      <c r="M608" s="29">
        <f t="shared" si="65"/>
        <v>7.692307692307665E-3</v>
      </c>
      <c r="N608" s="29">
        <f t="shared" si="66"/>
        <v>3.2793408548288827E-2</v>
      </c>
      <c r="O608" s="29">
        <f t="shared" si="67"/>
        <v>-8.8370448921881728E-4</v>
      </c>
      <c r="P608" s="30">
        <f t="shared" si="68"/>
        <v>2.2212778013882994E-2</v>
      </c>
      <c r="Z608" s="3"/>
      <c r="AA608" s="3"/>
      <c r="AB608" s="3"/>
      <c r="AC608" s="3"/>
      <c r="AD608" s="3"/>
      <c r="AE608" s="7"/>
    </row>
    <row r="609" spans="2:31" x14ac:dyDescent="0.15">
      <c r="B609" s="16">
        <v>44078</v>
      </c>
      <c r="C609" s="23">
        <v>32528</v>
      </c>
      <c r="D609" s="23">
        <v>11488</v>
      </c>
      <c r="E609" s="23">
        <v>30405</v>
      </c>
      <c r="F609" s="23">
        <v>43538</v>
      </c>
      <c r="G609" s="23">
        <v>17056</v>
      </c>
      <c r="H609" s="24">
        <v>36123</v>
      </c>
      <c r="I609" s="2">
        <f t="shared" si="69"/>
        <v>605</v>
      </c>
      <c r="J609" s="16">
        <v>44078</v>
      </c>
      <c r="K609" s="29">
        <f t="shared" si="63"/>
        <v>1.3743883815875657E-2</v>
      </c>
      <c r="L609" s="29">
        <f t="shared" si="64"/>
        <v>1.4819980821201284E-3</v>
      </c>
      <c r="M609" s="29">
        <f t="shared" si="65"/>
        <v>4.2774414319568521E-4</v>
      </c>
      <c r="N609" s="29">
        <f t="shared" si="66"/>
        <v>-1.3258391315187135E-2</v>
      </c>
      <c r="O609" s="29">
        <f t="shared" si="67"/>
        <v>5.7196768677398868E-3</v>
      </c>
      <c r="P609" s="30">
        <f t="shared" si="68"/>
        <v>1.2195459962858202E-3</v>
      </c>
      <c r="Z609" s="3"/>
      <c r="AA609" s="3"/>
      <c r="AB609" s="3"/>
      <c r="AC609" s="3"/>
      <c r="AD609" s="3"/>
      <c r="AE609" s="7"/>
    </row>
    <row r="610" spans="2:31" x14ac:dyDescent="0.15">
      <c r="B610" s="16">
        <v>44085</v>
      </c>
      <c r="C610" s="23">
        <v>32793</v>
      </c>
      <c r="D610" s="23">
        <v>11512</v>
      </c>
      <c r="E610" s="23">
        <v>29648</v>
      </c>
      <c r="F610" s="23">
        <v>42396</v>
      </c>
      <c r="G610" s="23">
        <v>16925</v>
      </c>
      <c r="H610" s="24">
        <v>35266</v>
      </c>
      <c r="I610" s="2">
        <f t="shared" si="69"/>
        <v>606</v>
      </c>
      <c r="J610" s="16">
        <v>44085</v>
      </c>
      <c r="K610" s="29">
        <f t="shared" si="63"/>
        <v>8.1468273487457221E-3</v>
      </c>
      <c r="L610" s="29">
        <f t="shared" si="64"/>
        <v>2.0891364902506648E-3</v>
      </c>
      <c r="M610" s="29">
        <f t="shared" si="65"/>
        <v>-2.4897220851833546E-2</v>
      </c>
      <c r="N610" s="29">
        <f t="shared" si="66"/>
        <v>-2.622996003491207E-2</v>
      </c>
      <c r="O610" s="29">
        <f t="shared" si="67"/>
        <v>-7.6805816135084859E-3</v>
      </c>
      <c r="P610" s="30">
        <f t="shared" si="68"/>
        <v>-2.3724496857957522E-2</v>
      </c>
      <c r="Z610" s="3"/>
      <c r="AA610" s="3"/>
      <c r="AB610" s="3"/>
      <c r="AC610" s="3"/>
      <c r="AD610" s="3"/>
      <c r="AE610" s="7"/>
    </row>
    <row r="611" spans="2:31" x14ac:dyDescent="0.15">
      <c r="B611" s="16">
        <v>44092</v>
      </c>
      <c r="C611" s="23">
        <v>32726</v>
      </c>
      <c r="D611" s="23">
        <v>11518</v>
      </c>
      <c r="E611" s="23">
        <v>29640</v>
      </c>
      <c r="F611" s="23">
        <v>42185</v>
      </c>
      <c r="G611" s="23">
        <v>16819</v>
      </c>
      <c r="H611" s="24">
        <v>35440</v>
      </c>
      <c r="I611" s="2">
        <f t="shared" si="69"/>
        <v>607</v>
      </c>
      <c r="J611" s="16">
        <v>44092</v>
      </c>
      <c r="K611" s="29">
        <f t="shared" si="63"/>
        <v>-2.0431189583143272E-3</v>
      </c>
      <c r="L611" s="29">
        <f t="shared" si="64"/>
        <v>5.2119527449612235E-4</v>
      </c>
      <c r="M611" s="29">
        <f t="shared" si="65"/>
        <v>-2.6983270372371582E-4</v>
      </c>
      <c r="N611" s="29">
        <f t="shared" si="66"/>
        <v>-4.9768846117558274E-3</v>
      </c>
      <c r="O611" s="29">
        <f t="shared" si="67"/>
        <v>-6.2629246676514372E-3</v>
      </c>
      <c r="P611" s="30">
        <f t="shared" si="68"/>
        <v>4.9339306981228681E-3</v>
      </c>
      <c r="Z611" s="3"/>
      <c r="AA611" s="3"/>
      <c r="AB611" s="3"/>
      <c r="AC611" s="3"/>
      <c r="AD611" s="3"/>
      <c r="AE611" s="7"/>
    </row>
    <row r="612" spans="2:31" x14ac:dyDescent="0.15">
      <c r="B612" s="16">
        <v>44099</v>
      </c>
      <c r="C612" s="23">
        <v>32499</v>
      </c>
      <c r="D612" s="23">
        <v>11516</v>
      </c>
      <c r="E612" s="23">
        <v>30350</v>
      </c>
      <c r="F612" s="23">
        <v>40907</v>
      </c>
      <c r="G612" s="23">
        <v>16788</v>
      </c>
      <c r="H612" s="24">
        <v>33592</v>
      </c>
      <c r="I612" s="2">
        <f t="shared" si="69"/>
        <v>608</v>
      </c>
      <c r="J612" s="16">
        <v>44099</v>
      </c>
      <c r="K612" s="29">
        <f t="shared" si="63"/>
        <v>-6.9363808592556309E-3</v>
      </c>
      <c r="L612" s="29">
        <f t="shared" si="64"/>
        <v>-1.7364125716268219E-4</v>
      </c>
      <c r="M612" s="29">
        <f t="shared" si="65"/>
        <v>2.3954116059379249E-2</v>
      </c>
      <c r="N612" s="29">
        <f t="shared" si="66"/>
        <v>-3.0295128600213328E-2</v>
      </c>
      <c r="O612" s="29">
        <f t="shared" si="67"/>
        <v>-1.843153576312484E-3</v>
      </c>
      <c r="P612" s="30">
        <f t="shared" si="68"/>
        <v>-5.2144469525959414E-2</v>
      </c>
      <c r="Z612" s="3"/>
      <c r="AA612" s="3"/>
      <c r="AB612" s="3"/>
      <c r="AC612" s="3"/>
      <c r="AD612" s="3"/>
      <c r="AE612" s="7"/>
    </row>
    <row r="613" spans="2:31" x14ac:dyDescent="0.15">
      <c r="B613" s="16">
        <v>44106</v>
      </c>
      <c r="C613" s="23">
        <v>32437</v>
      </c>
      <c r="D613" s="23">
        <v>11514</v>
      </c>
      <c r="E613" s="23">
        <v>30115</v>
      </c>
      <c r="F613" s="23">
        <v>42436</v>
      </c>
      <c r="G613" s="23">
        <v>16842</v>
      </c>
      <c r="H613" s="24">
        <v>35191</v>
      </c>
      <c r="I613" s="2">
        <f t="shared" si="69"/>
        <v>609</v>
      </c>
      <c r="J613" s="16">
        <v>44106</v>
      </c>
      <c r="K613" s="29">
        <f t="shared" si="63"/>
        <v>-1.9077510077233351E-3</v>
      </c>
      <c r="L613" s="29">
        <f t="shared" si="64"/>
        <v>-1.736714136852946E-4</v>
      </c>
      <c r="M613" s="29">
        <f t="shared" si="65"/>
        <v>-7.7429983525535429E-3</v>
      </c>
      <c r="N613" s="29">
        <f t="shared" si="66"/>
        <v>3.7377465959371303E-2</v>
      </c>
      <c r="O613" s="29">
        <f t="shared" si="67"/>
        <v>3.2165832737669486E-3</v>
      </c>
      <c r="P613" s="30">
        <f t="shared" si="68"/>
        <v>4.7600619195046434E-2</v>
      </c>
      <c r="Z613" s="3"/>
      <c r="AA613" s="3"/>
      <c r="AB613" s="3"/>
      <c r="AC613" s="3"/>
      <c r="AD613" s="3"/>
      <c r="AE613" s="7"/>
    </row>
    <row r="614" spans="2:31" x14ac:dyDescent="0.15">
      <c r="B614" s="16">
        <v>44113</v>
      </c>
      <c r="C614" s="23">
        <v>33256</v>
      </c>
      <c r="D614" s="23">
        <v>11496</v>
      </c>
      <c r="E614" s="23">
        <v>30310</v>
      </c>
      <c r="F614" s="23">
        <v>43497</v>
      </c>
      <c r="G614" s="23">
        <v>16894</v>
      </c>
      <c r="H614" s="24">
        <v>36438</v>
      </c>
      <c r="I614" s="2">
        <f t="shared" si="69"/>
        <v>610</v>
      </c>
      <c r="J614" s="16">
        <v>44113</v>
      </c>
      <c r="K614" s="29">
        <f t="shared" si="63"/>
        <v>2.5248944107038263E-2</v>
      </c>
      <c r="L614" s="29">
        <f t="shared" si="64"/>
        <v>-1.5633142261594069E-3</v>
      </c>
      <c r="M614" s="29">
        <f t="shared" si="65"/>
        <v>6.475178482483912E-3</v>
      </c>
      <c r="N614" s="29">
        <f t="shared" si="66"/>
        <v>2.5002356489772781E-2</v>
      </c>
      <c r="O614" s="29">
        <f t="shared" si="67"/>
        <v>3.0875192969956888E-3</v>
      </c>
      <c r="P614" s="30">
        <f t="shared" si="68"/>
        <v>3.5435196499104871E-2</v>
      </c>
      <c r="Z614" s="3"/>
      <c r="AA614" s="3"/>
      <c r="AB614" s="3"/>
      <c r="AC614" s="3"/>
      <c r="AD614" s="3"/>
      <c r="AE614" s="7"/>
    </row>
    <row r="615" spans="2:31" x14ac:dyDescent="0.15">
      <c r="B615" s="16">
        <v>44120</v>
      </c>
      <c r="C615" s="23">
        <v>32962</v>
      </c>
      <c r="D615" s="23">
        <v>11508</v>
      </c>
      <c r="E615" s="23">
        <v>29628</v>
      </c>
      <c r="F615" s="23">
        <v>43418</v>
      </c>
      <c r="G615" s="23">
        <v>16850</v>
      </c>
      <c r="H615" s="24">
        <v>35440</v>
      </c>
      <c r="I615" s="2">
        <f t="shared" si="69"/>
        <v>611</v>
      </c>
      <c r="J615" s="16">
        <v>44120</v>
      </c>
      <c r="K615" s="29">
        <f t="shared" si="63"/>
        <v>-8.8405099831608824E-3</v>
      </c>
      <c r="L615" s="29">
        <f t="shared" si="64"/>
        <v>1.0438413361169019E-3</v>
      </c>
      <c r="M615" s="29">
        <f t="shared" si="65"/>
        <v>-2.2500824810293585E-2</v>
      </c>
      <c r="N615" s="29">
        <f t="shared" si="66"/>
        <v>-1.816217210382276E-3</v>
      </c>
      <c r="O615" s="29">
        <f t="shared" si="67"/>
        <v>-2.6044749615248275E-3</v>
      </c>
      <c r="P615" s="30">
        <f t="shared" si="68"/>
        <v>-2.7388989516438866E-2</v>
      </c>
      <c r="Z615" s="3"/>
      <c r="AA615" s="3"/>
      <c r="AB615" s="3"/>
      <c r="AC615" s="3"/>
      <c r="AD615" s="3"/>
      <c r="AE615" s="7"/>
    </row>
    <row r="616" spans="2:31" x14ac:dyDescent="0.15">
      <c r="B616" s="16">
        <v>44127</v>
      </c>
      <c r="C616" s="23">
        <v>33100</v>
      </c>
      <c r="D616" s="23">
        <v>11493</v>
      </c>
      <c r="E616" s="23">
        <v>29589</v>
      </c>
      <c r="F616" s="23">
        <v>42847</v>
      </c>
      <c r="G616" s="23">
        <v>16698</v>
      </c>
      <c r="H616" s="24">
        <v>34847</v>
      </c>
      <c r="I616" s="2">
        <f t="shared" si="69"/>
        <v>612</v>
      </c>
      <c r="J616" s="16">
        <v>44127</v>
      </c>
      <c r="K616" s="29">
        <f t="shared" si="63"/>
        <v>4.186639160245198E-3</v>
      </c>
      <c r="L616" s="29">
        <f t="shared" si="64"/>
        <v>-1.3034410844630084E-3</v>
      </c>
      <c r="M616" s="29">
        <f t="shared" si="65"/>
        <v>-1.3163223977318284E-3</v>
      </c>
      <c r="N616" s="29">
        <f t="shared" si="66"/>
        <v>-1.3151227601455595E-2</v>
      </c>
      <c r="O616" s="29">
        <f t="shared" si="67"/>
        <v>-9.0207715133531208E-3</v>
      </c>
      <c r="P616" s="30">
        <f t="shared" si="68"/>
        <v>-1.6732505643340834E-2</v>
      </c>
      <c r="Z616" s="3"/>
      <c r="AA616" s="3"/>
      <c r="AB616" s="3"/>
      <c r="AC616" s="3"/>
      <c r="AD616" s="3"/>
      <c r="AE616" s="7"/>
    </row>
    <row r="617" spans="2:31" x14ac:dyDescent="0.15">
      <c r="B617" s="197">
        <v>44134</v>
      </c>
      <c r="C617" s="198">
        <v>32338</v>
      </c>
      <c r="D617" s="198">
        <v>11490</v>
      </c>
      <c r="E617" s="198">
        <v>28757</v>
      </c>
      <c r="F617" s="198">
        <v>40896</v>
      </c>
      <c r="G617" s="198">
        <v>16653</v>
      </c>
      <c r="H617" s="199">
        <v>33335</v>
      </c>
      <c r="I617" s="2">
        <f t="shared" si="69"/>
        <v>613</v>
      </c>
      <c r="J617" s="197">
        <v>44134</v>
      </c>
      <c r="K617" s="200">
        <f t="shared" ref="K617:K656" si="70">C617/C616-1</f>
        <v>-2.3021148036253769E-2</v>
      </c>
      <c r="L617" s="200">
        <f t="shared" ref="L617:L656" si="71">D617/D616-1</f>
        <v>-2.6102845210129733E-4</v>
      </c>
      <c r="M617" s="200">
        <f t="shared" ref="M617:M656" si="72">E617/E616-1</f>
        <v>-2.8118557572070713E-2</v>
      </c>
      <c r="N617" s="200">
        <f t="shared" ref="N617:N656" si="73">F617/F616-1</f>
        <v>-4.553410973930494E-2</v>
      </c>
      <c r="O617" s="200">
        <f t="shared" ref="O617:O656" si="74">G617/G616-1</f>
        <v>-2.6949335249730755E-3</v>
      </c>
      <c r="P617" s="201">
        <f t="shared" ref="P617:P656" si="75">H617/H616-1</f>
        <v>-4.3389674864407257E-2</v>
      </c>
      <c r="Z617" s="3"/>
      <c r="AA617" s="3"/>
      <c r="AB617" s="3"/>
      <c r="AC617" s="3"/>
      <c r="AD617" s="3"/>
      <c r="AE617" s="7"/>
    </row>
    <row r="618" spans="2:31" x14ac:dyDescent="0.15">
      <c r="B618" s="197">
        <v>44141</v>
      </c>
      <c r="C618" s="198">
        <v>34234</v>
      </c>
      <c r="D618" s="198">
        <v>11513</v>
      </c>
      <c r="E618" s="198">
        <v>29734</v>
      </c>
      <c r="F618" s="198">
        <v>43202</v>
      </c>
      <c r="G618" s="198">
        <v>16681</v>
      </c>
      <c r="H618" s="199">
        <v>34758</v>
      </c>
      <c r="I618" s="2">
        <f t="shared" si="69"/>
        <v>614</v>
      </c>
      <c r="J618" s="197">
        <v>44141</v>
      </c>
      <c r="K618" s="200">
        <f t="shared" si="70"/>
        <v>5.8630713092955755E-2</v>
      </c>
      <c r="L618" s="200">
        <f t="shared" si="71"/>
        <v>2.0017406440382413E-3</v>
      </c>
      <c r="M618" s="200">
        <f t="shared" si="72"/>
        <v>3.3974336683242345E-2</v>
      </c>
      <c r="N618" s="200">
        <f t="shared" si="73"/>
        <v>5.6386932707355175E-2</v>
      </c>
      <c r="O618" s="200">
        <f t="shared" si="74"/>
        <v>1.6813787305589578E-3</v>
      </c>
      <c r="P618" s="201">
        <f t="shared" si="75"/>
        <v>4.2687865606719555E-2</v>
      </c>
      <c r="Z618" s="3"/>
      <c r="AA618" s="3"/>
      <c r="AB618" s="3"/>
      <c r="AC618" s="3"/>
      <c r="AD618" s="3"/>
      <c r="AE618" s="7"/>
    </row>
    <row r="619" spans="2:31" x14ac:dyDescent="0.15">
      <c r="B619" s="197">
        <v>44148</v>
      </c>
      <c r="C619" s="198">
        <v>35736</v>
      </c>
      <c r="D619" s="198">
        <v>11500</v>
      </c>
      <c r="E619" s="198">
        <v>29812</v>
      </c>
      <c r="F619" s="198">
        <v>44453</v>
      </c>
      <c r="G619" s="198">
        <v>16772</v>
      </c>
      <c r="H619" s="199">
        <v>36789</v>
      </c>
      <c r="I619" s="2">
        <f t="shared" si="69"/>
        <v>615</v>
      </c>
      <c r="J619" s="197">
        <v>44148</v>
      </c>
      <c r="K619" s="200">
        <f t="shared" si="70"/>
        <v>4.3874510720336435E-2</v>
      </c>
      <c r="L619" s="200">
        <f t="shared" si="71"/>
        <v>-1.1291583427429641E-3</v>
      </c>
      <c r="M619" s="200">
        <f t="shared" si="72"/>
        <v>2.6232595681712212E-3</v>
      </c>
      <c r="N619" s="200">
        <f t="shared" si="73"/>
        <v>2.8956992731818065E-2</v>
      </c>
      <c r="O619" s="200">
        <f t="shared" si="74"/>
        <v>5.4553084347461755E-3</v>
      </c>
      <c r="P619" s="201">
        <f t="shared" si="75"/>
        <v>5.8432591058173555E-2</v>
      </c>
      <c r="Z619" s="3"/>
      <c r="AA619" s="3"/>
      <c r="AB619" s="3"/>
      <c r="AC619" s="3"/>
      <c r="AD619" s="3"/>
      <c r="AE619" s="7"/>
    </row>
    <row r="620" spans="2:31" x14ac:dyDescent="0.15">
      <c r="B620" s="197">
        <v>44155</v>
      </c>
      <c r="C620" s="198">
        <v>35935</v>
      </c>
      <c r="D620" s="198">
        <v>11521</v>
      </c>
      <c r="E620" s="198">
        <v>29532</v>
      </c>
      <c r="F620" s="198">
        <v>44683</v>
      </c>
      <c r="G620" s="198">
        <v>16714</v>
      </c>
      <c r="H620" s="199">
        <v>37103</v>
      </c>
      <c r="I620" s="2">
        <f t="shared" si="69"/>
        <v>616</v>
      </c>
      <c r="J620" s="197">
        <v>44155</v>
      </c>
      <c r="K620" s="200">
        <f t="shared" si="70"/>
        <v>5.5686142825162044E-3</v>
      </c>
      <c r="L620" s="200">
        <f t="shared" si="71"/>
        <v>1.8260869565216442E-3</v>
      </c>
      <c r="M620" s="200">
        <f t="shared" si="72"/>
        <v>-9.3921910640010209E-3</v>
      </c>
      <c r="N620" s="200">
        <f t="shared" si="73"/>
        <v>5.1740040042291824E-3</v>
      </c>
      <c r="O620" s="200">
        <f t="shared" si="74"/>
        <v>-3.4581445265919886E-3</v>
      </c>
      <c r="P620" s="201">
        <f t="shared" si="75"/>
        <v>8.5351599662941702E-3</v>
      </c>
      <c r="Z620" s="3"/>
      <c r="AA620" s="3"/>
      <c r="AB620" s="3"/>
      <c r="AC620" s="3"/>
      <c r="AD620" s="3"/>
      <c r="AE620" s="7"/>
    </row>
    <row r="621" spans="2:31" x14ac:dyDescent="0.15">
      <c r="B621" s="197">
        <v>44162</v>
      </c>
      <c r="C621" s="198">
        <v>37504</v>
      </c>
      <c r="D621" s="198">
        <v>11500</v>
      </c>
      <c r="E621" s="198">
        <v>29914</v>
      </c>
      <c r="F621" s="198">
        <v>45514</v>
      </c>
      <c r="G621" s="198">
        <v>16800</v>
      </c>
      <c r="H621" s="199">
        <v>37493</v>
      </c>
      <c r="I621" s="2">
        <f t="shared" si="69"/>
        <v>617</v>
      </c>
      <c r="J621" s="197">
        <v>44162</v>
      </c>
      <c r="K621" s="200">
        <f t="shared" si="70"/>
        <v>4.3662167802977603E-2</v>
      </c>
      <c r="L621" s="200">
        <f t="shared" si="71"/>
        <v>-1.8227584411075748E-3</v>
      </c>
      <c r="M621" s="200">
        <f t="shared" si="72"/>
        <v>1.2935121224434409E-2</v>
      </c>
      <c r="N621" s="200">
        <f t="shared" si="73"/>
        <v>1.8597676968869603E-2</v>
      </c>
      <c r="O621" s="200">
        <f t="shared" si="74"/>
        <v>5.1453871006341689E-3</v>
      </c>
      <c r="P621" s="201">
        <f t="shared" si="75"/>
        <v>1.0511279411368424E-2</v>
      </c>
      <c r="Z621" s="3"/>
      <c r="AA621" s="3"/>
      <c r="AB621" s="3"/>
      <c r="AC621" s="3"/>
      <c r="AD621" s="3"/>
      <c r="AE621" s="7"/>
    </row>
    <row r="622" spans="2:31" x14ac:dyDescent="0.15">
      <c r="B622" s="197">
        <v>44169</v>
      </c>
      <c r="C622" s="198">
        <v>37647</v>
      </c>
      <c r="D622" s="198">
        <v>11504</v>
      </c>
      <c r="E622" s="198">
        <v>29964</v>
      </c>
      <c r="F622" s="198">
        <v>45955</v>
      </c>
      <c r="G622" s="198">
        <v>16863</v>
      </c>
      <c r="H622" s="199">
        <v>37418</v>
      </c>
      <c r="I622" s="2">
        <f t="shared" si="69"/>
        <v>618</v>
      </c>
      <c r="J622" s="197">
        <v>44169</v>
      </c>
      <c r="K622" s="200">
        <f t="shared" si="70"/>
        <v>3.8129266211603952E-3</v>
      </c>
      <c r="L622" s="200">
        <f t="shared" si="71"/>
        <v>3.4782608695649309E-4</v>
      </c>
      <c r="M622" s="200">
        <f t="shared" si="72"/>
        <v>1.6714581801162698E-3</v>
      </c>
      <c r="N622" s="200">
        <f t="shared" si="73"/>
        <v>9.6893263611197433E-3</v>
      </c>
      <c r="O622" s="200">
        <f t="shared" si="74"/>
        <v>3.7499999999999201E-3</v>
      </c>
      <c r="P622" s="201">
        <f t="shared" si="75"/>
        <v>-2.0003734030352716E-3</v>
      </c>
      <c r="Z622" s="3"/>
      <c r="AA622" s="3"/>
      <c r="AB622" s="3"/>
      <c r="AC622" s="3"/>
      <c r="AD622" s="3"/>
      <c r="AE622" s="7"/>
    </row>
    <row r="623" spans="2:31" x14ac:dyDescent="0.15">
      <c r="B623" s="197">
        <v>44176</v>
      </c>
      <c r="C623" s="198">
        <v>37497</v>
      </c>
      <c r="D623" s="198">
        <v>11521</v>
      </c>
      <c r="E623" s="198">
        <v>30137</v>
      </c>
      <c r="F623" s="198">
        <v>46217</v>
      </c>
      <c r="G623" s="198">
        <v>16949</v>
      </c>
      <c r="H623" s="199">
        <v>37283</v>
      </c>
      <c r="I623" s="2">
        <f t="shared" si="69"/>
        <v>619</v>
      </c>
      <c r="J623" s="197">
        <v>44176</v>
      </c>
      <c r="K623" s="200">
        <f t="shared" si="70"/>
        <v>-3.9843812255956346E-3</v>
      </c>
      <c r="L623" s="200">
        <f t="shared" si="71"/>
        <v>1.4777468706537178E-3</v>
      </c>
      <c r="M623" s="200">
        <f t="shared" si="72"/>
        <v>5.7735949806434483E-3</v>
      </c>
      <c r="N623" s="200">
        <f t="shared" si="73"/>
        <v>5.7012294636056282E-3</v>
      </c>
      <c r="O623" s="200">
        <f t="shared" si="74"/>
        <v>5.099922908142096E-3</v>
      </c>
      <c r="P623" s="201">
        <f t="shared" si="75"/>
        <v>-3.6078892511625105E-3</v>
      </c>
      <c r="Z623" s="3"/>
      <c r="AA623" s="3"/>
      <c r="AB623" s="3"/>
      <c r="AC623" s="3"/>
      <c r="AD623" s="3"/>
      <c r="AE623" s="7"/>
    </row>
    <row r="624" spans="2:31" x14ac:dyDescent="0.15">
      <c r="B624" s="197">
        <v>44183</v>
      </c>
      <c r="C624" s="198">
        <v>37655</v>
      </c>
      <c r="D624" s="198">
        <v>11519</v>
      </c>
      <c r="E624" s="198">
        <v>30234</v>
      </c>
      <c r="F624" s="198">
        <v>46660</v>
      </c>
      <c r="G624" s="198">
        <v>16900</v>
      </c>
      <c r="H624" s="199">
        <v>37957</v>
      </c>
      <c r="I624" s="2">
        <f t="shared" si="69"/>
        <v>620</v>
      </c>
      <c r="J624" s="197">
        <v>44183</v>
      </c>
      <c r="K624" s="200">
        <f t="shared" si="70"/>
        <v>4.2136704269675196E-3</v>
      </c>
      <c r="L624" s="200">
        <f t="shared" si="71"/>
        <v>-1.7359604201028223E-4</v>
      </c>
      <c r="M624" s="200">
        <f t="shared" si="72"/>
        <v>3.2186349006204651E-3</v>
      </c>
      <c r="N624" s="200">
        <f t="shared" si="73"/>
        <v>9.5852175606379042E-3</v>
      </c>
      <c r="O624" s="200">
        <f t="shared" si="74"/>
        <v>-2.8910260192341886E-3</v>
      </c>
      <c r="P624" s="201">
        <f t="shared" si="75"/>
        <v>1.80779443714294E-2</v>
      </c>
      <c r="Z624" s="3"/>
      <c r="AA624" s="3"/>
      <c r="AB624" s="3"/>
      <c r="AC624" s="3"/>
      <c r="AD624" s="3"/>
      <c r="AE624" s="7"/>
    </row>
    <row r="625" spans="2:31" x14ac:dyDescent="0.15">
      <c r="B625" s="197">
        <v>44190</v>
      </c>
      <c r="C625" s="198">
        <v>37499</v>
      </c>
      <c r="D625" s="198">
        <v>11506</v>
      </c>
      <c r="E625" s="198">
        <v>30493</v>
      </c>
      <c r="F625" s="198">
        <v>46523</v>
      </c>
      <c r="G625" s="198">
        <v>16863</v>
      </c>
      <c r="H625" s="199">
        <v>37503</v>
      </c>
      <c r="I625" s="2">
        <f t="shared" si="69"/>
        <v>621</v>
      </c>
      <c r="J625" s="197">
        <v>44190</v>
      </c>
      <c r="K625" s="200">
        <f t="shared" si="70"/>
        <v>-4.142876112070093E-3</v>
      </c>
      <c r="L625" s="200">
        <f t="shared" si="71"/>
        <v>-1.1285701883844146E-3</v>
      </c>
      <c r="M625" s="200">
        <f t="shared" si="72"/>
        <v>8.56651452007684E-3</v>
      </c>
      <c r="N625" s="200">
        <f t="shared" si="73"/>
        <v>-2.9361337333905224E-3</v>
      </c>
      <c r="O625" s="200">
        <f t="shared" si="74"/>
        <v>-2.1893491124260755E-3</v>
      </c>
      <c r="P625" s="201">
        <f t="shared" si="75"/>
        <v>-1.1960903127222866E-2</v>
      </c>
      <c r="Z625" s="3"/>
      <c r="AA625" s="3"/>
      <c r="AB625" s="3"/>
      <c r="AC625" s="3"/>
      <c r="AD625" s="3"/>
      <c r="AE625" s="7"/>
    </row>
    <row r="626" spans="2:31" x14ac:dyDescent="0.15">
      <c r="B626" s="197">
        <v>44197</v>
      </c>
      <c r="C626" s="198">
        <v>38650</v>
      </c>
      <c r="D626" s="198">
        <v>11500</v>
      </c>
      <c r="E626" s="198">
        <v>31526</v>
      </c>
      <c r="F626" s="198">
        <v>46888</v>
      </c>
      <c r="G626" s="198">
        <v>16951</v>
      </c>
      <c r="H626" s="199">
        <v>37715</v>
      </c>
      <c r="I626" s="2">
        <f t="shared" si="69"/>
        <v>622</v>
      </c>
      <c r="J626" s="197">
        <v>44197</v>
      </c>
      <c r="K626" s="200">
        <f t="shared" si="70"/>
        <v>3.0694151844049111E-2</v>
      </c>
      <c r="L626" s="200">
        <f t="shared" si="71"/>
        <v>-5.2146706066402704E-4</v>
      </c>
      <c r="M626" s="200">
        <f t="shared" si="72"/>
        <v>3.3876627422687156E-2</v>
      </c>
      <c r="N626" s="200">
        <f t="shared" si="73"/>
        <v>7.8455817552607332E-3</v>
      </c>
      <c r="O626" s="200">
        <f t="shared" si="74"/>
        <v>5.2185257664709717E-3</v>
      </c>
      <c r="P626" s="201">
        <f t="shared" si="75"/>
        <v>5.6528811028451198E-3</v>
      </c>
      <c r="Z626" s="3"/>
      <c r="AA626" s="3"/>
      <c r="AB626" s="3"/>
      <c r="AC626" s="3"/>
      <c r="AD626" s="3"/>
      <c r="AE626" s="7"/>
    </row>
    <row r="627" spans="2:31" x14ac:dyDescent="0.15">
      <c r="B627" s="197">
        <v>44204</v>
      </c>
      <c r="C627" s="198">
        <v>39620</v>
      </c>
      <c r="D627" s="198">
        <v>11489</v>
      </c>
      <c r="E627" s="198">
        <v>31524</v>
      </c>
      <c r="F627" s="198">
        <v>48040</v>
      </c>
      <c r="G627" s="198">
        <v>16919</v>
      </c>
      <c r="H627" s="199">
        <v>37276</v>
      </c>
      <c r="I627" s="2">
        <f t="shared" si="69"/>
        <v>623</v>
      </c>
      <c r="J627" s="197">
        <v>44204</v>
      </c>
      <c r="K627" s="200">
        <f t="shared" si="70"/>
        <v>2.509702457956009E-2</v>
      </c>
      <c r="L627" s="200">
        <f t="shared" si="71"/>
        <v>-9.565217391304115E-4</v>
      </c>
      <c r="M627" s="200">
        <f t="shared" si="72"/>
        <v>-6.3439700564660306E-5</v>
      </c>
      <c r="N627" s="200">
        <f t="shared" si="73"/>
        <v>2.456918614570891E-2</v>
      </c>
      <c r="O627" s="200">
        <f t="shared" si="74"/>
        <v>-1.8877942304288409E-3</v>
      </c>
      <c r="P627" s="201">
        <f t="shared" si="75"/>
        <v>-1.1639931061911746E-2</v>
      </c>
      <c r="Z627" s="3"/>
      <c r="AA627" s="3"/>
      <c r="AB627" s="3"/>
      <c r="AC627" s="3"/>
      <c r="AD627" s="3"/>
      <c r="AE627" s="7"/>
    </row>
    <row r="628" spans="2:31" x14ac:dyDescent="0.15">
      <c r="B628" s="197">
        <v>44211</v>
      </c>
      <c r="C628" s="198">
        <v>40144</v>
      </c>
      <c r="D628" s="198">
        <v>11494</v>
      </c>
      <c r="E628" s="198">
        <v>31000</v>
      </c>
      <c r="F628" s="198">
        <v>48004</v>
      </c>
      <c r="G628" s="198">
        <v>16850</v>
      </c>
      <c r="H628" s="199">
        <v>37685</v>
      </c>
      <c r="I628" s="2">
        <f t="shared" si="69"/>
        <v>624</v>
      </c>
      <c r="J628" s="197">
        <v>44211</v>
      </c>
      <c r="K628" s="200">
        <f t="shared" si="70"/>
        <v>1.3225643614336091E-2</v>
      </c>
      <c r="L628" s="200">
        <f t="shared" si="71"/>
        <v>4.3519888589083067E-4</v>
      </c>
      <c r="M628" s="200">
        <f t="shared" si="72"/>
        <v>-1.6622256058875795E-2</v>
      </c>
      <c r="N628" s="200">
        <f t="shared" si="73"/>
        <v>-7.4937552039966437E-4</v>
      </c>
      <c r="O628" s="200">
        <f t="shared" si="74"/>
        <v>-4.0782552160293362E-3</v>
      </c>
      <c r="P628" s="201">
        <f t="shared" si="75"/>
        <v>1.0972207318381777E-2</v>
      </c>
      <c r="Z628" s="3"/>
      <c r="AA628" s="3"/>
      <c r="AB628" s="3"/>
      <c r="AC628" s="3"/>
      <c r="AD628" s="3"/>
      <c r="AE628" s="7"/>
    </row>
    <row r="629" spans="2:31" x14ac:dyDescent="0.15">
      <c r="B629" s="197">
        <v>44218</v>
      </c>
      <c r="C629" s="198">
        <v>40294</v>
      </c>
      <c r="D629" s="198">
        <v>11479</v>
      </c>
      <c r="E629" s="198">
        <v>31883</v>
      </c>
      <c r="F629" s="198">
        <v>48388</v>
      </c>
      <c r="G629" s="198">
        <v>16770</v>
      </c>
      <c r="H629" s="199">
        <v>38082</v>
      </c>
      <c r="I629" s="2">
        <f t="shared" si="69"/>
        <v>625</v>
      </c>
      <c r="J629" s="197">
        <v>44218</v>
      </c>
      <c r="K629" s="200">
        <f t="shared" si="70"/>
        <v>3.7365484256675074E-3</v>
      </c>
      <c r="L629" s="200">
        <f t="shared" si="71"/>
        <v>-1.3050287106316505E-3</v>
      </c>
      <c r="M629" s="200">
        <f t="shared" si="72"/>
        <v>2.8483870967741964E-2</v>
      </c>
      <c r="N629" s="200">
        <f t="shared" si="73"/>
        <v>7.9993333888843665E-3</v>
      </c>
      <c r="O629" s="200">
        <f t="shared" si="74"/>
        <v>-4.7477744807121747E-3</v>
      </c>
      <c r="P629" s="201">
        <f t="shared" si="75"/>
        <v>1.0534695502189217E-2</v>
      </c>
      <c r="Z629" s="3"/>
      <c r="AA629" s="3"/>
      <c r="AB629" s="3"/>
      <c r="AC629" s="3"/>
      <c r="AD629" s="3"/>
      <c r="AE629" s="7"/>
    </row>
    <row r="630" spans="2:31" x14ac:dyDescent="0.15">
      <c r="B630" s="197">
        <v>44225</v>
      </c>
      <c r="C630" s="198">
        <v>38925</v>
      </c>
      <c r="D630" s="198">
        <v>11469</v>
      </c>
      <c r="E630" s="198">
        <v>32731</v>
      </c>
      <c r="F630" s="198">
        <v>47840</v>
      </c>
      <c r="G630" s="198">
        <v>16921</v>
      </c>
      <c r="H630" s="199">
        <v>38632</v>
      </c>
      <c r="I630" s="2">
        <f t="shared" si="69"/>
        <v>626</v>
      </c>
      <c r="J630" s="197">
        <v>44225</v>
      </c>
      <c r="K630" s="200">
        <f t="shared" si="70"/>
        <v>-3.3975281679654579E-2</v>
      </c>
      <c r="L630" s="200">
        <f t="shared" si="71"/>
        <v>-8.7115602404386205E-4</v>
      </c>
      <c r="M630" s="200">
        <f t="shared" si="72"/>
        <v>2.659724618135062E-2</v>
      </c>
      <c r="N630" s="200">
        <f t="shared" si="73"/>
        <v>-1.132512193105728E-2</v>
      </c>
      <c r="O630" s="200">
        <f t="shared" si="74"/>
        <v>9.0041741204531789E-3</v>
      </c>
      <c r="P630" s="201">
        <f t="shared" si="75"/>
        <v>1.444251877527436E-2</v>
      </c>
      <c r="Z630" s="3"/>
      <c r="AA630" s="3"/>
      <c r="AB630" s="3"/>
      <c r="AC630" s="3"/>
      <c r="AD630" s="3"/>
      <c r="AE630" s="7"/>
    </row>
    <row r="631" spans="2:31" x14ac:dyDescent="0.15">
      <c r="B631" s="197">
        <v>44232</v>
      </c>
      <c r="C631" s="198">
        <v>40494</v>
      </c>
      <c r="D631" s="198">
        <v>11468</v>
      </c>
      <c r="E631" s="198">
        <v>32822</v>
      </c>
      <c r="F631" s="198">
        <v>49252</v>
      </c>
      <c r="G631" s="198">
        <v>16900</v>
      </c>
      <c r="H631" s="199">
        <v>39350</v>
      </c>
      <c r="I631" s="2">
        <f t="shared" si="69"/>
        <v>627</v>
      </c>
      <c r="J631" s="197">
        <v>44232</v>
      </c>
      <c r="K631" s="200">
        <f t="shared" si="70"/>
        <v>4.0308285163776603E-2</v>
      </c>
      <c r="L631" s="200">
        <f t="shared" si="71"/>
        <v>-8.7191559857036083E-5</v>
      </c>
      <c r="M631" s="200">
        <f t="shared" si="72"/>
        <v>2.7802389172344455E-3</v>
      </c>
      <c r="N631" s="200">
        <f t="shared" si="73"/>
        <v>2.9515050167224111E-2</v>
      </c>
      <c r="O631" s="200">
        <f t="shared" si="74"/>
        <v>-1.2410614029904066E-3</v>
      </c>
      <c r="P631" s="201">
        <f t="shared" si="75"/>
        <v>1.8585628494512285E-2</v>
      </c>
      <c r="Z631" s="3"/>
      <c r="AA631" s="3"/>
      <c r="AB631" s="3"/>
      <c r="AC631" s="3"/>
      <c r="AD631" s="3"/>
      <c r="AE631" s="7"/>
    </row>
    <row r="632" spans="2:31" x14ac:dyDescent="0.15">
      <c r="B632" s="197">
        <v>44239</v>
      </c>
      <c r="C632" s="198">
        <v>41523</v>
      </c>
      <c r="D632" s="198">
        <v>11461</v>
      </c>
      <c r="E632" s="198">
        <v>34128</v>
      </c>
      <c r="F632" s="198">
        <v>49651</v>
      </c>
      <c r="G632" s="198">
        <v>16890</v>
      </c>
      <c r="H632" s="199">
        <v>39946</v>
      </c>
      <c r="I632" s="2">
        <f t="shared" si="69"/>
        <v>628</v>
      </c>
      <c r="J632" s="197">
        <v>44239</v>
      </c>
      <c r="K632" s="200">
        <f t="shared" si="70"/>
        <v>2.5411172025485262E-2</v>
      </c>
      <c r="L632" s="200">
        <f t="shared" si="71"/>
        <v>-6.1039414021624161E-4</v>
      </c>
      <c r="M632" s="200">
        <f t="shared" si="72"/>
        <v>3.979038449820238E-2</v>
      </c>
      <c r="N632" s="200">
        <f t="shared" si="73"/>
        <v>8.1011938601478484E-3</v>
      </c>
      <c r="O632" s="200">
        <f t="shared" si="74"/>
        <v>-5.9171597633134176E-4</v>
      </c>
      <c r="P632" s="201">
        <f t="shared" si="75"/>
        <v>1.5146124523506943E-2</v>
      </c>
      <c r="Z632" s="3"/>
      <c r="AA632" s="3"/>
      <c r="AB632" s="3"/>
      <c r="AC632" s="3"/>
      <c r="AD632" s="3"/>
      <c r="AE632" s="7"/>
    </row>
    <row r="633" spans="2:31" x14ac:dyDescent="0.15">
      <c r="B633" s="197">
        <v>44246</v>
      </c>
      <c r="C633" s="198">
        <v>42229</v>
      </c>
      <c r="D633" s="198">
        <v>11427</v>
      </c>
      <c r="E633" s="198">
        <v>34357</v>
      </c>
      <c r="F633" s="198">
        <v>50099</v>
      </c>
      <c r="G633" s="198">
        <v>16864</v>
      </c>
      <c r="H633" s="199">
        <v>39823</v>
      </c>
      <c r="I633" s="2">
        <f t="shared" si="69"/>
        <v>629</v>
      </c>
      <c r="J633" s="197">
        <v>44246</v>
      </c>
      <c r="K633" s="200">
        <f t="shared" si="70"/>
        <v>1.7002625051176556E-2</v>
      </c>
      <c r="L633" s="200">
        <f t="shared" si="71"/>
        <v>-2.9665823226594501E-3</v>
      </c>
      <c r="M633" s="200">
        <f t="shared" si="72"/>
        <v>6.7100328176277202E-3</v>
      </c>
      <c r="N633" s="200">
        <f t="shared" si="73"/>
        <v>9.0229804032144756E-3</v>
      </c>
      <c r="O633" s="200">
        <f t="shared" si="74"/>
        <v>-1.539372409709916E-3</v>
      </c>
      <c r="P633" s="201">
        <f t="shared" si="75"/>
        <v>-3.0791568617634102E-3</v>
      </c>
      <c r="Z633" s="3"/>
      <c r="AA633" s="3"/>
      <c r="AB633" s="3"/>
      <c r="AC633" s="3"/>
      <c r="AD633" s="3"/>
      <c r="AE633" s="7"/>
    </row>
    <row r="634" spans="2:31" x14ac:dyDescent="0.15">
      <c r="B634" s="197">
        <v>44253</v>
      </c>
      <c r="C634" s="198">
        <v>40765</v>
      </c>
      <c r="D634" s="198">
        <v>11371</v>
      </c>
      <c r="E634" s="198">
        <v>34403</v>
      </c>
      <c r="F634" s="198">
        <v>49457</v>
      </c>
      <c r="G634" s="198">
        <v>16766</v>
      </c>
      <c r="H634" s="199">
        <v>40641</v>
      </c>
      <c r="I634" s="2">
        <f t="shared" si="69"/>
        <v>630</v>
      </c>
      <c r="J634" s="197">
        <v>44253</v>
      </c>
      <c r="K634" s="200">
        <f t="shared" si="70"/>
        <v>-3.466811906509748E-2</v>
      </c>
      <c r="L634" s="200">
        <f t="shared" si="71"/>
        <v>-4.900673842653358E-3</v>
      </c>
      <c r="M634" s="200">
        <f t="shared" si="72"/>
        <v>1.338882905957961E-3</v>
      </c>
      <c r="N634" s="200">
        <f t="shared" si="73"/>
        <v>-1.2814627038463811E-2</v>
      </c>
      <c r="O634" s="200">
        <f t="shared" si="74"/>
        <v>-5.8111954459203474E-3</v>
      </c>
      <c r="P634" s="201">
        <f t="shared" si="75"/>
        <v>2.0540893453531828E-2</v>
      </c>
      <c r="Z634" s="3"/>
      <c r="AA634" s="3"/>
      <c r="AB634" s="3"/>
      <c r="AC634" s="3"/>
      <c r="AD634" s="3"/>
      <c r="AE634" s="7"/>
    </row>
    <row r="635" spans="2:31" x14ac:dyDescent="0.15">
      <c r="B635" s="197">
        <v>44260</v>
      </c>
      <c r="C635" s="198">
        <v>40540</v>
      </c>
      <c r="D635" s="198">
        <v>11449</v>
      </c>
      <c r="E635" s="198">
        <v>33833</v>
      </c>
      <c r="F635" s="198">
        <v>49380</v>
      </c>
      <c r="G635" s="198">
        <v>16942</v>
      </c>
      <c r="H635" s="199">
        <v>40332</v>
      </c>
      <c r="I635" s="2">
        <f t="shared" si="69"/>
        <v>631</v>
      </c>
      <c r="J635" s="197">
        <v>44260</v>
      </c>
      <c r="K635" s="200">
        <f t="shared" si="70"/>
        <v>-5.5194406966760923E-3</v>
      </c>
      <c r="L635" s="200">
        <f t="shared" si="71"/>
        <v>6.8595550083545564E-3</v>
      </c>
      <c r="M635" s="200">
        <f t="shared" si="72"/>
        <v>-1.6568322530011947E-2</v>
      </c>
      <c r="N635" s="200">
        <f t="shared" si="73"/>
        <v>-1.5569080211091935E-3</v>
      </c>
      <c r="O635" s="200">
        <f t="shared" si="74"/>
        <v>1.0497435285697243E-2</v>
      </c>
      <c r="P635" s="201">
        <f t="shared" si="75"/>
        <v>-7.6031593710784717E-3</v>
      </c>
      <c r="Z635" s="3"/>
      <c r="AA635" s="3"/>
      <c r="AB635" s="3"/>
      <c r="AC635" s="3"/>
      <c r="AD635" s="3"/>
      <c r="AE635" s="7"/>
    </row>
    <row r="636" spans="2:31" x14ac:dyDescent="0.15">
      <c r="B636" s="197">
        <v>44267</v>
      </c>
      <c r="C636" s="198">
        <v>41749</v>
      </c>
      <c r="D636" s="198">
        <v>11433</v>
      </c>
      <c r="E636" s="198">
        <v>34593</v>
      </c>
      <c r="F636" s="198">
        <v>51788</v>
      </c>
      <c r="G636" s="198">
        <v>17127</v>
      </c>
      <c r="H636" s="199">
        <v>41921</v>
      </c>
      <c r="I636" s="2">
        <f t="shared" si="69"/>
        <v>632</v>
      </c>
      <c r="J636" s="197">
        <v>44267</v>
      </c>
      <c r="K636" s="200">
        <f t="shared" si="70"/>
        <v>2.9822397631968478E-2</v>
      </c>
      <c r="L636" s="200">
        <f t="shared" si="71"/>
        <v>-1.3975019652371357E-3</v>
      </c>
      <c r="M636" s="200">
        <f t="shared" si="72"/>
        <v>2.2463275500251179E-2</v>
      </c>
      <c r="N636" s="200">
        <f t="shared" si="73"/>
        <v>4.8764682057513165E-2</v>
      </c>
      <c r="O636" s="200">
        <f t="shared" si="74"/>
        <v>1.0919608074607456E-2</v>
      </c>
      <c r="P636" s="201">
        <f t="shared" si="75"/>
        <v>3.9397996627987597E-2</v>
      </c>
      <c r="Z636" s="3"/>
      <c r="AA636" s="3"/>
      <c r="AB636" s="3"/>
      <c r="AC636" s="3"/>
      <c r="AD636" s="3"/>
      <c r="AE636" s="7"/>
    </row>
    <row r="637" spans="2:31" x14ac:dyDescent="0.15">
      <c r="B637" s="197">
        <v>44274</v>
      </c>
      <c r="C637" s="198">
        <v>41824</v>
      </c>
      <c r="D637" s="198">
        <v>11428</v>
      </c>
      <c r="E637" s="198">
        <v>35254</v>
      </c>
      <c r="F637" s="198">
        <v>51742</v>
      </c>
      <c r="G637" s="198">
        <v>16990</v>
      </c>
      <c r="H637" s="199">
        <v>42677</v>
      </c>
      <c r="I637" s="2">
        <f t="shared" si="69"/>
        <v>633</v>
      </c>
      <c r="J637" s="197">
        <v>44274</v>
      </c>
      <c r="K637" s="200">
        <f t="shared" si="70"/>
        <v>1.796450214376355E-3</v>
      </c>
      <c r="L637" s="200">
        <f t="shared" si="71"/>
        <v>-4.3733053441796788E-4</v>
      </c>
      <c r="M637" s="200">
        <f t="shared" si="72"/>
        <v>1.9107912005319028E-2</v>
      </c>
      <c r="N637" s="200">
        <f t="shared" si="73"/>
        <v>-8.8823665714066191E-4</v>
      </c>
      <c r="O637" s="200">
        <f t="shared" si="74"/>
        <v>-7.9990658025339556E-3</v>
      </c>
      <c r="P637" s="201">
        <f t="shared" si="75"/>
        <v>1.8033920946542326E-2</v>
      </c>
      <c r="Z637" s="3"/>
      <c r="AA637" s="3"/>
      <c r="AB637" s="3"/>
      <c r="AC637" s="3"/>
      <c r="AD637" s="3"/>
      <c r="AE637" s="7"/>
    </row>
    <row r="638" spans="2:31" x14ac:dyDescent="0.15">
      <c r="B638" s="197">
        <v>44281</v>
      </c>
      <c r="C638" s="198">
        <v>40979</v>
      </c>
      <c r="D638" s="198">
        <v>11464</v>
      </c>
      <c r="E638" s="198">
        <v>35691</v>
      </c>
      <c r="F638" s="198">
        <v>51492</v>
      </c>
      <c r="G638" s="198">
        <v>17062</v>
      </c>
      <c r="H638" s="199">
        <v>42521</v>
      </c>
      <c r="I638" s="2">
        <f t="shared" si="69"/>
        <v>634</v>
      </c>
      <c r="J638" s="197">
        <v>44281</v>
      </c>
      <c r="K638" s="200">
        <f t="shared" si="70"/>
        <v>-2.0203710788064266E-2</v>
      </c>
      <c r="L638" s="200">
        <f t="shared" si="71"/>
        <v>3.1501575078753952E-3</v>
      </c>
      <c r="M638" s="200">
        <f t="shared" si="72"/>
        <v>1.2395756509899547E-2</v>
      </c>
      <c r="N638" s="200">
        <f t="shared" si="73"/>
        <v>-4.8316647984228966E-3</v>
      </c>
      <c r="O638" s="200">
        <f t="shared" si="74"/>
        <v>4.2377869334901952E-3</v>
      </c>
      <c r="P638" s="201">
        <f t="shared" si="75"/>
        <v>-3.6553647163577452E-3</v>
      </c>
      <c r="Z638" s="3"/>
      <c r="AA638" s="3"/>
      <c r="AB638" s="3"/>
      <c r="AC638" s="3"/>
      <c r="AD638" s="3"/>
      <c r="AE638" s="7"/>
    </row>
    <row r="639" spans="2:31" x14ac:dyDescent="0.15">
      <c r="B639" s="197">
        <v>44288</v>
      </c>
      <c r="C639" s="198">
        <v>42178</v>
      </c>
      <c r="D639" s="198">
        <v>11431</v>
      </c>
      <c r="E639" s="198">
        <v>35786</v>
      </c>
      <c r="F639" s="198">
        <v>53509</v>
      </c>
      <c r="G639" s="198">
        <v>17217</v>
      </c>
      <c r="H639" s="199">
        <v>43844</v>
      </c>
      <c r="I639" s="2">
        <f t="shared" si="69"/>
        <v>635</v>
      </c>
      <c r="J639" s="197">
        <v>44288</v>
      </c>
      <c r="K639" s="200">
        <f t="shared" si="70"/>
        <v>2.925888869908988E-2</v>
      </c>
      <c r="L639" s="200">
        <f t="shared" si="71"/>
        <v>-2.8785764131192826E-3</v>
      </c>
      <c r="M639" s="200">
        <f t="shared" si="72"/>
        <v>2.6617354515143798E-3</v>
      </c>
      <c r="N639" s="200">
        <f t="shared" si="73"/>
        <v>3.9171133379942491E-2</v>
      </c>
      <c r="O639" s="200">
        <f t="shared" si="74"/>
        <v>9.0845152971514853E-3</v>
      </c>
      <c r="P639" s="201">
        <f t="shared" si="75"/>
        <v>3.1114037769572667E-2</v>
      </c>
      <c r="Z639" s="3"/>
      <c r="AA639" s="3"/>
      <c r="AB639" s="3"/>
      <c r="AC639" s="3"/>
      <c r="AD639" s="3"/>
      <c r="AE639" s="7"/>
    </row>
    <row r="640" spans="2:31" x14ac:dyDescent="0.15">
      <c r="B640" s="197">
        <v>44295</v>
      </c>
      <c r="C640" s="198">
        <v>42045</v>
      </c>
      <c r="D640" s="198">
        <v>11449</v>
      </c>
      <c r="E640" s="198">
        <v>36692</v>
      </c>
      <c r="F640" s="198">
        <v>53946</v>
      </c>
      <c r="G640" s="198">
        <v>17123</v>
      </c>
      <c r="H640" s="199">
        <v>43766</v>
      </c>
      <c r="I640" s="2">
        <f t="shared" si="69"/>
        <v>636</v>
      </c>
      <c r="J640" s="197">
        <v>44295</v>
      </c>
      <c r="K640" s="200">
        <f t="shared" si="70"/>
        <v>-3.1533026696382027E-3</v>
      </c>
      <c r="L640" s="200">
        <f t="shared" si="71"/>
        <v>1.5746653836059554E-3</v>
      </c>
      <c r="M640" s="200">
        <f t="shared" si="72"/>
        <v>2.5317163136421961E-2</v>
      </c>
      <c r="N640" s="200">
        <f t="shared" si="73"/>
        <v>8.166850436375217E-3</v>
      </c>
      <c r="O640" s="200">
        <f t="shared" si="74"/>
        <v>-5.4597200441424132E-3</v>
      </c>
      <c r="P640" s="201">
        <f t="shared" si="75"/>
        <v>-1.7790347596021716E-3</v>
      </c>
      <c r="Z640" s="3"/>
      <c r="AA640" s="3"/>
      <c r="AB640" s="3"/>
      <c r="AC640" s="3"/>
      <c r="AD640" s="3"/>
      <c r="AE640" s="7"/>
    </row>
    <row r="641" spans="2:32" x14ac:dyDescent="0.15">
      <c r="B641" s="197">
        <v>44302</v>
      </c>
      <c r="C641" s="198">
        <v>41919</v>
      </c>
      <c r="D641" s="198">
        <v>11468</v>
      </c>
      <c r="E641" s="198">
        <v>36820</v>
      </c>
      <c r="F641" s="198">
        <v>54510</v>
      </c>
      <c r="G641" s="198">
        <v>17085</v>
      </c>
      <c r="H641" s="199">
        <v>44280</v>
      </c>
      <c r="I641" s="2">
        <f t="shared" si="69"/>
        <v>637</v>
      </c>
      <c r="J641" s="197">
        <v>44302</v>
      </c>
      <c r="K641" s="200">
        <f t="shared" si="70"/>
        <v>-2.9967891544773195E-3</v>
      </c>
      <c r="L641" s="200">
        <f t="shared" si="71"/>
        <v>1.6595335837190639E-3</v>
      </c>
      <c r="M641" s="200">
        <f t="shared" si="72"/>
        <v>3.4884988553363083E-3</v>
      </c>
      <c r="N641" s="200">
        <f t="shared" si="73"/>
        <v>1.0454899343788293E-2</v>
      </c>
      <c r="O641" s="200">
        <f t="shared" si="74"/>
        <v>-2.2192372831864038E-3</v>
      </c>
      <c r="P641" s="201">
        <f t="shared" si="75"/>
        <v>1.174427637892439E-2</v>
      </c>
      <c r="Z641" s="3"/>
      <c r="AA641" s="3"/>
      <c r="AB641" s="3"/>
      <c r="AC641" s="3"/>
      <c r="AD641" s="3"/>
      <c r="AE641" s="7"/>
    </row>
    <row r="642" spans="2:32" x14ac:dyDescent="0.15">
      <c r="B642" s="197">
        <v>44309</v>
      </c>
      <c r="C642" s="198">
        <v>40959</v>
      </c>
      <c r="D642" s="198">
        <v>11488</v>
      </c>
      <c r="E642" s="198">
        <v>36608</v>
      </c>
      <c r="F642" s="198">
        <v>53839</v>
      </c>
      <c r="G642" s="198">
        <v>16984</v>
      </c>
      <c r="H642" s="199">
        <v>44468</v>
      </c>
      <c r="I642" s="2">
        <f t="shared" si="69"/>
        <v>638</v>
      </c>
      <c r="J642" s="197">
        <v>44309</v>
      </c>
      <c r="K642" s="200">
        <f t="shared" si="70"/>
        <v>-2.2901309668646674E-2</v>
      </c>
      <c r="L642" s="200">
        <f t="shared" si="71"/>
        <v>1.7439832577608172E-3</v>
      </c>
      <c r="M642" s="200">
        <f t="shared" si="72"/>
        <v>-5.7577403585008513E-3</v>
      </c>
      <c r="N642" s="200">
        <f t="shared" si="73"/>
        <v>-1.2309667950834657E-2</v>
      </c>
      <c r="O642" s="200">
        <f t="shared" si="74"/>
        <v>-5.9116183786948051E-3</v>
      </c>
      <c r="P642" s="201">
        <f t="shared" si="75"/>
        <v>4.2457091237579903E-3</v>
      </c>
      <c r="Z642" s="3"/>
      <c r="AA642" s="3"/>
      <c r="AB642" s="3"/>
      <c r="AC642" s="3"/>
      <c r="AD642" s="3"/>
      <c r="AE642" s="7"/>
    </row>
    <row r="643" spans="2:32" x14ac:dyDescent="0.15">
      <c r="B643" s="197">
        <v>44316</v>
      </c>
      <c r="C643" s="198">
        <v>40674</v>
      </c>
      <c r="D643" s="198">
        <v>11466</v>
      </c>
      <c r="E643" s="198">
        <v>36895</v>
      </c>
      <c r="F643" s="198">
        <v>55214</v>
      </c>
      <c r="G643" s="198">
        <v>17121</v>
      </c>
      <c r="H643" s="199">
        <v>45426</v>
      </c>
      <c r="I643" s="2">
        <f t="shared" si="69"/>
        <v>639</v>
      </c>
      <c r="J643" s="197">
        <v>44316</v>
      </c>
      <c r="K643" s="200">
        <f t="shared" si="70"/>
        <v>-6.9581776898850478E-3</v>
      </c>
      <c r="L643" s="200">
        <f t="shared" si="71"/>
        <v>-1.9150417827298316E-3</v>
      </c>
      <c r="M643" s="200">
        <f t="shared" si="72"/>
        <v>7.83981643356646E-3</v>
      </c>
      <c r="N643" s="200">
        <f t="shared" si="73"/>
        <v>2.5539107338546474E-2</v>
      </c>
      <c r="O643" s="200">
        <f t="shared" si="74"/>
        <v>8.0664154498351071E-3</v>
      </c>
      <c r="P643" s="201">
        <f t="shared" si="75"/>
        <v>2.1543581901592113E-2</v>
      </c>
      <c r="Z643" s="3"/>
      <c r="AA643" s="3"/>
      <c r="AB643" s="3"/>
      <c r="AC643" s="3"/>
      <c r="AD643" s="3"/>
      <c r="AE643" s="7"/>
    </row>
    <row r="644" spans="2:32" x14ac:dyDescent="0.15">
      <c r="B644" s="197">
        <v>44323</v>
      </c>
      <c r="C644" s="198">
        <v>41436</v>
      </c>
      <c r="D644" s="198">
        <v>11471</v>
      </c>
      <c r="E644" s="198">
        <v>36779</v>
      </c>
      <c r="F644" s="198">
        <v>55097</v>
      </c>
      <c r="G644" s="198">
        <v>17170</v>
      </c>
      <c r="H644" s="199">
        <v>45096</v>
      </c>
      <c r="I644" s="2">
        <f t="shared" si="69"/>
        <v>640</v>
      </c>
      <c r="J644" s="197">
        <v>44323</v>
      </c>
      <c r="K644" s="200">
        <f t="shared" si="70"/>
        <v>1.8734326596843154E-2</v>
      </c>
      <c r="L644" s="200">
        <f t="shared" si="71"/>
        <v>4.3607186464322822E-4</v>
      </c>
      <c r="M644" s="200">
        <f t="shared" si="72"/>
        <v>-3.1440574603605054E-3</v>
      </c>
      <c r="N644" s="200">
        <f t="shared" si="73"/>
        <v>-2.1190277828087023E-3</v>
      </c>
      <c r="O644" s="200">
        <f t="shared" si="74"/>
        <v>2.8619823608433403E-3</v>
      </c>
      <c r="P644" s="201">
        <f t="shared" si="75"/>
        <v>-7.2645621450271314E-3</v>
      </c>
      <c r="Z644" s="3"/>
      <c r="AA644" s="3"/>
      <c r="AB644" s="3"/>
      <c r="AC644" s="3"/>
      <c r="AD644" s="3"/>
      <c r="AE644" s="7"/>
    </row>
    <row r="645" spans="2:32" x14ac:dyDescent="0.15">
      <c r="B645" s="197">
        <v>44330</v>
      </c>
      <c r="C645" s="198">
        <v>39643</v>
      </c>
      <c r="D645" s="198">
        <v>11472</v>
      </c>
      <c r="E645" s="198">
        <v>35914</v>
      </c>
      <c r="F645" s="198">
        <v>54356</v>
      </c>
      <c r="G645" s="198">
        <v>17114</v>
      </c>
      <c r="H645" s="199">
        <v>44641</v>
      </c>
      <c r="I645" s="2">
        <f t="shared" si="69"/>
        <v>641</v>
      </c>
      <c r="J645" s="197">
        <v>44330</v>
      </c>
      <c r="K645" s="200">
        <f t="shared" si="70"/>
        <v>-4.3271551308041278E-2</v>
      </c>
      <c r="L645" s="200">
        <f t="shared" si="71"/>
        <v>8.7176357771667767E-5</v>
      </c>
      <c r="M645" s="200">
        <f t="shared" si="72"/>
        <v>-2.3518855868838173E-2</v>
      </c>
      <c r="N645" s="200">
        <f t="shared" si="73"/>
        <v>-1.3449008112964456E-2</v>
      </c>
      <c r="O645" s="200">
        <f t="shared" si="74"/>
        <v>-3.2615026208503428E-3</v>
      </c>
      <c r="P645" s="201">
        <f t="shared" si="75"/>
        <v>-1.0089586659570715E-2</v>
      </c>
      <c r="Z645" s="3"/>
      <c r="AA645" s="3"/>
      <c r="AB645" s="3"/>
      <c r="AC645" s="3"/>
      <c r="AD645" s="3"/>
      <c r="AE645" s="7"/>
    </row>
    <row r="646" spans="2:32" x14ac:dyDescent="0.15">
      <c r="B646" s="197">
        <v>44337</v>
      </c>
      <c r="C646" s="198">
        <v>39974</v>
      </c>
      <c r="D646" s="198">
        <v>11464</v>
      </c>
      <c r="E646" s="198">
        <v>36730</v>
      </c>
      <c r="F646" s="198">
        <v>54905</v>
      </c>
      <c r="G646" s="198">
        <v>17142</v>
      </c>
      <c r="H646" s="199">
        <v>45259</v>
      </c>
      <c r="I646" s="2">
        <f t="shared" si="69"/>
        <v>642</v>
      </c>
      <c r="J646" s="197">
        <v>44337</v>
      </c>
      <c r="K646" s="200">
        <f t="shared" si="70"/>
        <v>8.3495194611911128E-3</v>
      </c>
      <c r="L646" s="200">
        <f t="shared" si="71"/>
        <v>-6.9735006973503655E-4</v>
      </c>
      <c r="M646" s="200">
        <f t="shared" si="72"/>
        <v>2.272094447847639E-2</v>
      </c>
      <c r="N646" s="200">
        <f t="shared" si="73"/>
        <v>1.0100080947825552E-2</v>
      </c>
      <c r="O646" s="200">
        <f t="shared" si="74"/>
        <v>1.6360874138132697E-3</v>
      </c>
      <c r="P646" s="201">
        <f t="shared" si="75"/>
        <v>1.3843775901077437E-2</v>
      </c>
      <c r="Z646" s="3"/>
      <c r="AA646" s="3"/>
      <c r="AB646" s="3"/>
      <c r="AC646" s="3"/>
      <c r="AD646" s="3"/>
      <c r="AE646" s="7"/>
    </row>
    <row r="647" spans="2:32" x14ac:dyDescent="0.15">
      <c r="B647" s="197">
        <v>44344</v>
      </c>
      <c r="C647" s="198">
        <v>41135</v>
      </c>
      <c r="D647" s="198">
        <v>11464</v>
      </c>
      <c r="E647" s="198">
        <v>37140</v>
      </c>
      <c r="F647" s="198">
        <v>55987</v>
      </c>
      <c r="G647" s="198">
        <v>17361</v>
      </c>
      <c r="H647" s="199">
        <v>46098</v>
      </c>
      <c r="I647" s="2">
        <f t="shared" ref="I647:I656" si="76">I646+1</f>
        <v>643</v>
      </c>
      <c r="J647" s="197">
        <v>44344</v>
      </c>
      <c r="K647" s="200">
        <f t="shared" si="70"/>
        <v>2.9043878521038735E-2</v>
      </c>
      <c r="L647" s="200">
        <f t="shared" si="71"/>
        <v>0</v>
      </c>
      <c r="M647" s="200">
        <f t="shared" si="72"/>
        <v>1.1162537435339015E-2</v>
      </c>
      <c r="N647" s="200">
        <f t="shared" si="73"/>
        <v>1.9706766232583606E-2</v>
      </c>
      <c r="O647" s="200">
        <f t="shared" si="74"/>
        <v>1.2775638781939103E-2</v>
      </c>
      <c r="P647" s="201">
        <f t="shared" si="75"/>
        <v>1.8537749397909753E-2</v>
      </c>
      <c r="Z647" s="3"/>
      <c r="AA647" s="3"/>
      <c r="AB647" s="3"/>
      <c r="AC647" s="3"/>
      <c r="AD647" s="3"/>
      <c r="AE647" s="7"/>
    </row>
    <row r="648" spans="2:32" x14ac:dyDescent="0.15">
      <c r="B648" s="197">
        <v>44351</v>
      </c>
      <c r="C648" s="198">
        <v>40825</v>
      </c>
      <c r="D648" s="198">
        <v>11456</v>
      </c>
      <c r="E648" s="198">
        <v>37706</v>
      </c>
      <c r="F648" s="198">
        <v>56123</v>
      </c>
      <c r="G648" s="198">
        <v>17360</v>
      </c>
      <c r="H648" s="199">
        <v>47588</v>
      </c>
      <c r="I648" s="2">
        <f t="shared" si="76"/>
        <v>644</v>
      </c>
      <c r="J648" s="197">
        <v>44351</v>
      </c>
      <c r="K648" s="200">
        <f t="shared" si="70"/>
        <v>-7.5361614197155813E-3</v>
      </c>
      <c r="L648" s="200">
        <f t="shared" si="71"/>
        <v>-6.9783670621070826E-4</v>
      </c>
      <c r="M648" s="200">
        <f t="shared" si="72"/>
        <v>1.5239633817986098E-2</v>
      </c>
      <c r="N648" s="200">
        <f t="shared" si="73"/>
        <v>2.4291353349885636E-3</v>
      </c>
      <c r="O648" s="200">
        <f t="shared" si="74"/>
        <v>-5.7600368642329869E-5</v>
      </c>
      <c r="P648" s="201">
        <f t="shared" si="75"/>
        <v>3.2322443489956276E-2</v>
      </c>
      <c r="Z648" s="3"/>
      <c r="AA648" s="3"/>
      <c r="AB648" s="3"/>
      <c r="AC648" s="3"/>
      <c r="AD648" s="3"/>
      <c r="AE648" s="7"/>
    </row>
    <row r="649" spans="2:32" x14ac:dyDescent="0.15">
      <c r="B649" s="197">
        <v>44358</v>
      </c>
      <c r="C649" s="198">
        <v>40825</v>
      </c>
      <c r="D649" s="198">
        <v>11501</v>
      </c>
      <c r="E649" s="198">
        <v>38497</v>
      </c>
      <c r="F649" s="198">
        <v>56421</v>
      </c>
      <c r="G649" s="198">
        <v>17393</v>
      </c>
      <c r="H649" s="199">
        <v>48728</v>
      </c>
      <c r="I649" s="2">
        <f t="shared" si="76"/>
        <v>645</v>
      </c>
      <c r="J649" s="197">
        <v>44358</v>
      </c>
      <c r="K649" s="200">
        <f t="shared" si="70"/>
        <v>0</v>
      </c>
      <c r="L649" s="200">
        <f t="shared" si="71"/>
        <v>3.9280726256982756E-3</v>
      </c>
      <c r="M649" s="200">
        <f t="shared" si="72"/>
        <v>2.0978093672094689E-2</v>
      </c>
      <c r="N649" s="200">
        <f t="shared" si="73"/>
        <v>5.3097660495697863E-3</v>
      </c>
      <c r="O649" s="200">
        <f t="shared" si="74"/>
        <v>1.9009216589862543E-3</v>
      </c>
      <c r="P649" s="201">
        <f t="shared" si="75"/>
        <v>2.3955619063629419E-2</v>
      </c>
      <c r="Z649" s="3"/>
      <c r="AA649" s="3"/>
      <c r="AB649" s="3"/>
      <c r="AC649" s="3"/>
      <c r="AD649" s="3"/>
      <c r="AE649" s="7"/>
    </row>
    <row r="650" spans="2:32" x14ac:dyDescent="0.15">
      <c r="B650" s="197">
        <v>44365</v>
      </c>
      <c r="C650" s="198">
        <v>40840</v>
      </c>
      <c r="D650" s="198">
        <v>11479</v>
      </c>
      <c r="E650" s="198">
        <v>37851</v>
      </c>
      <c r="F650" s="198">
        <v>56603</v>
      </c>
      <c r="G650" s="198">
        <v>17291</v>
      </c>
      <c r="H650" s="199">
        <v>47936</v>
      </c>
      <c r="I650" s="2">
        <f t="shared" si="76"/>
        <v>646</v>
      </c>
      <c r="J650" s="197">
        <v>44365</v>
      </c>
      <c r="K650" s="200">
        <f t="shared" si="70"/>
        <v>3.6742192284133779E-4</v>
      </c>
      <c r="L650" s="200">
        <f t="shared" si="71"/>
        <v>-1.9128771411182077E-3</v>
      </c>
      <c r="M650" s="200">
        <f t="shared" si="72"/>
        <v>-1.6780528352858703E-2</v>
      </c>
      <c r="N650" s="200">
        <f t="shared" si="73"/>
        <v>3.2257492777512109E-3</v>
      </c>
      <c r="O650" s="200">
        <f t="shared" si="74"/>
        <v>-5.8644282182487295E-3</v>
      </c>
      <c r="P650" s="201">
        <f t="shared" si="75"/>
        <v>-1.6253488753899203E-2</v>
      </c>
      <c r="Z650" s="3"/>
      <c r="AA650" s="3"/>
      <c r="AB650" s="3"/>
      <c r="AC650" s="3"/>
      <c r="AD650" s="3"/>
      <c r="AE650" s="7"/>
    </row>
    <row r="651" spans="2:32" x14ac:dyDescent="0.15">
      <c r="B651" s="197">
        <v>44372</v>
      </c>
      <c r="C651" s="198">
        <v>40933</v>
      </c>
      <c r="D651" s="198">
        <v>11483</v>
      </c>
      <c r="E651" s="198">
        <v>38452</v>
      </c>
      <c r="F651" s="198">
        <v>57399</v>
      </c>
      <c r="G651" s="198">
        <v>17414</v>
      </c>
      <c r="H651" s="199">
        <v>48127</v>
      </c>
      <c r="I651" s="2">
        <f t="shared" si="76"/>
        <v>647</v>
      </c>
      <c r="J651" s="197">
        <v>44372</v>
      </c>
      <c r="K651" s="200">
        <f t="shared" si="70"/>
        <v>2.277179236043203E-3</v>
      </c>
      <c r="L651" s="200">
        <f t="shared" si="71"/>
        <v>3.4846240961750041E-4</v>
      </c>
      <c r="M651" s="200">
        <f t="shared" si="72"/>
        <v>1.587804813611271E-2</v>
      </c>
      <c r="N651" s="200">
        <f t="shared" si="73"/>
        <v>1.4062858859070992E-2</v>
      </c>
      <c r="O651" s="200">
        <f t="shared" si="74"/>
        <v>7.1135272685212136E-3</v>
      </c>
      <c r="P651" s="201">
        <f t="shared" si="75"/>
        <v>3.9844793057410843E-3</v>
      </c>
      <c r="Z651" s="3"/>
      <c r="AA651" s="3"/>
      <c r="AB651" s="3"/>
      <c r="AC651" s="3"/>
      <c r="AD651" s="3"/>
      <c r="AE651" s="7"/>
    </row>
    <row r="652" spans="2:32" x14ac:dyDescent="0.15">
      <c r="B652" s="197">
        <v>44379</v>
      </c>
      <c r="C652" s="198">
        <v>40563</v>
      </c>
      <c r="D652" s="198">
        <v>11494</v>
      </c>
      <c r="E652" s="198">
        <v>38820</v>
      </c>
      <c r="F652" s="198">
        <v>58061</v>
      </c>
      <c r="G652" s="198">
        <v>17465</v>
      </c>
      <c r="H652" s="199">
        <v>48127</v>
      </c>
      <c r="I652" s="2">
        <f t="shared" si="76"/>
        <v>648</v>
      </c>
      <c r="J652" s="197">
        <v>44379</v>
      </c>
      <c r="K652" s="200">
        <f t="shared" si="70"/>
        <v>-9.0391615566901562E-3</v>
      </c>
      <c r="L652" s="200">
        <f t="shared" si="71"/>
        <v>9.57937821126853E-4</v>
      </c>
      <c r="M652" s="200">
        <f t="shared" si="72"/>
        <v>9.5703734526162432E-3</v>
      </c>
      <c r="N652" s="200">
        <f t="shared" si="73"/>
        <v>1.1533301973901899E-2</v>
      </c>
      <c r="O652" s="200">
        <f t="shared" si="74"/>
        <v>2.9286780751118791E-3</v>
      </c>
      <c r="P652" s="201">
        <f t="shared" si="75"/>
        <v>0</v>
      </c>
      <c r="Z652" s="3"/>
      <c r="AA652" s="3"/>
      <c r="AB652" s="3"/>
      <c r="AC652" s="3"/>
      <c r="AD652" s="3"/>
      <c r="AE652" s="7"/>
    </row>
    <row r="653" spans="2:32" x14ac:dyDescent="0.15">
      <c r="B653" s="197">
        <v>44386</v>
      </c>
      <c r="C653" s="198">
        <v>39396</v>
      </c>
      <c r="D653" s="198">
        <v>11500</v>
      </c>
      <c r="E653" s="198">
        <v>39040</v>
      </c>
      <c r="F653" s="198">
        <v>57037</v>
      </c>
      <c r="G653" s="198">
        <v>17357</v>
      </c>
      <c r="H653" s="199">
        <v>47920</v>
      </c>
      <c r="I653" s="2">
        <f t="shared" si="76"/>
        <v>649</v>
      </c>
      <c r="J653" s="197">
        <v>44386</v>
      </c>
      <c r="K653" s="200">
        <f t="shared" si="70"/>
        <v>-2.8770061385992141E-2</v>
      </c>
      <c r="L653" s="200">
        <f t="shared" si="71"/>
        <v>5.2201148425257138E-4</v>
      </c>
      <c r="M653" s="200">
        <f t="shared" si="72"/>
        <v>5.6671818650180228E-3</v>
      </c>
      <c r="N653" s="200">
        <f t="shared" si="73"/>
        <v>-1.7636623551092856E-2</v>
      </c>
      <c r="O653" s="200">
        <f t="shared" si="74"/>
        <v>-6.1837961637560834E-3</v>
      </c>
      <c r="P653" s="201">
        <f t="shared" si="75"/>
        <v>-4.3011199534565003E-3</v>
      </c>
      <c r="Z653" s="3"/>
      <c r="AA653" s="3"/>
      <c r="AB653" s="3"/>
      <c r="AC653" s="3"/>
      <c r="AD653" s="3"/>
      <c r="AE653" s="7"/>
    </row>
    <row r="654" spans="2:32" x14ac:dyDescent="0.15">
      <c r="B654" s="197">
        <v>44393</v>
      </c>
      <c r="C654" s="198">
        <v>39424</v>
      </c>
      <c r="D654" s="198">
        <v>11520</v>
      </c>
      <c r="E654" s="198">
        <v>39094</v>
      </c>
      <c r="F654" s="198">
        <v>57433</v>
      </c>
      <c r="G654" s="198">
        <v>17335</v>
      </c>
      <c r="H654" s="199">
        <v>48731</v>
      </c>
      <c r="I654" s="2">
        <f t="shared" si="76"/>
        <v>650</v>
      </c>
      <c r="J654" s="197">
        <v>44393</v>
      </c>
      <c r="K654" s="200">
        <f t="shared" si="70"/>
        <v>7.1073205401561701E-4</v>
      </c>
      <c r="L654" s="200">
        <f t="shared" si="71"/>
        <v>1.7391304347826875E-3</v>
      </c>
      <c r="M654" s="200">
        <f t="shared" si="72"/>
        <v>1.3831967213113749E-3</v>
      </c>
      <c r="N654" s="200">
        <f t="shared" si="73"/>
        <v>6.9428616512088315E-3</v>
      </c>
      <c r="O654" s="200">
        <f t="shared" si="74"/>
        <v>-1.2675001440340949E-3</v>
      </c>
      <c r="P654" s="201">
        <f t="shared" si="75"/>
        <v>1.6924040066778057E-2</v>
      </c>
      <c r="Z654" s="3"/>
      <c r="AA654" s="3"/>
      <c r="AB654" s="3"/>
      <c r="AC654" s="3"/>
      <c r="AD654" s="3"/>
      <c r="AE654" s="7"/>
    </row>
    <row r="655" spans="2:32" x14ac:dyDescent="0.15">
      <c r="B655" s="197">
        <v>44400</v>
      </c>
      <c r="C655" s="198">
        <v>38783</v>
      </c>
      <c r="D655" s="198">
        <v>11521</v>
      </c>
      <c r="E655" s="198">
        <v>38513</v>
      </c>
      <c r="F655" s="198">
        <v>56861</v>
      </c>
      <c r="G655" s="198">
        <v>17404</v>
      </c>
      <c r="H655" s="199">
        <v>48715</v>
      </c>
      <c r="I655" s="2">
        <f t="shared" si="76"/>
        <v>651</v>
      </c>
      <c r="J655" s="197">
        <v>44400</v>
      </c>
      <c r="K655" s="200">
        <f t="shared" si="70"/>
        <v>-1.625913149350644E-2</v>
      </c>
      <c r="L655" s="200">
        <f t="shared" si="71"/>
        <v>8.6805555555624636E-5</v>
      </c>
      <c r="M655" s="200">
        <f t="shared" si="72"/>
        <v>-1.4861615593185662E-2</v>
      </c>
      <c r="N655" s="200">
        <f t="shared" si="73"/>
        <v>-9.959430989152529E-3</v>
      </c>
      <c r="O655" s="200">
        <f t="shared" si="74"/>
        <v>3.98038650129795E-3</v>
      </c>
      <c r="P655" s="201">
        <f t="shared" si="75"/>
        <v>-3.2833309392377164E-4</v>
      </c>
      <c r="Z655" s="3"/>
      <c r="AA655" s="3"/>
      <c r="AB655" s="3"/>
      <c r="AC655" s="3"/>
      <c r="AD655" s="3"/>
      <c r="AE655" s="7"/>
    </row>
    <row r="656" spans="2:32" s="4" customFormat="1" ht="15" thickBot="1" x14ac:dyDescent="0.2">
      <c r="B656" s="17">
        <v>44407</v>
      </c>
      <c r="C656" s="25">
        <v>38816</v>
      </c>
      <c r="D656" s="25">
        <v>11522</v>
      </c>
      <c r="E656" s="25">
        <v>39153</v>
      </c>
      <c r="F656" s="25">
        <v>57923</v>
      </c>
      <c r="G656" s="25">
        <v>17440</v>
      </c>
      <c r="H656" s="26">
        <v>49145</v>
      </c>
      <c r="I656" s="2">
        <f t="shared" si="76"/>
        <v>652</v>
      </c>
      <c r="J656" s="17">
        <v>44407</v>
      </c>
      <c r="K656" s="31">
        <f t="shared" si="70"/>
        <v>8.5088827579093973E-4</v>
      </c>
      <c r="L656" s="31">
        <f t="shared" si="71"/>
        <v>8.6798021005085602E-5</v>
      </c>
      <c r="M656" s="31">
        <f t="shared" si="72"/>
        <v>1.6617765429854936E-2</v>
      </c>
      <c r="N656" s="31">
        <f t="shared" si="73"/>
        <v>1.8677124918661248E-2</v>
      </c>
      <c r="O656" s="31">
        <f t="shared" si="74"/>
        <v>2.0684900022982511E-3</v>
      </c>
      <c r="P656" s="32">
        <f t="shared" si="75"/>
        <v>8.8268500461869959E-3</v>
      </c>
      <c r="Z656" s="3"/>
      <c r="AA656" s="3"/>
      <c r="AB656" s="3"/>
      <c r="AC656" s="5"/>
      <c r="AD656" s="5"/>
      <c r="AE656" s="8"/>
      <c r="AF656" s="2"/>
    </row>
    <row r="657" x14ac:dyDescent="0.15"/>
    <row r="658" x14ac:dyDescent="0.15"/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0" tint="-0.499984740745262"/>
  </sheetPr>
  <dimension ref="B2:BY695"/>
  <sheetViews>
    <sheetView showGridLines="0" topLeftCell="AB10" zoomScaleNormal="100" workbookViewId="0">
      <selection activeCell="AV129" sqref="AV129"/>
    </sheetView>
  </sheetViews>
  <sheetFormatPr defaultRowHeight="15.75" x14ac:dyDescent="0.15"/>
  <cols>
    <col min="1" max="1" width="2" style="188" customWidth="1"/>
    <col min="2" max="2" width="11.125" style="188" customWidth="1"/>
    <col min="3" max="3" width="14.125" style="188" customWidth="1"/>
    <col min="4" max="4" width="13.25" style="188" customWidth="1"/>
    <col min="5" max="5" width="12.75" style="188" customWidth="1"/>
    <col min="6" max="6" width="15.25" style="188" customWidth="1"/>
    <col min="7" max="8" width="15.875" style="188" customWidth="1"/>
    <col min="9" max="9" width="2.5" style="188" customWidth="1"/>
    <col min="10" max="10" width="13.75" style="188" customWidth="1"/>
    <col min="11" max="16" width="10.75" style="188" customWidth="1"/>
    <col min="17" max="17" width="3.375" style="188" customWidth="1"/>
    <col min="18" max="18" width="3.5" style="188" customWidth="1"/>
    <col min="19" max="19" width="17.75" style="188" customWidth="1"/>
    <col min="20" max="20" width="12.75" style="188" customWidth="1"/>
    <col min="21" max="29" width="11.5" style="188" customWidth="1"/>
    <col min="30" max="30" width="2.375" style="188" customWidth="1"/>
    <col min="31" max="32" width="9" style="188"/>
    <col min="33" max="33" width="9.125" style="188" customWidth="1"/>
    <col min="34" max="34" width="10" style="188" customWidth="1"/>
    <col min="35" max="41" width="9" style="188"/>
    <col min="42" max="42" width="2.375" style="188" customWidth="1"/>
    <col min="43" max="53" width="9" style="188"/>
    <col min="54" max="54" width="3.625" style="188" customWidth="1"/>
    <col min="55" max="16384" width="9" style="188"/>
  </cols>
  <sheetData>
    <row r="2" spans="2:77" ht="18" customHeight="1" thickBot="1" x14ac:dyDescent="0.2">
      <c r="B2" s="188" t="s">
        <v>77</v>
      </c>
      <c r="J2" s="188" t="s">
        <v>78</v>
      </c>
      <c r="R2" s="188" t="s">
        <v>79</v>
      </c>
    </row>
    <row r="3" spans="2:77" ht="29.25" thickBot="1" x14ac:dyDescent="0.2">
      <c r="B3" s="202"/>
      <c r="C3" s="203" t="s">
        <v>80</v>
      </c>
      <c r="D3" s="203" t="s">
        <v>81</v>
      </c>
      <c r="E3" s="203" t="s">
        <v>82</v>
      </c>
      <c r="F3" s="203" t="s">
        <v>83</v>
      </c>
      <c r="G3" s="203" t="s">
        <v>84</v>
      </c>
      <c r="H3" s="243" t="s">
        <v>85</v>
      </c>
      <c r="J3" s="187"/>
      <c r="K3" s="185" t="s">
        <v>16</v>
      </c>
      <c r="L3" s="185"/>
      <c r="M3" s="181" t="s">
        <v>17</v>
      </c>
      <c r="N3" s="255"/>
      <c r="O3" s="185" t="s">
        <v>18</v>
      </c>
      <c r="P3" s="186"/>
      <c r="S3" s="187"/>
      <c r="T3" s="185" t="str">
        <f>戦略の決定!R5</f>
        <v>戦略A</v>
      </c>
      <c r="U3" s="186"/>
      <c r="V3"/>
      <c r="W3"/>
      <c r="Y3" s="212" t="s">
        <v>86</v>
      </c>
      <c r="Z3" s="213">
        <f>IF(T3="戦略A",1,IF(T3="戦略B",2,IF(T3="戦略C",3,"エラー")))</f>
        <v>1</v>
      </c>
      <c r="AB3" s="13"/>
      <c r="AC3" s="37" t="str">
        <f>T3</f>
        <v>戦略A</v>
      </c>
    </row>
    <row r="4" spans="2:77" x14ac:dyDescent="0.15">
      <c r="B4" s="22">
        <v>39843</v>
      </c>
      <c r="C4" s="204"/>
      <c r="D4" s="204"/>
      <c r="E4" s="204"/>
      <c r="F4" s="205">
        <v>1</v>
      </c>
      <c r="G4" s="205">
        <v>1</v>
      </c>
      <c r="H4" s="206">
        <v>1</v>
      </c>
      <c r="J4" s="57"/>
      <c r="K4" s="51">
        <v>1</v>
      </c>
      <c r="L4" s="51">
        <v>2</v>
      </c>
      <c r="M4" s="51">
        <v>1</v>
      </c>
      <c r="N4" s="51">
        <v>2</v>
      </c>
      <c r="O4" s="51">
        <v>1</v>
      </c>
      <c r="P4" s="52">
        <v>2</v>
      </c>
      <c r="S4" s="57"/>
      <c r="T4" s="51">
        <v>1</v>
      </c>
      <c r="U4" s="52">
        <v>2</v>
      </c>
      <c r="V4"/>
      <c r="W4"/>
      <c r="AB4" s="18" t="s">
        <v>20</v>
      </c>
      <c r="AC4" s="218">
        <f t="array" aca="1" ref="AC4:AC9" ca="1">OFFSET(戦略の決定!$C$12,1,MATCH($AC$3,戦略の決定!$D$12:$F$12,0),6,1)</f>
        <v>8.8048363525676729E-2</v>
      </c>
    </row>
    <row r="5" spans="2:77" x14ac:dyDescent="0.15">
      <c r="B5" s="16">
        <v>39850</v>
      </c>
      <c r="C5" s="29">
        <f t="array" ref="C5">SUMPRODUCT('ファンドデータ(変更不要)'!K5:P5,TRANSPOSE(戦略の決定!$D$13:$D$18))</f>
        <v>3.1936564685874826E-4</v>
      </c>
      <c r="D5" s="29">
        <f t="array" ref="D5">SUMPRODUCT('ファンドデータ(変更不要)'!K5:P5,TRANSPOSE(戦略の決定!$E$13:$E$18))</f>
        <v>-3.4871830013012408E-3</v>
      </c>
      <c r="E5" s="29">
        <f t="array" ref="E5">SUMPRODUCT('ファンドデータ(変更不要)'!K5:P5,TRANSPOSE(戦略の決定!$F$13:$F$18))</f>
        <v>-3.4871830013012408E-3</v>
      </c>
      <c r="F5" s="183">
        <f t="shared" ref="F5:F36" si="0">F4*(1+C5)</f>
        <v>1.0003193656468587</v>
      </c>
      <c r="G5" s="183">
        <f t="shared" ref="G5:G36" si="1">G4*(1+D5)</f>
        <v>0.99651281699869876</v>
      </c>
      <c r="H5" s="75">
        <f t="shared" ref="H5:H36" si="2">H4*(1+E5)</f>
        <v>0.99651281699869876</v>
      </c>
      <c r="J5" s="18" t="s">
        <v>87</v>
      </c>
      <c r="K5" s="189">
        <f t="array" ref="K5:L9">TRANSPOSE(戦略の決定!E37:J38)</f>
        <v>0</v>
      </c>
      <c r="L5" s="189">
        <v>0</v>
      </c>
      <c r="M5" s="189">
        <f t="array" ref="M5:N9">TRANSPOSE(戦略の決定!E39:J40)</f>
        <v>1</v>
      </c>
      <c r="N5" s="189">
        <v>0</v>
      </c>
      <c r="O5" s="189">
        <f t="array" ref="O5:P9">TRANSPOSE(戦略の決定!E41:J42)</f>
        <v>0</v>
      </c>
      <c r="P5" s="190">
        <v>0</v>
      </c>
      <c r="S5" s="18" t="s">
        <v>87</v>
      </c>
      <c r="T5" s="189">
        <f t="array" aca="1" ref="T5:U9" ca="1">OFFSET($J$3,2,MATCH($T$3,$K$3:$P$3,0),5,2)</f>
        <v>0</v>
      </c>
      <c r="U5" s="190">
        <f ca="1"/>
        <v>0</v>
      </c>
      <c r="V5"/>
      <c r="W5"/>
      <c r="AB5" s="18" t="s">
        <v>21</v>
      </c>
      <c r="AC5" s="218">
        <f ca="1"/>
        <v>0.3</v>
      </c>
    </row>
    <row r="6" spans="2:77" x14ac:dyDescent="0.15">
      <c r="B6" s="16">
        <v>39857</v>
      </c>
      <c r="C6" s="29">
        <f t="array" ref="C6">SUMPRODUCT('ファンドデータ(変更不要)'!K6:P6,TRANSPOSE(戦略の決定!$D$13:$D$18))</f>
        <v>-4.6290625594147521E-3</v>
      </c>
      <c r="D6" s="29">
        <f t="array" ref="D6">SUMPRODUCT('ファンドデータ(変更不要)'!K6:P6,TRANSPOSE(戦略の決定!$E$13:$E$18))</f>
        <v>-7.6520027783295533E-3</v>
      </c>
      <c r="E6" s="29">
        <f t="array" ref="E6">SUMPRODUCT('ファンドデータ(変更不要)'!K6:P6,TRANSPOSE(戦略の決定!$F$13:$F$18))</f>
        <v>-7.6520027783295533E-3</v>
      </c>
      <c r="F6" s="183">
        <f t="shared" si="0"/>
        <v>0.99568882472388531</v>
      </c>
      <c r="G6" s="183">
        <f t="shared" si="1"/>
        <v>0.9888874981543837</v>
      </c>
      <c r="H6" s="75">
        <f t="shared" si="2"/>
        <v>0.9888874981543837</v>
      </c>
      <c r="J6" s="18" t="s">
        <v>51</v>
      </c>
      <c r="K6" s="189">
        <v>0</v>
      </c>
      <c r="L6" s="189">
        <v>0</v>
      </c>
      <c r="M6" s="189" t="str">
        <v>プット</v>
      </c>
      <c r="N6" s="189">
        <v>0</v>
      </c>
      <c r="O6" s="189">
        <v>0</v>
      </c>
      <c r="P6" s="190">
        <v>0</v>
      </c>
      <c r="S6" s="18" t="s">
        <v>51</v>
      </c>
      <c r="T6" s="189">
        <f ca="1"/>
        <v>0</v>
      </c>
      <c r="U6" s="190">
        <f ca="1"/>
        <v>0</v>
      </c>
      <c r="V6"/>
      <c r="W6"/>
      <c r="AB6" s="18" t="s">
        <v>23</v>
      </c>
      <c r="AC6" s="218">
        <f ca="1"/>
        <v>0.23998574672955908</v>
      </c>
    </row>
    <row r="7" spans="2:77" x14ac:dyDescent="0.15">
      <c r="B7" s="16">
        <v>39864</v>
      </c>
      <c r="C7" s="29">
        <f t="array" ref="C7">SUMPRODUCT('ファンドデータ(変更不要)'!K7:P7,TRANSPOSE(戦略の決定!$D$13:$D$18))</f>
        <v>-2.5957262411873797E-2</v>
      </c>
      <c r="D7" s="29">
        <f t="array" ref="D7">SUMPRODUCT('ファンドデータ(変更不要)'!K7:P7,TRANSPOSE(戦略の決定!$E$13:$E$18))</f>
        <v>-4.6701901753852949E-2</v>
      </c>
      <c r="E7" s="29">
        <f t="array" ref="E7">SUMPRODUCT('ファンドデータ(変更不要)'!K7:P7,TRANSPOSE(戦略の決定!$F$13:$F$18))</f>
        <v>-4.6701901753852949E-2</v>
      </c>
      <c r="F7" s="183">
        <f t="shared" si="0"/>
        <v>0.96984346861995718</v>
      </c>
      <c r="G7" s="183">
        <f t="shared" si="1"/>
        <v>0.94270457136996422</v>
      </c>
      <c r="H7" s="75">
        <f t="shared" si="2"/>
        <v>0.94270457136996422</v>
      </c>
      <c r="J7" s="18" t="s">
        <v>35</v>
      </c>
      <c r="K7" s="87">
        <v>0</v>
      </c>
      <c r="L7" s="87">
        <v>0</v>
      </c>
      <c r="M7" s="87">
        <v>810</v>
      </c>
      <c r="N7" s="87">
        <v>0</v>
      </c>
      <c r="O7" s="87">
        <v>0</v>
      </c>
      <c r="P7" s="44">
        <v>0</v>
      </c>
      <c r="S7" s="18" t="s">
        <v>35</v>
      </c>
      <c r="T7" s="87">
        <f ca="1"/>
        <v>0</v>
      </c>
      <c r="U7" s="44">
        <f ca="1"/>
        <v>0</v>
      </c>
      <c r="V7"/>
      <c r="W7"/>
      <c r="AB7" s="18" t="s">
        <v>24</v>
      </c>
      <c r="AC7" s="218">
        <f ca="1"/>
        <v>7.1965889289921564E-2</v>
      </c>
    </row>
    <row r="8" spans="2:77" x14ac:dyDescent="0.15">
      <c r="B8" s="16">
        <v>39871</v>
      </c>
      <c r="C8" s="29">
        <f t="array" ref="C8">SUMPRODUCT('ファンドデータ(変更不要)'!K8:P8,TRANSPOSE(戦略の決定!$D$13:$D$18))</f>
        <v>1.8948501305577247E-2</v>
      </c>
      <c r="D8" s="29">
        <f t="array" ref="D8">SUMPRODUCT('ファンドデータ(変更不要)'!K8:P8,TRANSPOSE(戦略の決定!$E$13:$E$18))</f>
        <v>2.017615693338675E-2</v>
      </c>
      <c r="E8" s="29">
        <f t="array" ref="E8">SUMPRODUCT('ファンドデータ(変更不要)'!K8:P8,TRANSPOSE(戦略の決定!$F$13:$F$18))</f>
        <v>2.017615693338675E-2</v>
      </c>
      <c r="F8" s="183">
        <f t="shared" si="0"/>
        <v>0.98822054885130794</v>
      </c>
      <c r="G8" s="183">
        <f t="shared" si="1"/>
        <v>0.96172472674374565</v>
      </c>
      <c r="H8" s="75">
        <f t="shared" si="2"/>
        <v>0.96172472674374565</v>
      </c>
      <c r="J8" s="18" t="s">
        <v>37</v>
      </c>
      <c r="K8" s="87">
        <v>0</v>
      </c>
      <c r="L8" s="87">
        <v>0</v>
      </c>
      <c r="M8" s="87">
        <v>800</v>
      </c>
      <c r="N8" s="87">
        <v>0</v>
      </c>
      <c r="O8" s="87">
        <v>0</v>
      </c>
      <c r="P8" s="44">
        <v>0</v>
      </c>
      <c r="S8" s="18" t="s">
        <v>37</v>
      </c>
      <c r="T8" s="87">
        <f ca="1"/>
        <v>0</v>
      </c>
      <c r="U8" s="44">
        <f ca="1"/>
        <v>0</v>
      </c>
      <c r="V8"/>
      <c r="W8"/>
      <c r="AB8" s="18" t="s">
        <v>26</v>
      </c>
      <c r="AC8" s="218">
        <f ca="1"/>
        <v>0.3</v>
      </c>
    </row>
    <row r="9" spans="2:77" ht="16.5" thickBot="1" x14ac:dyDescent="0.2">
      <c r="B9" s="16">
        <v>39878</v>
      </c>
      <c r="C9" s="29">
        <f t="array" ref="C9">SUMPRODUCT('ファンドデータ(変更不要)'!K9:P9,TRANSPOSE(戦略の決定!$D$13:$D$18))</f>
        <v>-1.4720792463343785E-2</v>
      </c>
      <c r="D9" s="29">
        <f t="array" ref="D9">SUMPRODUCT('ファンドデータ(変更不要)'!K9:P9,TRANSPOSE(戦略の決定!$E$13:$E$18))</f>
        <v>-2.2418463007707192E-2</v>
      </c>
      <c r="E9" s="29">
        <f t="array" ref="E9">SUMPRODUCT('ファンドデータ(変更不要)'!K9:P9,TRANSPOSE(戦略の決定!$F$13:$F$18))</f>
        <v>-2.2418463007707192E-2</v>
      </c>
      <c r="F9" s="183">
        <f t="shared" si="0"/>
        <v>0.97367315924365616</v>
      </c>
      <c r="G9" s="183">
        <f t="shared" si="1"/>
        <v>0.94016433653364362</v>
      </c>
      <c r="H9" s="75">
        <f t="shared" si="2"/>
        <v>0.94016433653364362</v>
      </c>
      <c r="J9" s="39" t="s">
        <v>38</v>
      </c>
      <c r="K9" s="191">
        <v>0</v>
      </c>
      <c r="L9" s="191">
        <v>0</v>
      </c>
      <c r="M9" s="191" t="str">
        <v>Down and In</v>
      </c>
      <c r="N9" s="191">
        <v>0</v>
      </c>
      <c r="O9" s="191">
        <v>0</v>
      </c>
      <c r="P9" s="192">
        <v>0</v>
      </c>
      <c r="S9" s="39" t="s">
        <v>38</v>
      </c>
      <c r="T9" s="191">
        <f ca="1"/>
        <v>0</v>
      </c>
      <c r="U9" s="192">
        <f ca="1"/>
        <v>0</v>
      </c>
      <c r="V9"/>
      <c r="W9"/>
      <c r="AB9" s="39" t="s">
        <v>27</v>
      </c>
      <c r="AC9" s="219">
        <f ca="1"/>
        <v>0</v>
      </c>
    </row>
    <row r="10" spans="2:77" ht="16.5" thickBot="1" x14ac:dyDescent="0.2">
      <c r="B10" s="16">
        <v>39885</v>
      </c>
      <c r="C10" s="29">
        <f t="array" ref="C10">SUMPRODUCT('ファンドデータ(変更不要)'!K10:P10,TRANSPOSE(戦略の決定!$D$13:$D$18))</f>
        <v>1.8727755423535275E-2</v>
      </c>
      <c r="D10" s="29">
        <f t="array" ref="D10">SUMPRODUCT('ファンドデータ(変更不要)'!K10:P10,TRANSPOSE(戦略の決定!$E$13:$E$18))</f>
        <v>2.6196664645788709E-2</v>
      </c>
      <c r="E10" s="29">
        <f t="array" ref="E10">SUMPRODUCT('ファンドデータ(変更不要)'!K10:P10,TRANSPOSE(戦略の決定!$F$13:$F$18))</f>
        <v>2.6196664645788709E-2</v>
      </c>
      <c r="F10" s="183">
        <f t="shared" si="0"/>
        <v>0.99190787203243225</v>
      </c>
      <c r="G10" s="183">
        <f t="shared" si="1"/>
        <v>0.96479350636974592</v>
      </c>
      <c r="H10" s="75">
        <f t="shared" si="2"/>
        <v>0.96479350636974592</v>
      </c>
    </row>
    <row r="11" spans="2:77" x14ac:dyDescent="0.15">
      <c r="B11" s="16">
        <v>39892</v>
      </c>
      <c r="C11" s="29">
        <f t="array" ref="C11">SUMPRODUCT('ファンドデータ(変更不要)'!K11:P11,TRANSPOSE(戦略の決定!$D$13:$D$18))</f>
        <v>2.4662313231667156E-2</v>
      </c>
      <c r="D11" s="29">
        <f t="array" ref="D11">SUMPRODUCT('ファンドデータ(変更不要)'!K11:P11,TRANSPOSE(戦略の決定!$E$13:$E$18))</f>
        <v>3.4038927634862166E-2</v>
      </c>
      <c r="E11" s="29">
        <f t="array" ref="E11">SUMPRODUCT('ファンドデータ(変更不要)'!K11:P11,TRANSPOSE(戦略の決定!$F$13:$F$18))</f>
        <v>3.4038927634862166E-2</v>
      </c>
      <c r="F11" s="183">
        <f t="shared" si="0"/>
        <v>1.0163706146694527</v>
      </c>
      <c r="G11" s="183">
        <f t="shared" si="1"/>
        <v>0.9976340427156507</v>
      </c>
      <c r="H11" s="75">
        <f t="shared" si="2"/>
        <v>0.9976340427156507</v>
      </c>
      <c r="J11" s="13"/>
      <c r="K11" s="119"/>
      <c r="L11" s="54"/>
      <c r="M11" s="54" t="s">
        <v>88</v>
      </c>
      <c r="N11" s="54"/>
      <c r="O11" s="54"/>
      <c r="P11" s="55"/>
      <c r="S11" s="10" t="s">
        <v>9</v>
      </c>
      <c r="T11" s="214">
        <f>戦略の決定!R7</f>
        <v>0</v>
      </c>
      <c r="U11" s="214">
        <f>戦略の決定!S7</f>
        <v>0</v>
      </c>
      <c r="V11" s="214">
        <f>戦略の決定!T7</f>
        <v>0</v>
      </c>
      <c r="W11" s="214">
        <f>戦略の決定!U7</f>
        <v>0</v>
      </c>
      <c r="X11" s="214">
        <f>戦略の決定!V7</f>
        <v>0</v>
      </c>
      <c r="Y11" s="214">
        <f>戦略の決定!W7</f>
        <v>0</v>
      </c>
      <c r="Z11" s="214">
        <f>戦略の決定!X7</f>
        <v>0</v>
      </c>
      <c r="AA11" s="214">
        <f>戦略の決定!Y7</f>
        <v>0</v>
      </c>
      <c r="AB11" s="214">
        <f>戦略の決定!Z7</f>
        <v>0</v>
      </c>
      <c r="AC11" s="215">
        <f>戦略の決定!AA7</f>
        <v>0</v>
      </c>
    </row>
    <row r="12" spans="2:77" ht="16.5" thickBot="1" x14ac:dyDescent="0.2">
      <c r="B12" s="16">
        <v>39899</v>
      </c>
      <c r="C12" s="29">
        <f t="array" ref="C12">SUMPRODUCT('ファンドデータ(変更不要)'!K12:P12,TRANSPOSE(戦略の決定!$D$13:$D$18))</f>
        <v>4.9601975523019592E-2</v>
      </c>
      <c r="D12" s="29">
        <f t="array" ref="D12">SUMPRODUCT('ファンドデータ(変更不要)'!K12:P12,TRANSPOSE(戦略の決定!$E$13:$E$18))</f>
        <v>7.0105450020139459E-2</v>
      </c>
      <c r="E12" s="29">
        <f t="array" ref="E12">SUMPRODUCT('ファンドデータ(変更不要)'!K12:P12,TRANSPOSE(戦略の決定!$F$13:$F$18))</f>
        <v>7.0105450020139459E-2</v>
      </c>
      <c r="F12" s="183">
        <f t="shared" si="0"/>
        <v>1.0667846050206033</v>
      </c>
      <c r="G12" s="183">
        <f t="shared" si="1"/>
        <v>1.0675736262356423</v>
      </c>
      <c r="H12" s="75">
        <f t="shared" si="2"/>
        <v>1.0675736262356423</v>
      </c>
      <c r="J12" s="46">
        <f>戦略の決定!D6</f>
        <v>43497</v>
      </c>
      <c r="K12" s="87">
        <f ca="1">BarriarOptionPrice(K$9,K$6,戦略の決定!$F$51*OFFSET($F$3,MATCH($J12,$B$4:$B$656,0),0)/OFFSET($F$3,MATCH($J$12,$B$4:$B$656,0),0),($J$64-$J12)/(52*7),K$7,K$8,戦略の決定!$D$13:$D$18)*K$5</f>
        <v>0</v>
      </c>
      <c r="L12" s="87">
        <f ca="1">BarriarOptionPrice(L$9,L$6,戦略の決定!$F$51*OFFSET($F$3,MATCH($J12,$B$4:$B$656,0),0)/OFFSET($F$3,MATCH($J$12,$B$4:$B$656,0),0),($J$64-$J12)/(52*7),L$7,L$8,戦略の決定!$D$13:$D$18)*L$5</f>
        <v>0</v>
      </c>
      <c r="M12" s="87">
        <f ca="1">BarriarOptionPrice(M$9,M$6,戦略の決定!$F$52*OFFSET($G$3,MATCH($J12,$B$4:$B$656,0),0)/OFFSET($G$3,MATCH($J$12,$B$4:$B$656,0),0),($J$64-$J12)/(52*7),M$7,M$8,戦略の決定!$E$13:$E$18)*M$5</f>
        <v>97.264680471194652</v>
      </c>
      <c r="N12" s="87">
        <f ca="1">BarriarOptionPrice(N$9,N$6,戦略の決定!$F$52*OFFSET($G$3,MATCH($J12,$B$4:$B$656,0),0)/OFFSET($G$3,MATCH($J$12,$B$4:$B$656,0),0),($J$64-$J12)/(52*7),N$7,N$8,戦略の決定!$E$13:$E$18)*N$5</f>
        <v>0</v>
      </c>
      <c r="O12" s="87">
        <f ca="1">BarriarOptionPrice(O$9,O$6,戦略の決定!$F$53*OFFSET($H$3,MATCH($J12,$B$4:$B$656,0),0)/OFFSET($H$3,MATCH($J$12,$B$4:$B$656,0),0),($J$64-$J12)/(52*7),O$7,O$8,戦略の決定!$F$13:$F$18)*O$5</f>
        <v>0</v>
      </c>
      <c r="P12" s="44">
        <f ca="1">BarriarOptionPrice(P$9,P$6,戦略の決定!$F$53*OFFSET($H$3,MATCH($J12,$B$4:$B$656,0),0)/OFFSET($H$3,MATCH($J$12,$B$4:$B$656,0),0),($J$64-$J12)/(52*7),P$7,P$8,戦略の決定!$F$13:$F$18)*P$5</f>
        <v>0</v>
      </c>
      <c r="S12" s="12" t="s">
        <v>10</v>
      </c>
      <c r="T12" s="216">
        <f>戦略の決定!R8</f>
        <v>0</v>
      </c>
      <c r="U12" s="216">
        <f>戦略の決定!S8</f>
        <v>0</v>
      </c>
      <c r="V12" s="216">
        <f>戦略の決定!T8</f>
        <v>0</v>
      </c>
      <c r="W12" s="216">
        <f>戦略の決定!U8</f>
        <v>0</v>
      </c>
      <c r="X12" s="216">
        <f>戦略の決定!V8</f>
        <v>0</v>
      </c>
      <c r="Y12" s="216">
        <f>戦略の決定!W8</f>
        <v>0</v>
      </c>
      <c r="Z12" s="216">
        <f>戦略の決定!X8</f>
        <v>0</v>
      </c>
      <c r="AA12" s="216">
        <f>戦略の決定!Y8</f>
        <v>0</v>
      </c>
      <c r="AB12" s="216">
        <f>戦略の決定!Z8</f>
        <v>0</v>
      </c>
      <c r="AC12" s="217">
        <f>戦略の決定!AA8</f>
        <v>0</v>
      </c>
    </row>
    <row r="13" spans="2:77" ht="16.5" thickBot="1" x14ac:dyDescent="0.2">
      <c r="B13" s="16">
        <v>39906</v>
      </c>
      <c r="C13" s="29">
        <f t="array" ref="C13">SUMPRODUCT('ファンドデータ(変更不要)'!K13:P13,TRANSPOSE(戦略の決定!$D$13:$D$18))</f>
        <v>-1.1925012814412866E-2</v>
      </c>
      <c r="D13" s="29">
        <f t="array" ref="D13">SUMPRODUCT('ファンドデータ(変更不要)'!K13:P13,TRANSPOSE(戦略の決定!$E$13:$E$18))</f>
        <v>-2.4817446313572598E-2</v>
      </c>
      <c r="E13" s="29">
        <f t="array" ref="E13">SUMPRODUCT('ファンドデータ(変更不要)'!K13:P13,TRANSPOSE(戦略の決定!$F$13:$F$18))</f>
        <v>-2.4817446313572598E-2</v>
      </c>
      <c r="F13" s="183">
        <f t="shared" si="0"/>
        <v>1.0540631849355144</v>
      </c>
      <c r="G13" s="183">
        <f t="shared" si="1"/>
        <v>1.0410791750807533</v>
      </c>
      <c r="H13" s="75">
        <f t="shared" si="2"/>
        <v>1.0410791750807533</v>
      </c>
      <c r="J13" s="46">
        <f t="shared" ref="J13:J44" si="3">J12+7</f>
        <v>43504</v>
      </c>
      <c r="K13" s="87">
        <f ca="1">IF(K12=0,0,BarriarOptionPrice(K$9,K$6,戦略の決定!$F$51*OFFSET($F$3,MATCH($J13,$B$4:$B$656,0),0)/OFFSET($F$3,MATCH($J$12,$B$4:$B$656,0),0),($J$64-$J13)/(52*7),K$7,K$8,戦略の決定!$D$13:$D$18)*K$5)</f>
        <v>0</v>
      </c>
      <c r="L13" s="87">
        <f ca="1">IF(L12=0,0,BarriarOptionPrice(L$9,L$6,戦略の決定!$F$51*OFFSET($F$3,MATCH($J13,$B$4:$B$656,0),0)/OFFSET($F$3,MATCH($J$12,$B$4:$B$656,0),0),($J$64-$J13)/(52*7),L$7,L$8,戦略の決定!$D$13:$D$18)*L$5)</f>
        <v>0</v>
      </c>
      <c r="M13" s="87">
        <f ca="1">IF(M12=0,0,BarriarOptionPrice(M$9,M$6,戦略の決定!$F$52*OFFSET($G$3,MATCH($J13,$B$4:$B$656,0),0)/OFFSET($G$3,MATCH($J$12,$B$4:$B$656,0),0),($J$64-$J13)/(52*7),M$7,M$8,戦略の決定!$E$13:$E$18)*M$5)</f>
        <v>98.415638470057274</v>
      </c>
      <c r="N13" s="87">
        <f ca="1">IF(N12=0,0,BarriarOptionPrice(N$9,N$6,戦略の決定!$F$52*OFFSET($G$3,MATCH($J13,$B$4:$B$656,0),0)/OFFSET($G$3,MATCH($J$12,$B$4:$B$656,0),0),($J$64-$J13)/(52*7),N$7,N$8,戦略の決定!$E$13:$E$18)*N$5)</f>
        <v>0</v>
      </c>
      <c r="O13" s="87">
        <f ca="1">IF(O12=0,0,BarriarOptionPrice(O$9,O$6,戦略の決定!$F$53*OFFSET($H$3,MATCH($J13,$B$4:$B$656,0),0)/OFFSET($H$3,MATCH($J$12,$B$4:$B$656,0),0),($J$64-$J13)/(52*7),O$7,O$8,戦略の決定!$F$13:$F$18)*O$5)</f>
        <v>0</v>
      </c>
      <c r="P13" s="44">
        <f ca="1">IF(P12=0,0,BarriarOptionPrice(P$9,P$6,戦略の決定!$F$53*OFFSET($H$3,MATCH($J13,$B$4:$B$656,0),0)/OFFSET($H$3,MATCH($J$12,$B$4:$B$656,0),0),($J$64-$J13)/(52*7),P$7,P$8,戦略の決定!$F$13:$F$18)*P$5)</f>
        <v>0</v>
      </c>
      <c r="AE13" s="188" t="s">
        <v>89</v>
      </c>
      <c r="AQ13" s="188" t="s">
        <v>90</v>
      </c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</row>
    <row r="14" spans="2:77" x14ac:dyDescent="0.15">
      <c r="B14" s="16">
        <v>39913</v>
      </c>
      <c r="C14" s="29">
        <f t="array" ref="C14">SUMPRODUCT('ファンドデータ(変更不要)'!K14:P14,TRANSPOSE(戦略の決定!$D$13:$D$18))</f>
        <v>7.5199783163690023E-3</v>
      </c>
      <c r="D14" s="29">
        <f t="array" ref="D14">SUMPRODUCT('ファンドデータ(変更不要)'!K14:P14,TRANSPOSE(戦略の決定!$E$13:$E$18))</f>
        <v>1.466562977580961E-2</v>
      </c>
      <c r="E14" s="29">
        <f t="array" ref="E14">SUMPRODUCT('ファンドデータ(変更不要)'!K14:P14,TRANSPOSE(戦略の決定!$F$13:$F$18))</f>
        <v>1.466562977580961E-2</v>
      </c>
      <c r="F14" s="183">
        <f t="shared" si="0"/>
        <v>1.0619897172303123</v>
      </c>
      <c r="G14" s="183">
        <f t="shared" si="1"/>
        <v>1.0563472568297929</v>
      </c>
      <c r="H14" s="75">
        <f t="shared" si="2"/>
        <v>1.0563472568297929</v>
      </c>
      <c r="J14" s="46">
        <f t="shared" si="3"/>
        <v>43511</v>
      </c>
      <c r="K14" s="87">
        <f ca="1">IF(K13=0,0,BarriarOptionPrice(K$9,K$6,戦略の決定!$F$51*OFFSET($F$3,MATCH($J14,$B$4:$B$656,0),0)/OFFSET($F$3,MATCH($J$12,$B$4:$B$656,0),0),($J$64-$J14)/(52*7),K$7,K$8,戦略の決定!$D$13:$D$18)*K$5)</f>
        <v>0</v>
      </c>
      <c r="L14" s="87">
        <f ca="1">IF(L13=0,0,BarriarOptionPrice(L$9,L$6,戦略の決定!$F$51*OFFSET($F$3,MATCH($J14,$B$4:$B$656,0),0)/OFFSET($F$3,MATCH($J$12,$B$4:$B$656,0),0),($J$64-$J14)/(52*7),L$7,L$8,戦略の決定!$D$13:$D$18)*L$5)</f>
        <v>0</v>
      </c>
      <c r="M14" s="87">
        <f ca="1">IF(M13=0,0,BarriarOptionPrice(M$9,M$6,戦略の決定!$F$52*OFFSET($G$3,MATCH($J14,$B$4:$B$656,0),0)/OFFSET($G$3,MATCH($J$12,$B$4:$B$656,0),0),($J$64-$J14)/(52*7),M$7,M$8,戦略の決定!$E$13:$E$18)*M$5)</f>
        <v>96.012669232021494</v>
      </c>
      <c r="N14" s="87">
        <f ca="1">IF(N13=0,0,BarriarOptionPrice(N$9,N$6,戦略の決定!$F$52*OFFSET($G$3,MATCH($J14,$B$4:$B$656,0),0)/OFFSET($G$3,MATCH($J$12,$B$4:$B$656,0),0),($J$64-$J14)/(52*7),N$7,N$8,戦略の決定!$E$13:$E$18)*N$5)</f>
        <v>0</v>
      </c>
      <c r="O14" s="87">
        <f ca="1">IF(O13=0,0,BarriarOptionPrice(O$9,O$6,戦略の決定!$F$53*OFFSET($H$3,MATCH($J14,$B$4:$B$656,0),0)/OFFSET($H$3,MATCH($J$12,$B$4:$B$656,0),0),($J$64-$J14)/(52*7),O$7,O$8,戦略の決定!$F$13:$F$18)*O$5)</f>
        <v>0</v>
      </c>
      <c r="P14" s="44">
        <f ca="1">IF(P13=0,0,BarriarOptionPrice(P$9,P$6,戦略の決定!$F$53*OFFSET($H$3,MATCH($J14,$B$4:$B$656,0),0)/OFFSET($H$3,MATCH($J$12,$B$4:$B$656,0),0),($J$64-$J14)/(52*7),P$7,P$8,戦略の決定!$F$13:$F$18)*P$5)</f>
        <v>0</v>
      </c>
      <c r="S14" s="13"/>
      <c r="T14" s="119"/>
      <c r="U14" s="54"/>
      <c r="V14" s="54" t="s">
        <v>91</v>
      </c>
      <c r="W14" s="54"/>
      <c r="X14" s="54"/>
      <c r="Y14" s="54"/>
      <c r="Z14" s="54"/>
      <c r="AA14" s="54"/>
      <c r="AB14" s="54"/>
      <c r="AC14" s="55"/>
      <c r="AE14" s="13"/>
      <c r="AF14" s="119"/>
      <c r="AG14" s="54"/>
      <c r="AH14" s="54" t="s">
        <v>92</v>
      </c>
      <c r="AI14" s="54"/>
      <c r="AJ14" s="54"/>
      <c r="AK14" s="54"/>
      <c r="AL14" s="54"/>
      <c r="AM14" s="54"/>
      <c r="AN14" s="54"/>
      <c r="AO14" s="55"/>
      <c r="AQ14" s="13"/>
      <c r="AR14" s="119"/>
      <c r="AS14" s="54"/>
      <c r="AT14" s="54" t="s">
        <v>92</v>
      </c>
      <c r="AU14" s="54"/>
      <c r="AV14" s="54"/>
      <c r="AW14" s="54"/>
      <c r="AX14" s="54"/>
      <c r="AY14" s="54"/>
      <c r="AZ14" s="54"/>
      <c r="BA14" s="55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</row>
    <row r="15" spans="2:77" x14ac:dyDescent="0.15">
      <c r="B15" s="16">
        <v>39920</v>
      </c>
      <c r="C15" s="29">
        <f t="array" ref="C15">SUMPRODUCT('ファンドデータ(変更不要)'!K15:P15,TRANSPOSE(戦略の決定!$D$13:$D$18))</f>
        <v>-5.0776695525974651E-3</v>
      </c>
      <c r="D15" s="29">
        <f t="array" ref="D15">SUMPRODUCT('ファンドデータ(変更不要)'!K15:P15,TRANSPOSE(戦略の決定!$E$13:$E$18))</f>
        <v>-7.9594165610999603E-3</v>
      </c>
      <c r="E15" s="29">
        <f t="array" ref="E15">SUMPRODUCT('ファンドデータ(変更不要)'!K15:P15,TRANSPOSE(戦略の決定!$F$13:$F$18))</f>
        <v>-7.9594165610999603E-3</v>
      </c>
      <c r="F15" s="183">
        <f t="shared" si="0"/>
        <v>1.0565972843779603</v>
      </c>
      <c r="G15" s="183">
        <f t="shared" si="1"/>
        <v>1.0479393489795092</v>
      </c>
      <c r="H15" s="75">
        <f t="shared" si="2"/>
        <v>1.0479393489795092</v>
      </c>
      <c r="J15" s="46">
        <f t="shared" si="3"/>
        <v>43518</v>
      </c>
      <c r="K15" s="87">
        <f ca="1">IF(K14=0,0,BarriarOptionPrice(K$9,K$6,戦略の決定!$F$51*OFFSET($F$3,MATCH($J15,$B$4:$B$656,0),0)/OFFSET($F$3,MATCH($J$12,$B$4:$B$656,0),0),($J$64-$J15)/(52*7),K$7,K$8,戦略の決定!$D$13:$D$18)*K$5)</f>
        <v>0</v>
      </c>
      <c r="L15" s="87">
        <f ca="1">IF(L14=0,0,BarriarOptionPrice(L$9,L$6,戦略の決定!$F$51*OFFSET($F$3,MATCH($J15,$B$4:$B$656,0),0)/OFFSET($F$3,MATCH($J$12,$B$4:$B$656,0),0),($J$64-$J15)/(52*7),L$7,L$8,戦略の決定!$D$13:$D$18)*L$5)</f>
        <v>0</v>
      </c>
      <c r="M15" s="87">
        <f ca="1">IF(M14=0,0,BarriarOptionPrice(M$9,M$6,戦略の決定!$F$52*OFFSET($G$3,MATCH($J15,$B$4:$B$656,0),0)/OFFSET($G$3,MATCH($J$12,$B$4:$B$656,0),0),($J$64-$J15)/(52*7),M$7,M$8,戦略の決定!$E$13:$E$18)*M$5)</f>
        <v>90.963368425689964</v>
      </c>
      <c r="N15" s="87">
        <f ca="1">IF(N14=0,0,BarriarOptionPrice(N$9,N$6,戦略の決定!$F$52*OFFSET($G$3,MATCH($J15,$B$4:$B$656,0),0)/OFFSET($G$3,MATCH($J$12,$B$4:$B$656,0),0),($J$64-$J15)/(52*7),N$7,N$8,戦略の決定!$E$13:$E$18)*N$5)</f>
        <v>0</v>
      </c>
      <c r="O15" s="87">
        <f ca="1">IF(O14=0,0,BarriarOptionPrice(O$9,O$6,戦略の決定!$F$53*OFFSET($H$3,MATCH($J15,$B$4:$B$656,0),0)/OFFSET($H$3,MATCH($J$12,$B$4:$B$656,0),0),($J$64-$J15)/(52*7),O$7,O$8,戦略の決定!$F$13:$F$18)*O$5)</f>
        <v>0</v>
      </c>
      <c r="P15" s="44">
        <f ca="1">IF(P14=0,0,BarriarOptionPrice(P$9,P$6,戦略の決定!$F$53*OFFSET($H$3,MATCH($J15,$B$4:$B$656,0),0)/OFFSET($H$3,MATCH($J$12,$B$4:$B$656,0),0),($J$64-$J15)/(52*7),P$7,P$8,戦略の決定!$F$13:$F$18)*P$5)</f>
        <v>0</v>
      </c>
      <c r="S15" s="57">
        <v>0</v>
      </c>
      <c r="T15" s="87" t="e">
        <f ca="1">戦略の決定!$R$10*OFFSET($E$3,MATCH(T$11+$S15,$B$4:$B$656,0),$Z$3)/OFFSET($E$3,MATCH(T$11,$B$4:$B$656,0),$Z$3)</f>
        <v>#VALUE!</v>
      </c>
      <c r="U15" s="87" t="e">
        <f ca="1">戦略の決定!$R$10*OFFSET($E$3,MATCH(U$11+$S15,$B$4:$B$656,0),$Z$3)/OFFSET($E$3,MATCH(U$11,$B$4:$B$656,0),$Z$3)</f>
        <v>#VALUE!</v>
      </c>
      <c r="V15" s="87" t="e">
        <f ca="1">戦略の決定!$R$10*OFFSET($E$3,MATCH(V$11+$S15,$B$4:$B$656,0),$Z$3)/OFFSET($E$3,MATCH(V$11,$B$4:$B$656,0),$Z$3)</f>
        <v>#VALUE!</v>
      </c>
      <c r="W15" s="87" t="e">
        <f ca="1">戦略の決定!$R$10*OFFSET($E$3,MATCH(W$11+$S15,$B$4:$B$656,0),$Z$3)/OFFSET($E$3,MATCH(W$11,$B$4:$B$656,0),$Z$3)</f>
        <v>#VALUE!</v>
      </c>
      <c r="X15" s="87" t="e">
        <f ca="1">戦略の決定!$R$10*OFFSET($E$3,MATCH(X$11+$S15,$B$4:$B$656,0),$Z$3)/OFFSET($E$3,MATCH(X$11,$B$4:$B$656,0),$Z$3)</f>
        <v>#VALUE!</v>
      </c>
      <c r="Y15" s="87" t="e">
        <f ca="1">戦略の決定!$R$10*OFFSET($E$3,MATCH(Y$11+$S15,$B$4:$B$656,0),$Z$3)/OFFSET($E$3,MATCH(Y$11,$B$4:$B$656,0),$Z$3)</f>
        <v>#VALUE!</v>
      </c>
      <c r="Z15" s="87" t="e">
        <f ca="1">戦略の決定!$R$10*OFFSET($E$3,MATCH(Z$11+$S15,$B$4:$B$656,0),$Z$3)/OFFSET($E$3,MATCH(Z$11,$B$4:$B$656,0),$Z$3)</f>
        <v>#VALUE!</v>
      </c>
      <c r="AA15" s="87" t="e">
        <f ca="1">戦略の決定!$R$10*OFFSET($E$3,MATCH(AA$11+$S15,$B$4:$B$656,0),$Z$3)/OFFSET($E$3,MATCH(AA$11,$B$4:$B$656,0),$Z$3)</f>
        <v>#VALUE!</v>
      </c>
      <c r="AB15" s="87" t="e">
        <f ca="1">戦略の決定!$R$10*OFFSET($E$3,MATCH(AB$11+$S15,$B$4:$B$656,0),$Z$3)/OFFSET($E$3,MATCH(AB$11,$B$4:$B$656,0),$Z$3)</f>
        <v>#VALUE!</v>
      </c>
      <c r="AC15" s="44" t="e">
        <f ca="1">戦略の決定!$R$10*OFFSET($E$3,MATCH(AC$11+$S15,$B$4:$B$656,0),$Z$3)/OFFSET($E$3,MATCH(AC$11,$B$4:$B$656,0),$Z$3)</f>
        <v>#VALUE!</v>
      </c>
      <c r="AE15" s="57">
        <v>0</v>
      </c>
      <c r="AF15" s="87" t="e">
        <f ca="1">BarriarOptionPrice($T$9,$T$6,T15,($AE$67-$AE15)/(52*7),$T$7,$T$8,$AC$4:$AC$9)*$T$5</f>
        <v>#VALUE!</v>
      </c>
      <c r="AG15" s="87" t="e">
        <f ca="1">BarriarOptionPrice($T$9,$T$6,U15,($AE$67-$AE15)/(52*7),$T$7,$T$8,$AC$4:$AC$9)*$T$5</f>
        <v>#VALUE!</v>
      </c>
      <c r="AH15" s="87" t="e">
        <f ca="1">BarriarOptionPrice($T$9,$T$6,V15,($AE$67-$AE15)/(52*7),$T$7,$T$8,$AC$4:$AC$9)*$T$5</f>
        <v>#VALUE!</v>
      </c>
      <c r="AI15" s="87" t="e">
        <f ca="1">BarriarOptionPrice($T$9,$T$6,W15,($AE$67-$AE15)/(52*7),$T$7,$T$8,$AC$4:$AC$9)*$T$5</f>
        <v>#VALUE!</v>
      </c>
      <c r="AJ15" s="87" t="e">
        <f ca="1">BarriarOptionPrice($T$9,$T$6,X15,($AE$67-$AE15)/(52*7),$T$7,$T$8,$AC$4:$AC$9)*$T$5</f>
        <v>#VALUE!</v>
      </c>
      <c r="AK15" s="87" t="e">
        <f ca="1">BarriarOptionPrice($T$9,$T$6,Y15,($AE$67-$AE15)/(52*7),$T$7,$T$8,$AC$4:$AC$9)*$T$5</f>
        <v>#VALUE!</v>
      </c>
      <c r="AL15" s="87" t="e">
        <f ca="1">BarriarOptionPrice($T$9,$T$6,Z15,($AE$67-$AE15)/(52*7),$T$7,$T$8,$AC$4:$AC$9)*$T$5</f>
        <v>#VALUE!</v>
      </c>
      <c r="AM15" s="87" t="e">
        <f ca="1">BarriarOptionPrice($T$9,$T$6,AA15,($AE$67-$AE15)/(52*7),$T$7,$T$8,$AC$4:$AC$9)*$T$5</f>
        <v>#VALUE!</v>
      </c>
      <c r="AN15" s="87" t="e">
        <f ca="1">BarriarOptionPrice($T$9,$T$6,AB15,($AE$67-$AE15)/(52*7),$T$7,$T$8,$AC$4:$AC$9)*$T$5</f>
        <v>#VALUE!</v>
      </c>
      <c r="AO15" s="44" t="e">
        <f ca="1">BarriarOptionPrice($T$9,$T$6,AC15,($AE$67-$AE15)/(52*7),$T$7,$T$8,$AC$4:$AC$9)*$T$5</f>
        <v>#VALUE!</v>
      </c>
      <c r="AQ15" s="57">
        <v>0</v>
      </c>
      <c r="AR15" s="87" t="e">
        <f ca="1">BarriarOptionPrice($U$9,$U$6,T15,($AQ$67-$AQ15)/(52*7),$U$7,$U$8,$AC$4:$AC$9)*$U$5</f>
        <v>#VALUE!</v>
      </c>
      <c r="AS15" s="87" t="e">
        <f ca="1">BarriarOptionPrice($U$9,$U$6,U15,($AQ$67-$AQ15)/(52*7),$U$7,$U$8,$AC$4:$AC$9)*$U$5</f>
        <v>#VALUE!</v>
      </c>
      <c r="AT15" s="87" t="e">
        <f ca="1">BarriarOptionPrice($U$9,$U$6,V15,($AQ$67-$AQ15)/(52*7),$U$7,$U$8,$AC$4:$AC$9)*$U$5</f>
        <v>#VALUE!</v>
      </c>
      <c r="AU15" s="87" t="e">
        <f ca="1">BarriarOptionPrice($U$9,$U$6,W15,($AQ$67-$AQ15)/(52*7),$U$7,$U$8,$AC$4:$AC$9)*$U$5</f>
        <v>#VALUE!</v>
      </c>
      <c r="AV15" s="87" t="e">
        <f ca="1">BarriarOptionPrice($U$9,$U$6,X15,($AQ$67-$AQ15)/(52*7),$U$7,$U$8,$AC$4:$AC$9)*$U$5</f>
        <v>#VALUE!</v>
      </c>
      <c r="AW15" s="87" t="e">
        <f ca="1">BarriarOptionPrice($U$9,$U$6,Y15,($AQ$67-$AQ15)/(52*7),$U$7,$U$8,$AC$4:$AC$9)*$U$5</f>
        <v>#VALUE!</v>
      </c>
      <c r="AX15" s="87" t="e">
        <f ca="1">BarriarOptionPrice($U$9,$U$6,Z15,($AQ$67-$AQ15)/(52*7),$U$7,$U$8,$AC$4:$AC$9)*$U$5</f>
        <v>#VALUE!</v>
      </c>
      <c r="AY15" s="87" t="e">
        <f ca="1">BarriarOptionPrice($U$9,$U$6,AA15,($AQ$67-$AQ15)/(52*7),$U$7,$U$8,$AC$4:$AC$9)*$U$5</f>
        <v>#VALUE!</v>
      </c>
      <c r="AZ15" s="87" t="e">
        <f ca="1">BarriarOptionPrice($U$9,$U$6,AB15,($AQ$67-$AQ15)/(52*7),$U$7,$U$8,$AC$4:$AC$9)*$U$5</f>
        <v>#VALUE!</v>
      </c>
      <c r="BA15" s="44" t="e">
        <f ca="1">BarriarOptionPrice($U$9,$U$6,AC15,($AQ$67-$AQ15)/(52*7),$U$7,$U$8,$AC$4:$AC$9)*$U$5</f>
        <v>#VALUE!</v>
      </c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</row>
    <row r="16" spans="2:77" x14ac:dyDescent="0.15">
      <c r="B16" s="16">
        <v>39927</v>
      </c>
      <c r="C16" s="29">
        <f t="array" ref="C16">SUMPRODUCT('ファンドデータ(変更不要)'!K16:P16,TRANSPOSE(戦略の決定!$D$13:$D$18))</f>
        <v>-1.2684586192186171E-2</v>
      </c>
      <c r="D16" s="29">
        <f t="array" ref="D16">SUMPRODUCT('ファンドデータ(変更不要)'!K16:P16,TRANSPOSE(戦略の決定!$E$13:$E$18))</f>
        <v>-1.4524113634133896E-2</v>
      </c>
      <c r="E16" s="29">
        <f t="array" ref="E16">SUMPRODUCT('ファンドデータ(変更不要)'!K16:P16,TRANSPOSE(戦略の決定!$F$13:$F$18))</f>
        <v>-1.4524113634133896E-2</v>
      </c>
      <c r="F16" s="183">
        <f t="shared" si="0"/>
        <v>1.0431947850538383</v>
      </c>
      <c r="G16" s="183">
        <f t="shared" si="1"/>
        <v>1.0327189587932506</v>
      </c>
      <c r="H16" s="75">
        <f t="shared" si="2"/>
        <v>1.0327189587932506</v>
      </c>
      <c r="J16" s="46">
        <f t="shared" si="3"/>
        <v>43525</v>
      </c>
      <c r="K16" s="87">
        <f ca="1">IF(K15=0,0,BarriarOptionPrice(K$9,K$6,戦略の決定!$F$51*OFFSET($F$3,MATCH($J16,$B$4:$B$656,0),0)/OFFSET($F$3,MATCH($J$12,$B$4:$B$656,0),0),($J$64-$J16)/(52*7),K$7,K$8,戦略の決定!$D$13:$D$18)*K$5)</f>
        <v>0</v>
      </c>
      <c r="L16" s="87">
        <f ca="1">IF(L15=0,0,BarriarOptionPrice(L$9,L$6,戦略の決定!$F$51*OFFSET($F$3,MATCH($J16,$B$4:$B$656,0),0)/OFFSET($F$3,MATCH($J$12,$B$4:$B$656,0),0),($J$64-$J16)/(52*7),L$7,L$8,戦略の決定!$D$13:$D$18)*L$5)</f>
        <v>0</v>
      </c>
      <c r="M16" s="87">
        <f ca="1">IF(M15=0,0,BarriarOptionPrice(M$9,M$6,戦略の決定!$F$52*OFFSET($G$3,MATCH($J16,$B$4:$B$656,0),0)/OFFSET($G$3,MATCH($J$12,$B$4:$B$656,0),0),($J$64-$J16)/(52*7),M$7,M$8,戦略の決定!$E$13:$E$18)*M$5)</f>
        <v>88.947493336862863</v>
      </c>
      <c r="N16" s="87">
        <f ca="1">IF(N15=0,0,BarriarOptionPrice(N$9,N$6,戦略の決定!$F$52*OFFSET($G$3,MATCH($J16,$B$4:$B$656,0),0)/OFFSET($G$3,MATCH($J$12,$B$4:$B$656,0),0),($J$64-$J16)/(52*7),N$7,N$8,戦略の決定!$E$13:$E$18)*N$5)</f>
        <v>0</v>
      </c>
      <c r="O16" s="87">
        <f ca="1">IF(O15=0,0,BarriarOptionPrice(O$9,O$6,戦略の決定!$F$53*OFFSET($H$3,MATCH($J16,$B$4:$B$656,0),0)/OFFSET($H$3,MATCH($J$12,$B$4:$B$656,0),0),($J$64-$J16)/(52*7),O$7,O$8,戦略の決定!$F$13:$F$18)*O$5)</f>
        <v>0</v>
      </c>
      <c r="P16" s="44">
        <f ca="1">IF(P15=0,0,BarriarOptionPrice(P$9,P$6,戦略の決定!$F$53*OFFSET($H$3,MATCH($J16,$B$4:$B$656,0),0)/OFFSET($H$3,MATCH($J$12,$B$4:$B$656,0),0),($J$64-$J16)/(52*7),P$7,P$8,戦略の決定!$F$13:$F$18)*P$5)</f>
        <v>0</v>
      </c>
      <c r="S16" s="57">
        <f>S15+7</f>
        <v>7</v>
      </c>
      <c r="T16" s="87" t="e">
        <f ca="1">戦略の決定!$R$10*OFFSET($E$3,MATCH(T$11+$S16,$B$4:$B$656,0),$Z$3)/OFFSET($E$3,MATCH(T$11,$B$4:$B$656,0),$Z$3)</f>
        <v>#VALUE!</v>
      </c>
      <c r="U16" s="87" t="e">
        <f ca="1">戦略の決定!$R$10*OFFSET($E$3,MATCH(U$11+$S16,$B$4:$B$656,0),$Z$3)/OFFSET($E$3,MATCH(U$11,$B$4:$B$656,0),$Z$3)</f>
        <v>#VALUE!</v>
      </c>
      <c r="V16" s="87" t="e">
        <f ca="1">戦略の決定!$R$10*OFFSET($E$3,MATCH(V$11+$S16,$B$4:$B$656,0),$Z$3)/OFFSET($E$3,MATCH(V$11,$B$4:$B$656,0),$Z$3)</f>
        <v>#VALUE!</v>
      </c>
      <c r="W16" s="87" t="e">
        <f ca="1">戦略の決定!$R$10*OFFSET($E$3,MATCH(W$11+$S16,$B$4:$B$656,0),$Z$3)/OFFSET($E$3,MATCH(W$11,$B$4:$B$656,0),$Z$3)</f>
        <v>#VALUE!</v>
      </c>
      <c r="X16" s="87" t="e">
        <f ca="1">戦略の決定!$R$10*OFFSET($E$3,MATCH(X$11+$S16,$B$4:$B$656,0),$Z$3)/OFFSET($E$3,MATCH(X$11,$B$4:$B$656,0),$Z$3)</f>
        <v>#VALUE!</v>
      </c>
      <c r="Y16" s="87" t="e">
        <f ca="1">戦略の決定!$R$10*OFFSET($E$3,MATCH(Y$11+$S16,$B$4:$B$656,0),$Z$3)/OFFSET($E$3,MATCH(Y$11,$B$4:$B$656,0),$Z$3)</f>
        <v>#VALUE!</v>
      </c>
      <c r="Z16" s="87" t="e">
        <f ca="1">戦略の決定!$R$10*OFFSET($E$3,MATCH(Z$11+$S16,$B$4:$B$656,0),$Z$3)/OFFSET($E$3,MATCH(Z$11,$B$4:$B$656,0),$Z$3)</f>
        <v>#VALUE!</v>
      </c>
      <c r="AA16" s="87" t="e">
        <f ca="1">戦略の決定!$R$10*OFFSET($E$3,MATCH(AA$11+$S16,$B$4:$B$656,0),$Z$3)/OFFSET($E$3,MATCH(AA$11,$B$4:$B$656,0),$Z$3)</f>
        <v>#VALUE!</v>
      </c>
      <c r="AB16" s="87" t="e">
        <f ca="1">戦略の決定!$R$10*OFFSET($E$3,MATCH(AB$11+$S16,$B$4:$B$656,0),$Z$3)/OFFSET($E$3,MATCH(AB$11,$B$4:$B$656,0),$Z$3)</f>
        <v>#VALUE!</v>
      </c>
      <c r="AC16" s="44" t="e">
        <f ca="1">戦略の決定!$R$10*OFFSET($E$3,MATCH(AC$11+$S16,$B$4:$B$656,0),$Z$3)/OFFSET($E$3,MATCH(AC$11,$B$4:$B$656,0),$Z$3)</f>
        <v>#VALUE!</v>
      </c>
      <c r="AE16" s="57">
        <f>AE15+7</f>
        <v>7</v>
      </c>
      <c r="AF16" s="87" t="e">
        <f ca="1">BarriarOptionPrice($T$9,$T$6,T16,($AE$67-$AE16)/(52*7),$T$7,$T$8,$AC$4:$AC$9)*$T$5</f>
        <v>#VALUE!</v>
      </c>
      <c r="AG16" s="87" t="e">
        <f ca="1">BarriarOptionPrice($T$9,$T$6,U16,($AE$67-$AE16)/(52*7),$T$7,$T$8,$AC$4:$AC$9)*$T$5</f>
        <v>#VALUE!</v>
      </c>
      <c r="AH16" s="87" t="e">
        <f ca="1">BarriarOptionPrice($T$9,$T$6,V16,($AE$67-$AE16)/(52*7),$T$7,$T$8,$AC$4:$AC$9)*$T$5</f>
        <v>#VALUE!</v>
      </c>
      <c r="AI16" s="87" t="e">
        <f ca="1">BarriarOptionPrice($T$9,$T$6,W16,($AE$67-$AE16)/(52*7),$T$7,$T$8,$AC$4:$AC$9)*$T$5</f>
        <v>#VALUE!</v>
      </c>
      <c r="AJ16" s="87" t="e">
        <f ca="1">BarriarOptionPrice($T$9,$T$6,X16,($AE$67-$AE16)/(52*7),$T$7,$T$8,$AC$4:$AC$9)*$T$5</f>
        <v>#VALUE!</v>
      </c>
      <c r="AK16" s="87" t="e">
        <f ca="1">BarriarOptionPrice($T$9,$T$6,Y16,($AE$67-$AE16)/(52*7),$T$7,$T$8,$AC$4:$AC$9)*$T$5</f>
        <v>#VALUE!</v>
      </c>
      <c r="AL16" s="87" t="e">
        <f ca="1">BarriarOptionPrice($T$9,$T$6,Z16,($AE$67-$AE16)/(52*7),$T$7,$T$8,$AC$4:$AC$9)*$T$5</f>
        <v>#VALUE!</v>
      </c>
      <c r="AM16" s="87" t="e">
        <f ca="1">BarriarOptionPrice($T$9,$T$6,AA16,($AE$67-$AE16)/(52*7),$T$7,$T$8,$AC$4:$AC$9)*$T$5</f>
        <v>#VALUE!</v>
      </c>
      <c r="AN16" s="87" t="e">
        <f ca="1">BarriarOptionPrice($T$9,$T$6,AB16,($AE$67-$AE16)/(52*7),$T$7,$T$8,$AC$4:$AC$9)*$T$5</f>
        <v>#VALUE!</v>
      </c>
      <c r="AO16" s="44" t="e">
        <f ca="1">BarriarOptionPrice($T$9,$T$6,AC16,($AE$67-$AE16)/(52*7),$T$7,$T$8,$AC$4:$AC$9)*$T$5</f>
        <v>#VALUE!</v>
      </c>
      <c r="AQ16" s="57">
        <f>AQ15+7</f>
        <v>7</v>
      </c>
      <c r="AR16" s="87" t="e">
        <f ca="1">BarriarOptionPrice($U$9,$U$6,T16,($AQ$67-$AQ16)/(52*7),$U$7,$U$8,$AC$4:$AC$9)*$U$5</f>
        <v>#VALUE!</v>
      </c>
      <c r="AS16" s="87" t="e">
        <f ca="1">BarriarOptionPrice($U$9,$U$6,U16,($AQ$67-$AQ16)/(52*7),$U$7,$U$8,$AC$4:$AC$9)*$U$5</f>
        <v>#VALUE!</v>
      </c>
      <c r="AT16" s="87" t="e">
        <f ca="1">BarriarOptionPrice($U$9,$U$6,V16,($AQ$67-$AQ16)/(52*7),$U$7,$U$8,$AC$4:$AC$9)*$U$5</f>
        <v>#VALUE!</v>
      </c>
      <c r="AU16" s="87" t="e">
        <f ca="1">BarriarOptionPrice($U$9,$U$6,W16,($AQ$67-$AQ16)/(52*7),$U$7,$U$8,$AC$4:$AC$9)*$U$5</f>
        <v>#VALUE!</v>
      </c>
      <c r="AV16" s="87" t="e">
        <f ca="1">BarriarOptionPrice($U$9,$U$6,X16,($AQ$67-$AQ16)/(52*7),$U$7,$U$8,$AC$4:$AC$9)*$U$5</f>
        <v>#VALUE!</v>
      </c>
      <c r="AW16" s="87" t="e">
        <f ca="1">BarriarOptionPrice($U$9,$U$6,Y16,($AQ$67-$AQ16)/(52*7),$U$7,$U$8,$AC$4:$AC$9)*$U$5</f>
        <v>#VALUE!</v>
      </c>
      <c r="AX16" s="87" t="e">
        <f ca="1">BarriarOptionPrice($U$9,$U$6,Z16,($AQ$67-$AQ16)/(52*7),$U$7,$U$8,$AC$4:$AC$9)*$U$5</f>
        <v>#VALUE!</v>
      </c>
      <c r="AY16" s="87" t="e">
        <f ca="1">BarriarOptionPrice($U$9,$U$6,AA16,($AQ$67-$AQ16)/(52*7),$U$7,$U$8,$AC$4:$AC$9)*$U$5</f>
        <v>#VALUE!</v>
      </c>
      <c r="AZ16" s="87" t="e">
        <f ca="1">BarriarOptionPrice($U$9,$U$6,AB16,($AQ$67-$AQ16)/(52*7),$U$7,$U$8,$AC$4:$AC$9)*$U$5</f>
        <v>#VALUE!</v>
      </c>
      <c r="BA16" s="44" t="e">
        <f ca="1">BarriarOptionPrice($U$9,$U$6,AC16,($AQ$67-$AQ16)/(52*7),$U$7,$U$8,$AC$4:$AC$9)*$U$5</f>
        <v>#VALUE!</v>
      </c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</row>
    <row r="17" spans="2:77" x14ac:dyDescent="0.15">
      <c r="B17" s="16">
        <v>39934</v>
      </c>
      <c r="C17" s="29">
        <f t="array" ref="C17">SUMPRODUCT('ファンドデータ(変更不要)'!K17:P17,TRANSPOSE(戦略の決定!$D$13:$D$18))</f>
        <v>1.6957759189822307E-2</v>
      </c>
      <c r="D17" s="29">
        <f t="array" ref="D17">SUMPRODUCT('ファンドデータ(変更不要)'!K17:P17,TRANSPOSE(戦略の決定!$E$13:$E$18))</f>
        <v>2.0616626221584073E-2</v>
      </c>
      <c r="E17" s="29">
        <f t="array" ref="E17">SUMPRODUCT('ファンドデータ(変更不要)'!K17:P17,TRANSPOSE(戦略の決定!$F$13:$F$18))</f>
        <v>2.0616626221584073E-2</v>
      </c>
      <c r="F17" s="183">
        <f t="shared" si="0"/>
        <v>1.0608850310068596</v>
      </c>
      <c r="G17" s="183">
        <f t="shared" si="1"/>
        <v>1.0540101395586345</v>
      </c>
      <c r="H17" s="75">
        <f t="shared" si="2"/>
        <v>1.0540101395586345</v>
      </c>
      <c r="J17" s="46">
        <f t="shared" si="3"/>
        <v>43532</v>
      </c>
      <c r="K17" s="87">
        <f ca="1">IF(K16=0,0,BarriarOptionPrice(K$9,K$6,戦略の決定!$F$51*OFFSET($F$3,MATCH($J17,$B$4:$B$656,0),0)/OFFSET($F$3,MATCH($J$12,$B$4:$B$656,0),0),($J$64-$J17)/(52*7),K$7,K$8,戦略の決定!$D$13:$D$18)*K$5)</f>
        <v>0</v>
      </c>
      <c r="L17" s="87">
        <f ca="1">IF(L16=0,0,BarriarOptionPrice(L$9,L$6,戦略の決定!$F$51*OFFSET($F$3,MATCH($J17,$B$4:$B$656,0),0)/OFFSET($F$3,MATCH($J$12,$B$4:$B$656,0),0),($J$64-$J17)/(52*7),L$7,L$8,戦略の決定!$D$13:$D$18)*L$5)</f>
        <v>0</v>
      </c>
      <c r="M17" s="87">
        <f ca="1">IF(M16=0,0,BarriarOptionPrice(M$9,M$6,戦略の決定!$F$52*OFFSET($G$3,MATCH($J17,$B$4:$B$656,0),0)/OFFSET($G$3,MATCH($J$12,$B$4:$B$656,0),0),($J$64-$J17)/(52*7),M$7,M$8,戦略の決定!$E$13:$E$18)*M$5)</f>
        <v>90.506072951525312</v>
      </c>
      <c r="N17" s="87">
        <f ca="1">IF(N16=0,0,BarriarOptionPrice(N$9,N$6,戦略の決定!$F$52*OFFSET($G$3,MATCH($J17,$B$4:$B$656,0),0)/OFFSET($G$3,MATCH($J$12,$B$4:$B$656,0),0),($J$64-$J17)/(52*7),N$7,N$8,戦略の決定!$E$13:$E$18)*N$5)</f>
        <v>0</v>
      </c>
      <c r="O17" s="87">
        <f ca="1">IF(O16=0,0,BarriarOptionPrice(O$9,O$6,戦略の決定!$F$53*OFFSET($H$3,MATCH($J17,$B$4:$B$656,0),0)/OFFSET($H$3,MATCH($J$12,$B$4:$B$656,0),0),($J$64-$J17)/(52*7),O$7,O$8,戦略の決定!$F$13:$F$18)*O$5)</f>
        <v>0</v>
      </c>
      <c r="P17" s="44">
        <f ca="1">IF(P16=0,0,BarriarOptionPrice(P$9,P$6,戦略の決定!$F$53*OFFSET($H$3,MATCH($J17,$B$4:$B$656,0),0)/OFFSET($H$3,MATCH($J$12,$B$4:$B$656,0),0),($J$64-$J17)/(52*7),P$7,P$8,戦略の決定!$F$13:$F$18)*P$5)</f>
        <v>0</v>
      </c>
      <c r="S17" s="57">
        <f t="shared" ref="S17:S67" si="4">S16+7</f>
        <v>14</v>
      </c>
      <c r="T17" s="87" t="e">
        <f ca="1">戦略の決定!$R$10*OFFSET($E$3,MATCH(T$11+$S17,$B$4:$B$656,0),$Z$3)/OFFSET($E$3,MATCH(T$11,$B$4:$B$656,0),$Z$3)</f>
        <v>#VALUE!</v>
      </c>
      <c r="U17" s="87" t="e">
        <f ca="1">戦略の決定!$R$10*OFFSET($E$3,MATCH(U$11+$S17,$B$4:$B$656,0),$Z$3)/OFFSET($E$3,MATCH(U$11,$B$4:$B$656,0),$Z$3)</f>
        <v>#VALUE!</v>
      </c>
      <c r="V17" s="87" t="e">
        <f ca="1">戦略の決定!$R$10*OFFSET($E$3,MATCH(V$11+$S17,$B$4:$B$656,0),$Z$3)/OFFSET($E$3,MATCH(V$11,$B$4:$B$656,0),$Z$3)</f>
        <v>#VALUE!</v>
      </c>
      <c r="W17" s="87" t="e">
        <f ca="1">戦略の決定!$R$10*OFFSET($E$3,MATCH(W$11+$S17,$B$4:$B$656,0),$Z$3)/OFFSET($E$3,MATCH(W$11,$B$4:$B$656,0),$Z$3)</f>
        <v>#VALUE!</v>
      </c>
      <c r="X17" s="87" t="e">
        <f ca="1">戦略の決定!$R$10*OFFSET($E$3,MATCH(X$11+$S17,$B$4:$B$656,0),$Z$3)/OFFSET($E$3,MATCH(X$11,$B$4:$B$656,0),$Z$3)</f>
        <v>#VALUE!</v>
      </c>
      <c r="Y17" s="87" t="e">
        <f ca="1">戦略の決定!$R$10*OFFSET($E$3,MATCH(Y$11+$S17,$B$4:$B$656,0),$Z$3)/OFFSET($E$3,MATCH(Y$11,$B$4:$B$656,0),$Z$3)</f>
        <v>#VALUE!</v>
      </c>
      <c r="Z17" s="87" t="e">
        <f ca="1">戦略の決定!$R$10*OFFSET($E$3,MATCH(Z$11+$S17,$B$4:$B$656,0),$Z$3)/OFFSET($E$3,MATCH(Z$11,$B$4:$B$656,0),$Z$3)</f>
        <v>#VALUE!</v>
      </c>
      <c r="AA17" s="87" t="e">
        <f ca="1">戦略の決定!$R$10*OFFSET($E$3,MATCH(AA$11+$S17,$B$4:$B$656,0),$Z$3)/OFFSET($E$3,MATCH(AA$11,$B$4:$B$656,0),$Z$3)</f>
        <v>#VALUE!</v>
      </c>
      <c r="AB17" s="87" t="e">
        <f ca="1">戦略の決定!$R$10*OFFSET($E$3,MATCH(AB$11+$S17,$B$4:$B$656,0),$Z$3)/OFFSET($E$3,MATCH(AB$11,$B$4:$B$656,0),$Z$3)</f>
        <v>#VALUE!</v>
      </c>
      <c r="AC17" s="44" t="e">
        <f ca="1">戦略の決定!$R$10*OFFSET($E$3,MATCH(AC$11+$S17,$B$4:$B$656,0),$Z$3)/OFFSET($E$3,MATCH(AC$11,$B$4:$B$656,0),$Z$3)</f>
        <v>#VALUE!</v>
      </c>
      <c r="AE17" s="57">
        <f t="shared" ref="AE17:AE67" si="5">AE16+7</f>
        <v>14</v>
      </c>
      <c r="AF17" s="87" t="e">
        <f ca="1">BarriarOptionPrice($T$9,$T$6,T17,($AE$67-$AE17)/(52*7),$T$7,$T$8,$AC$4:$AC$9)*$T$5</f>
        <v>#VALUE!</v>
      </c>
      <c r="AG17" s="87" t="e">
        <f ca="1">BarriarOptionPrice($T$9,$T$6,U17,($AE$67-$AE17)/(52*7),$T$7,$T$8,$AC$4:$AC$9)*$T$5</f>
        <v>#VALUE!</v>
      </c>
      <c r="AH17" s="87" t="e">
        <f ca="1">BarriarOptionPrice($T$9,$T$6,V17,($AE$67-$AE17)/(52*7),$T$7,$T$8,$AC$4:$AC$9)*$T$5</f>
        <v>#VALUE!</v>
      </c>
      <c r="AI17" s="87" t="e">
        <f ca="1">BarriarOptionPrice($T$9,$T$6,W17,($AE$67-$AE17)/(52*7),$T$7,$T$8,$AC$4:$AC$9)*$T$5</f>
        <v>#VALUE!</v>
      </c>
      <c r="AJ17" s="87" t="e">
        <f ca="1">BarriarOptionPrice($T$9,$T$6,X17,($AE$67-$AE17)/(52*7),$T$7,$T$8,$AC$4:$AC$9)*$T$5</f>
        <v>#VALUE!</v>
      </c>
      <c r="AK17" s="87" t="e">
        <f ca="1">BarriarOptionPrice($T$9,$T$6,Y17,($AE$67-$AE17)/(52*7),$T$7,$T$8,$AC$4:$AC$9)*$T$5</f>
        <v>#VALUE!</v>
      </c>
      <c r="AL17" s="87" t="e">
        <f ca="1">BarriarOptionPrice($T$9,$T$6,Z17,($AE$67-$AE17)/(52*7),$T$7,$T$8,$AC$4:$AC$9)*$T$5</f>
        <v>#VALUE!</v>
      </c>
      <c r="AM17" s="87" t="e">
        <f ca="1">BarriarOptionPrice($T$9,$T$6,AA17,($AE$67-$AE17)/(52*7),$T$7,$T$8,$AC$4:$AC$9)*$T$5</f>
        <v>#VALUE!</v>
      </c>
      <c r="AN17" s="87" t="e">
        <f ca="1">BarriarOptionPrice($T$9,$T$6,AB17,($AE$67-$AE17)/(52*7),$T$7,$T$8,$AC$4:$AC$9)*$T$5</f>
        <v>#VALUE!</v>
      </c>
      <c r="AO17" s="44" t="e">
        <f ca="1">BarriarOptionPrice($T$9,$T$6,AC17,($AE$67-$AE17)/(52*7),$T$7,$T$8,$AC$4:$AC$9)*$T$5</f>
        <v>#VALUE!</v>
      </c>
      <c r="AQ17" s="57">
        <f t="shared" ref="AQ17:AQ67" si="6">AQ16+7</f>
        <v>14</v>
      </c>
      <c r="AR17" s="87" t="e">
        <f ca="1">BarriarOptionPrice($U$9,$U$6,T17,($AQ$67-$AQ17)/(52*7),$U$7,$U$8,$AC$4:$AC$9)*$U$5</f>
        <v>#VALUE!</v>
      </c>
      <c r="AS17" s="87" t="e">
        <f ca="1">BarriarOptionPrice($U$9,$U$6,U17,($AQ$67-$AQ17)/(52*7),$U$7,$U$8,$AC$4:$AC$9)*$U$5</f>
        <v>#VALUE!</v>
      </c>
      <c r="AT17" s="87" t="e">
        <f ca="1">BarriarOptionPrice($U$9,$U$6,V17,($AQ$67-$AQ17)/(52*7),$U$7,$U$8,$AC$4:$AC$9)*$U$5</f>
        <v>#VALUE!</v>
      </c>
      <c r="AU17" s="87" t="e">
        <f ca="1">BarriarOptionPrice($U$9,$U$6,W17,($AQ$67-$AQ17)/(52*7),$U$7,$U$8,$AC$4:$AC$9)*$U$5</f>
        <v>#VALUE!</v>
      </c>
      <c r="AV17" s="87" t="e">
        <f ca="1">BarriarOptionPrice($U$9,$U$6,X17,($AQ$67-$AQ17)/(52*7),$U$7,$U$8,$AC$4:$AC$9)*$U$5</f>
        <v>#VALUE!</v>
      </c>
      <c r="AW17" s="87" t="e">
        <f ca="1">BarriarOptionPrice($U$9,$U$6,Y17,($AQ$67-$AQ17)/(52*7),$U$7,$U$8,$AC$4:$AC$9)*$U$5</f>
        <v>#VALUE!</v>
      </c>
      <c r="AX17" s="87" t="e">
        <f ca="1">BarriarOptionPrice($U$9,$U$6,Z17,($AQ$67-$AQ17)/(52*7),$U$7,$U$8,$AC$4:$AC$9)*$U$5</f>
        <v>#VALUE!</v>
      </c>
      <c r="AY17" s="87" t="e">
        <f ca="1">BarriarOptionPrice($U$9,$U$6,AA17,($AQ$67-$AQ17)/(52*7),$U$7,$U$8,$AC$4:$AC$9)*$U$5</f>
        <v>#VALUE!</v>
      </c>
      <c r="AZ17" s="87" t="e">
        <f ca="1">BarriarOptionPrice($U$9,$U$6,AB17,($AQ$67-$AQ17)/(52*7),$U$7,$U$8,$AC$4:$AC$9)*$U$5</f>
        <v>#VALUE!</v>
      </c>
      <c r="BA17" s="44" t="e">
        <f ca="1">BarriarOptionPrice($U$9,$U$6,AC17,($AQ$67-$AQ17)/(52*7),$U$7,$U$8,$AC$4:$AC$9)*$U$5</f>
        <v>#VALUE!</v>
      </c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</row>
    <row r="18" spans="2:77" x14ac:dyDescent="0.15">
      <c r="B18" s="16">
        <v>39941</v>
      </c>
      <c r="C18" s="29">
        <f t="array" ref="C18">SUMPRODUCT('ファンドデータ(変更不要)'!K18:P18,TRANSPOSE(戦略の決定!$D$13:$D$18))</f>
        <v>1.3086367779758247E-2</v>
      </c>
      <c r="D18" s="29">
        <f t="array" ref="D18">SUMPRODUCT('ファンドデータ(変更不要)'!K18:P18,TRANSPOSE(戦略の決定!$E$13:$E$18))</f>
        <v>1.7172162073018197E-2</v>
      </c>
      <c r="E18" s="29">
        <f t="array" ref="E18">SUMPRODUCT('ファンドデータ(変更不要)'!K18:P18,TRANSPOSE(戦略の決定!$F$13:$F$18))</f>
        <v>1.7172162073018197E-2</v>
      </c>
      <c r="F18" s="183">
        <f t="shared" si="0"/>
        <v>1.0747681626946557</v>
      </c>
      <c r="G18" s="183">
        <f t="shared" si="1"/>
        <v>1.0721097725017401</v>
      </c>
      <c r="H18" s="75">
        <f t="shared" si="2"/>
        <v>1.0721097725017401</v>
      </c>
      <c r="J18" s="46">
        <f t="shared" si="3"/>
        <v>43539</v>
      </c>
      <c r="K18" s="87">
        <f ca="1">IF(K17=0,0,BarriarOptionPrice(K$9,K$6,戦略の決定!$F$51*OFFSET($F$3,MATCH($J18,$B$4:$B$656,0),0)/OFFSET($F$3,MATCH($J$12,$B$4:$B$656,0),0),($J$64-$J18)/(52*7),K$7,K$8,戦略の決定!$D$13:$D$18)*K$5)</f>
        <v>0</v>
      </c>
      <c r="L18" s="87">
        <f ca="1">IF(L17=0,0,BarriarOptionPrice(L$9,L$6,戦略の決定!$F$51*OFFSET($F$3,MATCH($J18,$B$4:$B$656,0),0)/OFFSET($F$3,MATCH($J$12,$B$4:$B$656,0),0),($J$64-$J18)/(52*7),L$7,L$8,戦略の決定!$D$13:$D$18)*L$5)</f>
        <v>0</v>
      </c>
      <c r="M18" s="87">
        <f ca="1">IF(M17=0,0,BarriarOptionPrice(M$9,M$6,戦略の決定!$F$52*OFFSET($G$3,MATCH($J18,$B$4:$B$656,0),0)/OFFSET($G$3,MATCH($J$12,$B$4:$B$656,0),0),($J$64-$J18)/(52*7),M$7,M$8,戦略の決定!$E$13:$E$18)*M$5)</f>
        <v>81.465998123897975</v>
      </c>
      <c r="N18" s="87">
        <f ca="1">IF(N17=0,0,BarriarOptionPrice(N$9,N$6,戦略の決定!$F$52*OFFSET($G$3,MATCH($J18,$B$4:$B$656,0),0)/OFFSET($G$3,MATCH($J$12,$B$4:$B$656,0),0),($J$64-$J18)/(52*7),N$7,N$8,戦略の決定!$E$13:$E$18)*N$5)</f>
        <v>0</v>
      </c>
      <c r="O18" s="87">
        <f ca="1">IF(O17=0,0,BarriarOptionPrice(O$9,O$6,戦略の決定!$F$53*OFFSET($H$3,MATCH($J18,$B$4:$B$656,0),0)/OFFSET($H$3,MATCH($J$12,$B$4:$B$656,0),0),($J$64-$J18)/(52*7),O$7,O$8,戦略の決定!$F$13:$F$18)*O$5)</f>
        <v>0</v>
      </c>
      <c r="P18" s="44">
        <f ca="1">IF(P17=0,0,BarriarOptionPrice(P$9,P$6,戦略の決定!$F$53*OFFSET($H$3,MATCH($J18,$B$4:$B$656,0),0)/OFFSET($H$3,MATCH($J$12,$B$4:$B$656,0),0),($J$64-$J18)/(52*7),P$7,P$8,戦略の決定!$F$13:$F$18)*P$5)</f>
        <v>0</v>
      </c>
      <c r="S18" s="57">
        <f t="shared" si="4"/>
        <v>21</v>
      </c>
      <c r="T18" s="87" t="e">
        <f ca="1">戦略の決定!$R$10*OFFSET($E$3,MATCH(T$11+$S18,$B$4:$B$656,0),$Z$3)/OFFSET($E$3,MATCH(T$11,$B$4:$B$656,0),$Z$3)</f>
        <v>#VALUE!</v>
      </c>
      <c r="U18" s="87" t="e">
        <f ca="1">戦略の決定!$R$10*OFFSET($E$3,MATCH(U$11+$S18,$B$4:$B$656,0),$Z$3)/OFFSET($E$3,MATCH(U$11,$B$4:$B$656,0),$Z$3)</f>
        <v>#VALUE!</v>
      </c>
      <c r="V18" s="87" t="e">
        <f ca="1">戦略の決定!$R$10*OFFSET($E$3,MATCH(V$11+$S18,$B$4:$B$656,0),$Z$3)/OFFSET($E$3,MATCH(V$11,$B$4:$B$656,0),$Z$3)</f>
        <v>#VALUE!</v>
      </c>
      <c r="W18" s="87" t="e">
        <f ca="1">戦略の決定!$R$10*OFFSET($E$3,MATCH(W$11+$S18,$B$4:$B$656,0),$Z$3)/OFFSET($E$3,MATCH(W$11,$B$4:$B$656,0),$Z$3)</f>
        <v>#VALUE!</v>
      </c>
      <c r="X18" s="87" t="e">
        <f ca="1">戦略の決定!$R$10*OFFSET($E$3,MATCH(X$11+$S18,$B$4:$B$656,0),$Z$3)/OFFSET($E$3,MATCH(X$11,$B$4:$B$656,0),$Z$3)</f>
        <v>#VALUE!</v>
      </c>
      <c r="Y18" s="87" t="e">
        <f ca="1">戦略の決定!$R$10*OFFSET($E$3,MATCH(Y$11+$S18,$B$4:$B$656,0),$Z$3)/OFFSET($E$3,MATCH(Y$11,$B$4:$B$656,0),$Z$3)</f>
        <v>#VALUE!</v>
      </c>
      <c r="Z18" s="87" t="e">
        <f ca="1">戦略の決定!$R$10*OFFSET($E$3,MATCH(Z$11+$S18,$B$4:$B$656,0),$Z$3)/OFFSET($E$3,MATCH(Z$11,$B$4:$B$656,0),$Z$3)</f>
        <v>#VALUE!</v>
      </c>
      <c r="AA18" s="87" t="e">
        <f ca="1">戦略の決定!$R$10*OFFSET($E$3,MATCH(AA$11+$S18,$B$4:$B$656,0),$Z$3)/OFFSET($E$3,MATCH(AA$11,$B$4:$B$656,0),$Z$3)</f>
        <v>#VALUE!</v>
      </c>
      <c r="AB18" s="87" t="e">
        <f ca="1">戦略の決定!$R$10*OFFSET($E$3,MATCH(AB$11+$S18,$B$4:$B$656,0),$Z$3)/OFFSET($E$3,MATCH(AB$11,$B$4:$B$656,0),$Z$3)</f>
        <v>#VALUE!</v>
      </c>
      <c r="AC18" s="44" t="e">
        <f ca="1">戦略の決定!$R$10*OFFSET($E$3,MATCH(AC$11+$S18,$B$4:$B$656,0),$Z$3)/OFFSET($E$3,MATCH(AC$11,$B$4:$B$656,0),$Z$3)</f>
        <v>#VALUE!</v>
      </c>
      <c r="AE18" s="57">
        <f t="shared" si="5"/>
        <v>21</v>
      </c>
      <c r="AF18" s="87" t="e">
        <f ca="1">BarriarOptionPrice($T$9,$T$6,T18,($AE$67-$AE18)/(52*7),$T$7,$T$8,$AC$4:$AC$9)*$T$5</f>
        <v>#VALUE!</v>
      </c>
      <c r="AG18" s="87" t="e">
        <f ca="1">BarriarOptionPrice($T$9,$T$6,U18,($AE$67-$AE18)/(52*7),$T$7,$T$8,$AC$4:$AC$9)*$T$5</f>
        <v>#VALUE!</v>
      </c>
      <c r="AH18" s="87" t="e">
        <f ca="1">BarriarOptionPrice($T$9,$T$6,V18,($AE$67-$AE18)/(52*7),$T$7,$T$8,$AC$4:$AC$9)*$T$5</f>
        <v>#VALUE!</v>
      </c>
      <c r="AI18" s="87" t="e">
        <f ca="1">BarriarOptionPrice($T$9,$T$6,W18,($AE$67-$AE18)/(52*7),$T$7,$T$8,$AC$4:$AC$9)*$T$5</f>
        <v>#VALUE!</v>
      </c>
      <c r="AJ18" s="87" t="e">
        <f ca="1">BarriarOptionPrice($T$9,$T$6,X18,($AE$67-$AE18)/(52*7),$T$7,$T$8,$AC$4:$AC$9)*$T$5</f>
        <v>#VALUE!</v>
      </c>
      <c r="AK18" s="87" t="e">
        <f ca="1">BarriarOptionPrice($T$9,$T$6,Y18,($AE$67-$AE18)/(52*7),$T$7,$T$8,$AC$4:$AC$9)*$T$5</f>
        <v>#VALUE!</v>
      </c>
      <c r="AL18" s="87" t="e">
        <f ca="1">BarriarOptionPrice($T$9,$T$6,Z18,($AE$67-$AE18)/(52*7),$T$7,$T$8,$AC$4:$AC$9)*$T$5</f>
        <v>#VALUE!</v>
      </c>
      <c r="AM18" s="87" t="e">
        <f ca="1">BarriarOptionPrice($T$9,$T$6,AA18,($AE$67-$AE18)/(52*7),$T$7,$T$8,$AC$4:$AC$9)*$T$5</f>
        <v>#VALUE!</v>
      </c>
      <c r="AN18" s="87" t="e">
        <f ca="1">BarriarOptionPrice($T$9,$T$6,AB18,($AE$67-$AE18)/(52*7),$T$7,$T$8,$AC$4:$AC$9)*$T$5</f>
        <v>#VALUE!</v>
      </c>
      <c r="AO18" s="44" t="e">
        <f ca="1">BarriarOptionPrice($T$9,$T$6,AC18,($AE$67-$AE18)/(52*7),$T$7,$T$8,$AC$4:$AC$9)*$T$5</f>
        <v>#VALUE!</v>
      </c>
      <c r="AQ18" s="57">
        <f t="shared" si="6"/>
        <v>21</v>
      </c>
      <c r="AR18" s="87" t="e">
        <f ca="1">BarriarOptionPrice($U$9,$U$6,T18,($AQ$67-$AQ18)/(52*7),$U$7,$U$8,$AC$4:$AC$9)*$U$5</f>
        <v>#VALUE!</v>
      </c>
      <c r="AS18" s="87" t="e">
        <f ca="1">BarriarOptionPrice($U$9,$U$6,U18,($AQ$67-$AQ18)/(52*7),$U$7,$U$8,$AC$4:$AC$9)*$U$5</f>
        <v>#VALUE!</v>
      </c>
      <c r="AT18" s="87" t="e">
        <f ca="1">BarriarOptionPrice($U$9,$U$6,V18,($AQ$67-$AQ18)/(52*7),$U$7,$U$8,$AC$4:$AC$9)*$U$5</f>
        <v>#VALUE!</v>
      </c>
      <c r="AU18" s="87" t="e">
        <f ca="1">BarriarOptionPrice($U$9,$U$6,W18,($AQ$67-$AQ18)/(52*7),$U$7,$U$8,$AC$4:$AC$9)*$U$5</f>
        <v>#VALUE!</v>
      </c>
      <c r="AV18" s="87" t="e">
        <f ca="1">BarriarOptionPrice($U$9,$U$6,X18,($AQ$67-$AQ18)/(52*7),$U$7,$U$8,$AC$4:$AC$9)*$U$5</f>
        <v>#VALUE!</v>
      </c>
      <c r="AW18" s="87" t="e">
        <f ca="1">BarriarOptionPrice($U$9,$U$6,Y18,($AQ$67-$AQ18)/(52*7),$U$7,$U$8,$AC$4:$AC$9)*$U$5</f>
        <v>#VALUE!</v>
      </c>
      <c r="AX18" s="87" t="e">
        <f ca="1">BarriarOptionPrice($U$9,$U$6,Z18,($AQ$67-$AQ18)/(52*7),$U$7,$U$8,$AC$4:$AC$9)*$U$5</f>
        <v>#VALUE!</v>
      </c>
      <c r="AY18" s="87" t="e">
        <f ca="1">BarriarOptionPrice($U$9,$U$6,AA18,($AQ$67-$AQ18)/(52*7),$U$7,$U$8,$AC$4:$AC$9)*$U$5</f>
        <v>#VALUE!</v>
      </c>
      <c r="AZ18" s="87" t="e">
        <f ca="1">BarriarOptionPrice($U$9,$U$6,AB18,($AQ$67-$AQ18)/(52*7),$U$7,$U$8,$AC$4:$AC$9)*$U$5</f>
        <v>#VALUE!</v>
      </c>
      <c r="BA18" s="44" t="e">
        <f ca="1">BarriarOptionPrice($U$9,$U$6,AC18,($AQ$67-$AQ18)/(52*7),$U$7,$U$8,$AC$4:$AC$9)*$U$5</f>
        <v>#VALUE!</v>
      </c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</row>
    <row r="19" spans="2:77" x14ac:dyDescent="0.15">
      <c r="B19" s="16">
        <v>39948</v>
      </c>
      <c r="C19" s="29">
        <f t="array" ref="C19">SUMPRODUCT('ファンドデータ(変更不要)'!K19:P19,TRANSPOSE(戦略の決定!$D$13:$D$18))</f>
        <v>-1.348559210253715E-2</v>
      </c>
      <c r="D19" s="29">
        <f t="array" ref="D19">SUMPRODUCT('ファンドデータ(変更不要)'!K19:P19,TRANSPOSE(戦略の決定!$E$13:$E$18))</f>
        <v>-1.8351172716168269E-2</v>
      </c>
      <c r="E19" s="29">
        <f t="array" ref="E19">SUMPRODUCT('ファンドデータ(変更不要)'!K19:P19,TRANSPOSE(戦略の決定!$F$13:$F$18))</f>
        <v>-1.8351172716168269E-2</v>
      </c>
      <c r="F19" s="183">
        <f t="shared" si="0"/>
        <v>1.0602742776477623</v>
      </c>
      <c r="G19" s="183">
        <f t="shared" si="1"/>
        <v>1.0524353008958689</v>
      </c>
      <c r="H19" s="75">
        <f t="shared" si="2"/>
        <v>1.0524353008958689</v>
      </c>
      <c r="J19" s="46">
        <f t="shared" si="3"/>
        <v>43546</v>
      </c>
      <c r="K19" s="87">
        <f ca="1">IF(K18=0,0,BarriarOptionPrice(K$9,K$6,戦略の決定!$F$51*OFFSET($F$3,MATCH($J19,$B$4:$B$656,0),0)/OFFSET($F$3,MATCH($J$12,$B$4:$B$656,0),0),($J$64-$J19)/(52*7),K$7,K$8,戦略の決定!$D$13:$D$18)*K$5)</f>
        <v>0</v>
      </c>
      <c r="L19" s="87">
        <f ca="1">IF(L18=0,0,BarriarOptionPrice(L$9,L$6,戦略の決定!$F$51*OFFSET($F$3,MATCH($J19,$B$4:$B$656,0),0)/OFFSET($F$3,MATCH($J$12,$B$4:$B$656,0),0),($J$64-$J19)/(52*7),L$7,L$8,戦略の決定!$D$13:$D$18)*L$5)</f>
        <v>0</v>
      </c>
      <c r="M19" s="87">
        <f ca="1">IF(M18=0,0,BarriarOptionPrice(M$9,M$6,戦略の決定!$F$52*OFFSET($G$3,MATCH($J19,$B$4:$B$656,0),0)/OFFSET($G$3,MATCH($J$12,$B$4:$B$656,0),0),($J$64-$J19)/(52*7),M$7,M$8,戦略の決定!$E$13:$E$18)*M$5)</f>
        <v>78.270202128572578</v>
      </c>
      <c r="N19" s="87">
        <f ca="1">IF(N18=0,0,BarriarOptionPrice(N$9,N$6,戦略の決定!$F$52*OFFSET($G$3,MATCH($J19,$B$4:$B$656,0),0)/OFFSET($G$3,MATCH($J$12,$B$4:$B$656,0),0),($J$64-$J19)/(52*7),N$7,N$8,戦略の決定!$E$13:$E$18)*N$5)</f>
        <v>0</v>
      </c>
      <c r="O19" s="87">
        <f ca="1">IF(O18=0,0,BarriarOptionPrice(O$9,O$6,戦略の決定!$F$53*OFFSET($H$3,MATCH($J19,$B$4:$B$656,0),0)/OFFSET($H$3,MATCH($J$12,$B$4:$B$656,0),0),($J$64-$J19)/(52*7),O$7,O$8,戦略の決定!$F$13:$F$18)*O$5)</f>
        <v>0</v>
      </c>
      <c r="P19" s="44">
        <f ca="1">IF(P18=0,0,BarriarOptionPrice(P$9,P$6,戦略の決定!$F$53*OFFSET($H$3,MATCH($J19,$B$4:$B$656,0),0)/OFFSET($H$3,MATCH($J$12,$B$4:$B$656,0),0),($J$64-$J19)/(52*7),P$7,P$8,戦略の決定!$F$13:$F$18)*P$5)</f>
        <v>0</v>
      </c>
      <c r="S19" s="57">
        <f t="shared" si="4"/>
        <v>28</v>
      </c>
      <c r="T19" s="87" t="e">
        <f ca="1">戦略の決定!$R$10*OFFSET($E$3,MATCH(T$11+$S19,$B$4:$B$656,0),$Z$3)/OFFSET($E$3,MATCH(T$11,$B$4:$B$656,0),$Z$3)</f>
        <v>#VALUE!</v>
      </c>
      <c r="U19" s="87" t="e">
        <f ca="1">戦略の決定!$R$10*OFFSET($E$3,MATCH(U$11+$S19,$B$4:$B$656,0),$Z$3)/OFFSET($E$3,MATCH(U$11,$B$4:$B$656,0),$Z$3)</f>
        <v>#VALUE!</v>
      </c>
      <c r="V19" s="87" t="e">
        <f ca="1">戦略の決定!$R$10*OFFSET($E$3,MATCH(V$11+$S19,$B$4:$B$656,0),$Z$3)/OFFSET($E$3,MATCH(V$11,$B$4:$B$656,0),$Z$3)</f>
        <v>#VALUE!</v>
      </c>
      <c r="W19" s="87" t="e">
        <f ca="1">戦略の決定!$R$10*OFFSET($E$3,MATCH(W$11+$S19,$B$4:$B$656,0),$Z$3)/OFFSET($E$3,MATCH(W$11,$B$4:$B$656,0),$Z$3)</f>
        <v>#VALUE!</v>
      </c>
      <c r="X19" s="87" t="e">
        <f ca="1">戦略の決定!$R$10*OFFSET($E$3,MATCH(X$11+$S19,$B$4:$B$656,0),$Z$3)/OFFSET($E$3,MATCH(X$11,$B$4:$B$656,0),$Z$3)</f>
        <v>#VALUE!</v>
      </c>
      <c r="Y19" s="87" t="e">
        <f ca="1">戦略の決定!$R$10*OFFSET($E$3,MATCH(Y$11+$S19,$B$4:$B$656,0),$Z$3)/OFFSET($E$3,MATCH(Y$11,$B$4:$B$656,0),$Z$3)</f>
        <v>#VALUE!</v>
      </c>
      <c r="Z19" s="87" t="e">
        <f ca="1">戦略の決定!$R$10*OFFSET($E$3,MATCH(Z$11+$S19,$B$4:$B$656,0),$Z$3)/OFFSET($E$3,MATCH(Z$11,$B$4:$B$656,0),$Z$3)</f>
        <v>#VALUE!</v>
      </c>
      <c r="AA19" s="87" t="e">
        <f ca="1">戦略の決定!$R$10*OFFSET($E$3,MATCH(AA$11+$S19,$B$4:$B$656,0),$Z$3)/OFFSET($E$3,MATCH(AA$11,$B$4:$B$656,0),$Z$3)</f>
        <v>#VALUE!</v>
      </c>
      <c r="AB19" s="87" t="e">
        <f ca="1">戦略の決定!$R$10*OFFSET($E$3,MATCH(AB$11+$S19,$B$4:$B$656,0),$Z$3)/OFFSET($E$3,MATCH(AB$11,$B$4:$B$656,0),$Z$3)</f>
        <v>#VALUE!</v>
      </c>
      <c r="AC19" s="44" t="e">
        <f ca="1">戦略の決定!$R$10*OFFSET($E$3,MATCH(AC$11+$S19,$B$4:$B$656,0),$Z$3)/OFFSET($E$3,MATCH(AC$11,$B$4:$B$656,0),$Z$3)</f>
        <v>#VALUE!</v>
      </c>
      <c r="AE19" s="57">
        <f t="shared" si="5"/>
        <v>28</v>
      </c>
      <c r="AF19" s="87" t="e">
        <f ca="1">BarriarOptionPrice($T$9,$T$6,T19,($AE$67-$AE19)/(52*7),$T$7,$T$8,$AC$4:$AC$9)*$T$5</f>
        <v>#VALUE!</v>
      </c>
      <c r="AG19" s="87" t="e">
        <f ca="1">BarriarOptionPrice($T$9,$T$6,U19,($AE$67-$AE19)/(52*7),$T$7,$T$8,$AC$4:$AC$9)*$T$5</f>
        <v>#VALUE!</v>
      </c>
      <c r="AH19" s="87" t="e">
        <f ca="1">BarriarOptionPrice($T$9,$T$6,V19,($AE$67-$AE19)/(52*7),$T$7,$T$8,$AC$4:$AC$9)*$T$5</f>
        <v>#VALUE!</v>
      </c>
      <c r="AI19" s="87" t="e">
        <f ca="1">BarriarOptionPrice($T$9,$T$6,W19,($AE$67-$AE19)/(52*7),$T$7,$T$8,$AC$4:$AC$9)*$T$5</f>
        <v>#VALUE!</v>
      </c>
      <c r="AJ19" s="87" t="e">
        <f ca="1">BarriarOptionPrice($T$9,$T$6,X19,($AE$67-$AE19)/(52*7),$T$7,$T$8,$AC$4:$AC$9)*$T$5</f>
        <v>#VALUE!</v>
      </c>
      <c r="AK19" s="87" t="e">
        <f ca="1">BarriarOptionPrice($T$9,$T$6,Y19,($AE$67-$AE19)/(52*7),$T$7,$T$8,$AC$4:$AC$9)*$T$5</f>
        <v>#VALUE!</v>
      </c>
      <c r="AL19" s="87" t="e">
        <f ca="1">BarriarOptionPrice($T$9,$T$6,Z19,($AE$67-$AE19)/(52*7),$T$7,$T$8,$AC$4:$AC$9)*$T$5</f>
        <v>#VALUE!</v>
      </c>
      <c r="AM19" s="87" t="e">
        <f ca="1">BarriarOptionPrice($T$9,$T$6,AA19,($AE$67-$AE19)/(52*7),$T$7,$T$8,$AC$4:$AC$9)*$T$5</f>
        <v>#VALUE!</v>
      </c>
      <c r="AN19" s="87" t="e">
        <f ca="1">BarriarOptionPrice($T$9,$T$6,AB19,($AE$67-$AE19)/(52*7),$T$7,$T$8,$AC$4:$AC$9)*$T$5</f>
        <v>#VALUE!</v>
      </c>
      <c r="AO19" s="44" t="e">
        <f ca="1">BarriarOptionPrice($T$9,$T$6,AC19,($AE$67-$AE19)/(52*7),$T$7,$T$8,$AC$4:$AC$9)*$T$5</f>
        <v>#VALUE!</v>
      </c>
      <c r="AQ19" s="57">
        <f t="shared" si="6"/>
        <v>28</v>
      </c>
      <c r="AR19" s="87" t="e">
        <f ca="1">BarriarOptionPrice($U$9,$U$6,T19,($AQ$67-$AQ19)/(52*7),$U$7,$U$8,$AC$4:$AC$9)*$U$5</f>
        <v>#VALUE!</v>
      </c>
      <c r="AS19" s="87" t="e">
        <f ca="1">BarriarOptionPrice($U$9,$U$6,U19,($AQ$67-$AQ19)/(52*7),$U$7,$U$8,$AC$4:$AC$9)*$U$5</f>
        <v>#VALUE!</v>
      </c>
      <c r="AT19" s="87" t="e">
        <f ca="1">BarriarOptionPrice($U$9,$U$6,V19,($AQ$67-$AQ19)/(52*7),$U$7,$U$8,$AC$4:$AC$9)*$U$5</f>
        <v>#VALUE!</v>
      </c>
      <c r="AU19" s="87" t="e">
        <f ca="1">BarriarOptionPrice($U$9,$U$6,W19,($AQ$67-$AQ19)/(52*7),$U$7,$U$8,$AC$4:$AC$9)*$U$5</f>
        <v>#VALUE!</v>
      </c>
      <c r="AV19" s="87" t="e">
        <f ca="1">BarriarOptionPrice($U$9,$U$6,X19,($AQ$67-$AQ19)/(52*7),$U$7,$U$8,$AC$4:$AC$9)*$U$5</f>
        <v>#VALUE!</v>
      </c>
      <c r="AW19" s="87" t="e">
        <f ca="1">BarriarOptionPrice($U$9,$U$6,Y19,($AQ$67-$AQ19)/(52*7),$U$7,$U$8,$AC$4:$AC$9)*$U$5</f>
        <v>#VALUE!</v>
      </c>
      <c r="AX19" s="87" t="e">
        <f ca="1">BarriarOptionPrice($U$9,$U$6,Z19,($AQ$67-$AQ19)/(52*7),$U$7,$U$8,$AC$4:$AC$9)*$U$5</f>
        <v>#VALUE!</v>
      </c>
      <c r="AY19" s="87" t="e">
        <f ca="1">BarriarOptionPrice($U$9,$U$6,AA19,($AQ$67-$AQ19)/(52*7),$U$7,$U$8,$AC$4:$AC$9)*$U$5</f>
        <v>#VALUE!</v>
      </c>
      <c r="AZ19" s="87" t="e">
        <f ca="1">BarriarOptionPrice($U$9,$U$6,AB19,($AQ$67-$AQ19)/(52*7),$U$7,$U$8,$AC$4:$AC$9)*$U$5</f>
        <v>#VALUE!</v>
      </c>
      <c r="BA19" s="44" t="e">
        <f ca="1">BarriarOptionPrice($U$9,$U$6,AC19,($AQ$67-$AQ19)/(52*7),$U$7,$U$8,$AC$4:$AC$9)*$U$5</f>
        <v>#VALUE!</v>
      </c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</row>
    <row r="20" spans="2:77" x14ac:dyDescent="0.15">
      <c r="B20" s="16">
        <v>39955</v>
      </c>
      <c r="C20" s="29">
        <f t="array" ref="C20">SUMPRODUCT('ファンドデータ(変更不要)'!K20:P20,TRANSPOSE(戦略の決定!$D$13:$D$18))</f>
        <v>-5.7473970363386123E-3</v>
      </c>
      <c r="D20" s="29">
        <f t="array" ref="D20">SUMPRODUCT('ファンドデータ(変更不要)'!K20:P20,TRANSPOSE(戦略の決定!$E$13:$E$18))</f>
        <v>-7.355678604197011E-3</v>
      </c>
      <c r="E20" s="29">
        <f t="array" ref="E20">SUMPRODUCT('ファンドデータ(変更不要)'!K20:P20,TRANSPOSE(戦略の決定!$F$13:$F$18))</f>
        <v>-7.355678604197011E-3</v>
      </c>
      <c r="F20" s="183">
        <f t="shared" si="0"/>
        <v>1.0541804604067033</v>
      </c>
      <c r="G20" s="183">
        <f t="shared" si="1"/>
        <v>1.0446939250707674</v>
      </c>
      <c r="H20" s="75">
        <f t="shared" si="2"/>
        <v>1.0446939250707674</v>
      </c>
      <c r="J20" s="46">
        <f t="shared" si="3"/>
        <v>43553</v>
      </c>
      <c r="K20" s="87">
        <f ca="1">IF(K19=0,0,BarriarOptionPrice(K$9,K$6,戦略の決定!$F$51*OFFSET($F$3,MATCH($J20,$B$4:$B$656,0),0)/OFFSET($F$3,MATCH($J$12,$B$4:$B$656,0),0),($J$64-$J20)/(52*7),K$7,K$8,戦略の決定!$D$13:$D$18)*K$5)</f>
        <v>0</v>
      </c>
      <c r="L20" s="87">
        <f ca="1">IF(L19=0,0,BarriarOptionPrice(L$9,L$6,戦略の決定!$F$51*OFFSET($F$3,MATCH($J20,$B$4:$B$656,0),0)/OFFSET($F$3,MATCH($J$12,$B$4:$B$656,0),0),($J$64-$J20)/(52*7),L$7,L$8,戦略の決定!$D$13:$D$18)*L$5)</f>
        <v>0</v>
      </c>
      <c r="M20" s="87">
        <f ca="1">IF(M19=0,0,BarriarOptionPrice(M$9,M$6,戦略の決定!$F$52*OFFSET($G$3,MATCH($J20,$B$4:$B$656,0),0)/OFFSET($G$3,MATCH($J$12,$B$4:$B$656,0),0),($J$64-$J20)/(52*7),M$7,M$8,戦略の決定!$E$13:$E$18)*M$5)</f>
        <v>76.942363481001848</v>
      </c>
      <c r="N20" s="87">
        <f ca="1">IF(N19=0,0,BarriarOptionPrice(N$9,N$6,戦略の決定!$F$52*OFFSET($G$3,MATCH($J20,$B$4:$B$656,0),0)/OFFSET($G$3,MATCH($J$12,$B$4:$B$656,0),0),($J$64-$J20)/(52*7),N$7,N$8,戦略の決定!$E$13:$E$18)*N$5)</f>
        <v>0</v>
      </c>
      <c r="O20" s="87">
        <f ca="1">IF(O19=0,0,BarriarOptionPrice(O$9,O$6,戦略の決定!$F$53*OFFSET($H$3,MATCH($J20,$B$4:$B$656,0),0)/OFFSET($H$3,MATCH($J$12,$B$4:$B$656,0),0),($J$64-$J20)/(52*7),O$7,O$8,戦略の決定!$F$13:$F$18)*O$5)</f>
        <v>0</v>
      </c>
      <c r="P20" s="44">
        <f ca="1">IF(P19=0,0,BarriarOptionPrice(P$9,P$6,戦略の決定!$F$53*OFFSET($H$3,MATCH($J20,$B$4:$B$656,0),0)/OFFSET($H$3,MATCH($J$12,$B$4:$B$656,0),0),($J$64-$J20)/(52*7),P$7,P$8,戦略の決定!$F$13:$F$18)*P$5)</f>
        <v>0</v>
      </c>
      <c r="S20" s="57">
        <f t="shared" si="4"/>
        <v>35</v>
      </c>
      <c r="T20" s="87" t="e">
        <f ca="1">戦略の決定!$R$10*OFFSET($E$3,MATCH(T$11+$S20,$B$4:$B$656,0),$Z$3)/OFFSET($E$3,MATCH(T$11,$B$4:$B$656,0),$Z$3)</f>
        <v>#VALUE!</v>
      </c>
      <c r="U20" s="87" t="e">
        <f ca="1">戦略の決定!$R$10*OFFSET($E$3,MATCH(U$11+$S20,$B$4:$B$656,0),$Z$3)/OFFSET($E$3,MATCH(U$11,$B$4:$B$656,0),$Z$3)</f>
        <v>#VALUE!</v>
      </c>
      <c r="V20" s="87" t="e">
        <f ca="1">戦略の決定!$R$10*OFFSET($E$3,MATCH(V$11+$S20,$B$4:$B$656,0),$Z$3)/OFFSET($E$3,MATCH(V$11,$B$4:$B$656,0),$Z$3)</f>
        <v>#VALUE!</v>
      </c>
      <c r="W20" s="87" t="e">
        <f ca="1">戦略の決定!$R$10*OFFSET($E$3,MATCH(W$11+$S20,$B$4:$B$656,0),$Z$3)/OFFSET($E$3,MATCH(W$11,$B$4:$B$656,0),$Z$3)</f>
        <v>#VALUE!</v>
      </c>
      <c r="X20" s="87" t="e">
        <f ca="1">戦略の決定!$R$10*OFFSET($E$3,MATCH(X$11+$S20,$B$4:$B$656,0),$Z$3)/OFFSET($E$3,MATCH(X$11,$B$4:$B$656,0),$Z$3)</f>
        <v>#VALUE!</v>
      </c>
      <c r="Y20" s="87" t="e">
        <f ca="1">戦略の決定!$R$10*OFFSET($E$3,MATCH(Y$11+$S20,$B$4:$B$656,0),$Z$3)/OFFSET($E$3,MATCH(Y$11,$B$4:$B$656,0),$Z$3)</f>
        <v>#VALUE!</v>
      </c>
      <c r="Z20" s="87" t="e">
        <f ca="1">戦略の決定!$R$10*OFFSET($E$3,MATCH(Z$11+$S20,$B$4:$B$656,0),$Z$3)/OFFSET($E$3,MATCH(Z$11,$B$4:$B$656,0),$Z$3)</f>
        <v>#VALUE!</v>
      </c>
      <c r="AA20" s="87" t="e">
        <f ca="1">戦略の決定!$R$10*OFFSET($E$3,MATCH(AA$11+$S20,$B$4:$B$656,0),$Z$3)/OFFSET($E$3,MATCH(AA$11,$B$4:$B$656,0),$Z$3)</f>
        <v>#VALUE!</v>
      </c>
      <c r="AB20" s="87" t="e">
        <f ca="1">戦略の決定!$R$10*OFFSET($E$3,MATCH(AB$11+$S20,$B$4:$B$656,0),$Z$3)/OFFSET($E$3,MATCH(AB$11,$B$4:$B$656,0),$Z$3)</f>
        <v>#VALUE!</v>
      </c>
      <c r="AC20" s="44" t="e">
        <f ca="1">戦略の決定!$R$10*OFFSET($E$3,MATCH(AC$11+$S20,$B$4:$B$656,0),$Z$3)/OFFSET($E$3,MATCH(AC$11,$B$4:$B$656,0),$Z$3)</f>
        <v>#VALUE!</v>
      </c>
      <c r="AE20" s="57">
        <f t="shared" si="5"/>
        <v>35</v>
      </c>
      <c r="AF20" s="87" t="e">
        <f ca="1">BarriarOptionPrice($T$9,$T$6,T20,($AE$67-$AE20)/(52*7),$T$7,$T$8,$AC$4:$AC$9)*$T$5</f>
        <v>#VALUE!</v>
      </c>
      <c r="AG20" s="87" t="e">
        <f ca="1">BarriarOptionPrice($T$9,$T$6,U20,($AE$67-$AE20)/(52*7),$T$7,$T$8,$AC$4:$AC$9)*$T$5</f>
        <v>#VALUE!</v>
      </c>
      <c r="AH20" s="87" t="e">
        <f ca="1">BarriarOptionPrice($T$9,$T$6,V20,($AE$67-$AE20)/(52*7),$T$7,$T$8,$AC$4:$AC$9)*$T$5</f>
        <v>#VALUE!</v>
      </c>
      <c r="AI20" s="87" t="e">
        <f ca="1">BarriarOptionPrice($T$9,$T$6,W20,($AE$67-$AE20)/(52*7),$T$7,$T$8,$AC$4:$AC$9)*$T$5</f>
        <v>#VALUE!</v>
      </c>
      <c r="AJ20" s="87" t="e">
        <f ca="1">BarriarOptionPrice($T$9,$T$6,X20,($AE$67-$AE20)/(52*7),$T$7,$T$8,$AC$4:$AC$9)*$T$5</f>
        <v>#VALUE!</v>
      </c>
      <c r="AK20" s="87" t="e">
        <f ca="1">BarriarOptionPrice($T$9,$T$6,Y20,($AE$67-$AE20)/(52*7),$T$7,$T$8,$AC$4:$AC$9)*$T$5</f>
        <v>#VALUE!</v>
      </c>
      <c r="AL20" s="87" t="e">
        <f ca="1">BarriarOptionPrice($T$9,$T$6,Z20,($AE$67-$AE20)/(52*7),$T$7,$T$8,$AC$4:$AC$9)*$T$5</f>
        <v>#VALUE!</v>
      </c>
      <c r="AM20" s="87" t="e">
        <f ca="1">BarriarOptionPrice($T$9,$T$6,AA20,($AE$67-$AE20)/(52*7),$T$7,$T$8,$AC$4:$AC$9)*$T$5</f>
        <v>#VALUE!</v>
      </c>
      <c r="AN20" s="87" t="e">
        <f ca="1">BarriarOptionPrice($T$9,$T$6,AB20,($AE$67-$AE20)/(52*7),$T$7,$T$8,$AC$4:$AC$9)*$T$5</f>
        <v>#VALUE!</v>
      </c>
      <c r="AO20" s="44" t="e">
        <f ca="1">BarriarOptionPrice($T$9,$T$6,AC20,($AE$67-$AE20)/(52*7),$T$7,$T$8,$AC$4:$AC$9)*$T$5</f>
        <v>#VALUE!</v>
      </c>
      <c r="AQ20" s="57">
        <f t="shared" si="6"/>
        <v>35</v>
      </c>
      <c r="AR20" s="87" t="e">
        <f ca="1">BarriarOptionPrice($U$9,$U$6,T20,($AQ$67-$AQ20)/(52*7),$U$7,$U$8,$AC$4:$AC$9)*$U$5</f>
        <v>#VALUE!</v>
      </c>
      <c r="AS20" s="87" t="e">
        <f ca="1">BarriarOptionPrice($U$9,$U$6,U20,($AQ$67-$AQ20)/(52*7),$U$7,$U$8,$AC$4:$AC$9)*$U$5</f>
        <v>#VALUE!</v>
      </c>
      <c r="AT20" s="87" t="e">
        <f ca="1">BarriarOptionPrice($U$9,$U$6,V20,($AQ$67-$AQ20)/(52*7),$U$7,$U$8,$AC$4:$AC$9)*$U$5</f>
        <v>#VALUE!</v>
      </c>
      <c r="AU20" s="87" t="e">
        <f ca="1">BarriarOptionPrice($U$9,$U$6,W20,($AQ$67-$AQ20)/(52*7),$U$7,$U$8,$AC$4:$AC$9)*$U$5</f>
        <v>#VALUE!</v>
      </c>
      <c r="AV20" s="87" t="e">
        <f ca="1">BarriarOptionPrice($U$9,$U$6,X20,($AQ$67-$AQ20)/(52*7),$U$7,$U$8,$AC$4:$AC$9)*$U$5</f>
        <v>#VALUE!</v>
      </c>
      <c r="AW20" s="87" t="e">
        <f ca="1">BarriarOptionPrice($U$9,$U$6,Y20,($AQ$67-$AQ20)/(52*7),$U$7,$U$8,$AC$4:$AC$9)*$U$5</f>
        <v>#VALUE!</v>
      </c>
      <c r="AX20" s="87" t="e">
        <f ca="1">BarriarOptionPrice($U$9,$U$6,Z20,($AQ$67-$AQ20)/(52*7),$U$7,$U$8,$AC$4:$AC$9)*$U$5</f>
        <v>#VALUE!</v>
      </c>
      <c r="AY20" s="87" t="e">
        <f ca="1">BarriarOptionPrice($U$9,$U$6,AA20,($AQ$67-$AQ20)/(52*7),$U$7,$U$8,$AC$4:$AC$9)*$U$5</f>
        <v>#VALUE!</v>
      </c>
      <c r="AZ20" s="87" t="e">
        <f ca="1">BarriarOptionPrice($U$9,$U$6,AB20,($AQ$67-$AQ20)/(52*7),$U$7,$U$8,$AC$4:$AC$9)*$U$5</f>
        <v>#VALUE!</v>
      </c>
      <c r="BA20" s="44" t="e">
        <f ca="1">BarriarOptionPrice($U$9,$U$6,AC20,($AQ$67-$AQ20)/(52*7),$U$7,$U$8,$AC$4:$AC$9)*$U$5</f>
        <v>#VALUE!</v>
      </c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</row>
    <row r="21" spans="2:77" x14ac:dyDescent="0.15">
      <c r="B21" s="16">
        <v>39962</v>
      </c>
      <c r="C21" s="29">
        <f t="array" ref="C21">SUMPRODUCT('ファンドデータ(変更不要)'!K21:P21,TRANSPOSE(戦略の決定!$D$13:$D$18))</f>
        <v>2.4823971735400078E-2</v>
      </c>
      <c r="D21" s="29">
        <f t="array" ref="D21">SUMPRODUCT('ファンドデータ(変更不要)'!K21:P21,TRANSPOSE(戦略の決定!$E$13:$E$18))</f>
        <v>3.7782628630596407E-2</v>
      </c>
      <c r="E21" s="29">
        <f t="array" ref="E21">SUMPRODUCT('ファンドデータ(変更不要)'!K21:P21,TRANSPOSE(戦略の決定!$F$13:$F$18))</f>
        <v>3.7782628630596407E-2</v>
      </c>
      <c r="F21" s="183">
        <f t="shared" si="0"/>
        <v>1.0803494063598504</v>
      </c>
      <c r="G21" s="183">
        <f t="shared" si="1"/>
        <v>1.0841652076743564</v>
      </c>
      <c r="H21" s="75">
        <f t="shared" si="2"/>
        <v>1.0841652076743564</v>
      </c>
      <c r="J21" s="46">
        <f t="shared" si="3"/>
        <v>43560</v>
      </c>
      <c r="K21" s="87">
        <f ca="1">IF(K20=0,0,BarriarOptionPrice(K$9,K$6,戦略の決定!$F$51*OFFSET($F$3,MATCH($J21,$B$4:$B$656,0),0)/OFFSET($F$3,MATCH($J$12,$B$4:$B$656,0),0),($J$64-$J21)/(52*7),K$7,K$8,戦略の決定!$D$13:$D$18)*K$5)</f>
        <v>0</v>
      </c>
      <c r="L21" s="87">
        <f ca="1">IF(L20=0,0,BarriarOptionPrice(L$9,L$6,戦略の決定!$F$51*OFFSET($F$3,MATCH($J21,$B$4:$B$656,0),0)/OFFSET($F$3,MATCH($J$12,$B$4:$B$656,0),0),($J$64-$J21)/(52*7),L$7,L$8,戦略の決定!$D$13:$D$18)*L$5)</f>
        <v>0</v>
      </c>
      <c r="M21" s="87">
        <f ca="1">IF(M20=0,0,BarriarOptionPrice(M$9,M$6,戦略の決定!$F$52*OFFSET($G$3,MATCH($J21,$B$4:$B$656,0),0)/OFFSET($G$3,MATCH($J$12,$B$4:$B$656,0),0),($J$64-$J21)/(52*7),M$7,M$8,戦略の決定!$E$13:$E$18)*M$5)</f>
        <v>77.053842834370926</v>
      </c>
      <c r="N21" s="87">
        <f ca="1">IF(N20=0,0,BarriarOptionPrice(N$9,N$6,戦略の決定!$F$52*OFFSET($G$3,MATCH($J21,$B$4:$B$656,0),0)/OFFSET($G$3,MATCH($J$12,$B$4:$B$656,0),0),($J$64-$J21)/(52*7),N$7,N$8,戦略の決定!$E$13:$E$18)*N$5)</f>
        <v>0</v>
      </c>
      <c r="O21" s="87">
        <f ca="1">IF(O20=0,0,BarriarOptionPrice(O$9,O$6,戦略の決定!$F$53*OFFSET($H$3,MATCH($J21,$B$4:$B$656,0),0)/OFFSET($H$3,MATCH($J$12,$B$4:$B$656,0),0),($J$64-$J21)/(52*7),O$7,O$8,戦略の決定!$F$13:$F$18)*O$5)</f>
        <v>0</v>
      </c>
      <c r="P21" s="44">
        <f ca="1">IF(P20=0,0,BarriarOptionPrice(P$9,P$6,戦略の決定!$F$53*OFFSET($H$3,MATCH($J21,$B$4:$B$656,0),0)/OFFSET($H$3,MATCH($J$12,$B$4:$B$656,0),0),($J$64-$J21)/(52*7),P$7,P$8,戦略の決定!$F$13:$F$18)*P$5)</f>
        <v>0</v>
      </c>
      <c r="S21" s="57">
        <f t="shared" si="4"/>
        <v>42</v>
      </c>
      <c r="T21" s="87" t="e">
        <f ca="1">戦略の決定!$R$10*OFFSET($E$3,MATCH(T$11+$S21,$B$4:$B$656,0),$Z$3)/OFFSET($E$3,MATCH(T$11,$B$4:$B$656,0),$Z$3)</f>
        <v>#VALUE!</v>
      </c>
      <c r="U21" s="87" t="e">
        <f ca="1">戦略の決定!$R$10*OFFSET($E$3,MATCH(U$11+$S21,$B$4:$B$656,0),$Z$3)/OFFSET($E$3,MATCH(U$11,$B$4:$B$656,0),$Z$3)</f>
        <v>#VALUE!</v>
      </c>
      <c r="V21" s="87" t="e">
        <f ca="1">戦略の決定!$R$10*OFFSET($E$3,MATCH(V$11+$S21,$B$4:$B$656,0),$Z$3)/OFFSET($E$3,MATCH(V$11,$B$4:$B$656,0),$Z$3)</f>
        <v>#VALUE!</v>
      </c>
      <c r="W21" s="87" t="e">
        <f ca="1">戦略の決定!$R$10*OFFSET($E$3,MATCH(W$11+$S21,$B$4:$B$656,0),$Z$3)/OFFSET($E$3,MATCH(W$11,$B$4:$B$656,0),$Z$3)</f>
        <v>#VALUE!</v>
      </c>
      <c r="X21" s="87" t="e">
        <f ca="1">戦略の決定!$R$10*OFFSET($E$3,MATCH(X$11+$S21,$B$4:$B$656,0),$Z$3)/OFFSET($E$3,MATCH(X$11,$B$4:$B$656,0),$Z$3)</f>
        <v>#VALUE!</v>
      </c>
      <c r="Y21" s="87" t="e">
        <f ca="1">戦略の決定!$R$10*OFFSET($E$3,MATCH(Y$11+$S21,$B$4:$B$656,0),$Z$3)/OFFSET($E$3,MATCH(Y$11,$B$4:$B$656,0),$Z$3)</f>
        <v>#VALUE!</v>
      </c>
      <c r="Z21" s="87" t="e">
        <f ca="1">戦略の決定!$R$10*OFFSET($E$3,MATCH(Z$11+$S21,$B$4:$B$656,0),$Z$3)/OFFSET($E$3,MATCH(Z$11,$B$4:$B$656,0),$Z$3)</f>
        <v>#VALUE!</v>
      </c>
      <c r="AA21" s="87" t="e">
        <f ca="1">戦略の決定!$R$10*OFFSET($E$3,MATCH(AA$11+$S21,$B$4:$B$656,0),$Z$3)/OFFSET($E$3,MATCH(AA$11,$B$4:$B$656,0),$Z$3)</f>
        <v>#VALUE!</v>
      </c>
      <c r="AB21" s="87" t="e">
        <f ca="1">戦略の決定!$R$10*OFFSET($E$3,MATCH(AB$11+$S21,$B$4:$B$656,0),$Z$3)/OFFSET($E$3,MATCH(AB$11,$B$4:$B$656,0),$Z$3)</f>
        <v>#VALUE!</v>
      </c>
      <c r="AC21" s="44" t="e">
        <f ca="1">戦略の決定!$R$10*OFFSET($E$3,MATCH(AC$11+$S21,$B$4:$B$656,0),$Z$3)/OFFSET($E$3,MATCH(AC$11,$B$4:$B$656,0),$Z$3)</f>
        <v>#VALUE!</v>
      </c>
      <c r="AE21" s="57">
        <f t="shared" si="5"/>
        <v>42</v>
      </c>
      <c r="AF21" s="87" t="e">
        <f ca="1">BarriarOptionPrice($T$9,$T$6,T21,($AE$67-$AE21)/(52*7),$T$7,$T$8,$AC$4:$AC$9)*$T$5</f>
        <v>#VALUE!</v>
      </c>
      <c r="AG21" s="87" t="e">
        <f ca="1">BarriarOptionPrice($T$9,$T$6,U21,($AE$67-$AE21)/(52*7),$T$7,$T$8,$AC$4:$AC$9)*$T$5</f>
        <v>#VALUE!</v>
      </c>
      <c r="AH21" s="87" t="e">
        <f ca="1">BarriarOptionPrice($T$9,$T$6,V21,($AE$67-$AE21)/(52*7),$T$7,$T$8,$AC$4:$AC$9)*$T$5</f>
        <v>#VALUE!</v>
      </c>
      <c r="AI21" s="87" t="e">
        <f ca="1">BarriarOptionPrice($T$9,$T$6,W21,($AE$67-$AE21)/(52*7),$T$7,$T$8,$AC$4:$AC$9)*$T$5</f>
        <v>#VALUE!</v>
      </c>
      <c r="AJ21" s="87" t="e">
        <f ca="1">BarriarOptionPrice($T$9,$T$6,X21,($AE$67-$AE21)/(52*7),$T$7,$T$8,$AC$4:$AC$9)*$T$5</f>
        <v>#VALUE!</v>
      </c>
      <c r="AK21" s="87" t="e">
        <f ca="1">BarriarOptionPrice($T$9,$T$6,Y21,($AE$67-$AE21)/(52*7),$T$7,$T$8,$AC$4:$AC$9)*$T$5</f>
        <v>#VALUE!</v>
      </c>
      <c r="AL21" s="87" t="e">
        <f ca="1">BarriarOptionPrice($T$9,$T$6,Z21,($AE$67-$AE21)/(52*7),$T$7,$T$8,$AC$4:$AC$9)*$T$5</f>
        <v>#VALUE!</v>
      </c>
      <c r="AM21" s="87" t="e">
        <f ca="1">BarriarOptionPrice($T$9,$T$6,AA21,($AE$67-$AE21)/(52*7),$T$7,$T$8,$AC$4:$AC$9)*$T$5</f>
        <v>#VALUE!</v>
      </c>
      <c r="AN21" s="87" t="e">
        <f ca="1">BarriarOptionPrice($T$9,$T$6,AB21,($AE$67-$AE21)/(52*7),$T$7,$T$8,$AC$4:$AC$9)*$T$5</f>
        <v>#VALUE!</v>
      </c>
      <c r="AO21" s="44" t="e">
        <f ca="1">BarriarOptionPrice($T$9,$T$6,AC21,($AE$67-$AE21)/(52*7),$T$7,$T$8,$AC$4:$AC$9)*$T$5</f>
        <v>#VALUE!</v>
      </c>
      <c r="AQ21" s="57">
        <f t="shared" si="6"/>
        <v>42</v>
      </c>
      <c r="AR21" s="87" t="e">
        <f ca="1">BarriarOptionPrice($U$9,$U$6,T21,($AQ$67-$AQ21)/(52*7),$U$7,$U$8,$AC$4:$AC$9)*$U$5</f>
        <v>#VALUE!</v>
      </c>
      <c r="AS21" s="87" t="e">
        <f ca="1">BarriarOptionPrice($U$9,$U$6,U21,($AQ$67-$AQ21)/(52*7),$U$7,$U$8,$AC$4:$AC$9)*$U$5</f>
        <v>#VALUE!</v>
      </c>
      <c r="AT21" s="87" t="e">
        <f ca="1">BarriarOptionPrice($U$9,$U$6,V21,($AQ$67-$AQ21)/(52*7),$U$7,$U$8,$AC$4:$AC$9)*$U$5</f>
        <v>#VALUE!</v>
      </c>
      <c r="AU21" s="87" t="e">
        <f ca="1">BarriarOptionPrice($U$9,$U$6,W21,($AQ$67-$AQ21)/(52*7),$U$7,$U$8,$AC$4:$AC$9)*$U$5</f>
        <v>#VALUE!</v>
      </c>
      <c r="AV21" s="87" t="e">
        <f ca="1">BarriarOptionPrice($U$9,$U$6,X21,($AQ$67-$AQ21)/(52*7),$U$7,$U$8,$AC$4:$AC$9)*$U$5</f>
        <v>#VALUE!</v>
      </c>
      <c r="AW21" s="87" t="e">
        <f ca="1">BarriarOptionPrice($U$9,$U$6,Y21,($AQ$67-$AQ21)/(52*7),$U$7,$U$8,$AC$4:$AC$9)*$U$5</f>
        <v>#VALUE!</v>
      </c>
      <c r="AX21" s="87" t="e">
        <f ca="1">BarriarOptionPrice($U$9,$U$6,Z21,($AQ$67-$AQ21)/(52*7),$U$7,$U$8,$AC$4:$AC$9)*$U$5</f>
        <v>#VALUE!</v>
      </c>
      <c r="AY21" s="87" t="e">
        <f ca="1">BarriarOptionPrice($U$9,$U$6,AA21,($AQ$67-$AQ21)/(52*7),$U$7,$U$8,$AC$4:$AC$9)*$U$5</f>
        <v>#VALUE!</v>
      </c>
      <c r="AZ21" s="87" t="e">
        <f ca="1">BarriarOptionPrice($U$9,$U$6,AB21,($AQ$67-$AQ21)/(52*7),$U$7,$U$8,$AC$4:$AC$9)*$U$5</f>
        <v>#VALUE!</v>
      </c>
      <c r="BA21" s="44" t="e">
        <f ca="1">BarriarOptionPrice($U$9,$U$6,AC21,($AQ$67-$AQ21)/(52*7),$U$7,$U$8,$AC$4:$AC$9)*$U$5</f>
        <v>#VALUE!</v>
      </c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</row>
    <row r="22" spans="2:77" x14ac:dyDescent="0.15">
      <c r="B22" s="16">
        <v>39969</v>
      </c>
      <c r="C22" s="29">
        <f t="array" ref="C22">SUMPRODUCT('ファンドデータ(変更不要)'!K22:P22,TRANSPOSE(戦略の決定!$D$13:$D$18))</f>
        <v>1.3024601342813731E-2</v>
      </c>
      <c r="D22" s="29">
        <f t="array" ref="D22">SUMPRODUCT('ファンドデータ(変更不要)'!K22:P22,TRANSPOSE(戦略の決定!$E$13:$E$18))</f>
        <v>1.6987213509743922E-2</v>
      </c>
      <c r="E22" s="29">
        <f t="array" ref="E22">SUMPRODUCT('ファンドデータ(変更不要)'!K22:P22,TRANSPOSE(戦略の決定!$F$13:$F$18))</f>
        <v>1.6987213509743922E-2</v>
      </c>
      <c r="F22" s="183">
        <f t="shared" si="0"/>
        <v>1.0944205266886329</v>
      </c>
      <c r="G22" s="183">
        <f t="shared" si="1"/>
        <v>1.1025821535369567</v>
      </c>
      <c r="H22" s="75">
        <f t="shared" si="2"/>
        <v>1.1025821535369567</v>
      </c>
      <c r="J22" s="46">
        <f t="shared" si="3"/>
        <v>43567</v>
      </c>
      <c r="K22" s="87">
        <f ca="1">IF(K21=0,0,BarriarOptionPrice(K$9,K$6,戦略の決定!$F$51*OFFSET($F$3,MATCH($J22,$B$4:$B$656,0),0)/OFFSET($F$3,MATCH($J$12,$B$4:$B$656,0),0),($J$64-$J22)/(52*7),K$7,K$8,戦略の決定!$D$13:$D$18)*K$5)</f>
        <v>0</v>
      </c>
      <c r="L22" s="87">
        <f ca="1">IF(L21=0,0,BarriarOptionPrice(L$9,L$6,戦略の決定!$F$51*OFFSET($F$3,MATCH($J22,$B$4:$B$656,0),0)/OFFSET($F$3,MATCH($J$12,$B$4:$B$656,0),0),($J$64-$J22)/(52*7),L$7,L$8,戦略の決定!$D$13:$D$18)*L$5)</f>
        <v>0</v>
      </c>
      <c r="M22" s="87">
        <f ca="1">IF(M21=0,0,BarriarOptionPrice(M$9,M$6,戦略の決定!$F$52*OFFSET($G$3,MATCH($J22,$B$4:$B$656,0),0)/OFFSET($G$3,MATCH($J$12,$B$4:$B$656,0),0),($J$64-$J22)/(52*7),M$7,M$8,戦略の決定!$E$13:$E$18)*M$5)</f>
        <v>76.369683357752251</v>
      </c>
      <c r="N22" s="87">
        <f ca="1">IF(N21=0,0,BarriarOptionPrice(N$9,N$6,戦略の決定!$F$52*OFFSET($G$3,MATCH($J22,$B$4:$B$656,0),0)/OFFSET($G$3,MATCH($J$12,$B$4:$B$656,0),0),($J$64-$J22)/(52*7),N$7,N$8,戦略の決定!$E$13:$E$18)*N$5)</f>
        <v>0</v>
      </c>
      <c r="O22" s="87">
        <f ca="1">IF(O21=0,0,BarriarOptionPrice(O$9,O$6,戦略の決定!$F$53*OFFSET($H$3,MATCH($J22,$B$4:$B$656,0),0)/OFFSET($H$3,MATCH($J$12,$B$4:$B$656,0),0),($J$64-$J22)/(52*7),O$7,O$8,戦略の決定!$F$13:$F$18)*O$5)</f>
        <v>0</v>
      </c>
      <c r="P22" s="44">
        <f ca="1">IF(P21=0,0,BarriarOptionPrice(P$9,P$6,戦略の決定!$F$53*OFFSET($H$3,MATCH($J22,$B$4:$B$656,0),0)/OFFSET($H$3,MATCH($J$12,$B$4:$B$656,0),0),($J$64-$J22)/(52*7),P$7,P$8,戦略の決定!$F$13:$F$18)*P$5)</f>
        <v>0</v>
      </c>
      <c r="S22" s="57">
        <f t="shared" si="4"/>
        <v>49</v>
      </c>
      <c r="T22" s="87" t="e">
        <f ca="1">戦略の決定!$R$10*OFFSET($E$3,MATCH(T$11+$S22,$B$4:$B$656,0),$Z$3)/OFFSET($E$3,MATCH(T$11,$B$4:$B$656,0),$Z$3)</f>
        <v>#VALUE!</v>
      </c>
      <c r="U22" s="87" t="e">
        <f ca="1">戦略の決定!$R$10*OFFSET($E$3,MATCH(U$11+$S22,$B$4:$B$656,0),$Z$3)/OFFSET($E$3,MATCH(U$11,$B$4:$B$656,0),$Z$3)</f>
        <v>#VALUE!</v>
      </c>
      <c r="V22" s="87" t="e">
        <f ca="1">戦略の決定!$R$10*OFFSET($E$3,MATCH(V$11+$S22,$B$4:$B$656,0),$Z$3)/OFFSET($E$3,MATCH(V$11,$B$4:$B$656,0),$Z$3)</f>
        <v>#VALUE!</v>
      </c>
      <c r="W22" s="87" t="e">
        <f ca="1">戦略の決定!$R$10*OFFSET($E$3,MATCH(W$11+$S22,$B$4:$B$656,0),$Z$3)/OFFSET($E$3,MATCH(W$11,$B$4:$B$656,0),$Z$3)</f>
        <v>#VALUE!</v>
      </c>
      <c r="X22" s="87" t="e">
        <f ca="1">戦略の決定!$R$10*OFFSET($E$3,MATCH(X$11+$S22,$B$4:$B$656,0),$Z$3)/OFFSET($E$3,MATCH(X$11,$B$4:$B$656,0),$Z$3)</f>
        <v>#VALUE!</v>
      </c>
      <c r="Y22" s="87" t="e">
        <f ca="1">戦略の決定!$R$10*OFFSET($E$3,MATCH(Y$11+$S22,$B$4:$B$656,0),$Z$3)/OFFSET($E$3,MATCH(Y$11,$B$4:$B$656,0),$Z$3)</f>
        <v>#VALUE!</v>
      </c>
      <c r="Z22" s="87" t="e">
        <f ca="1">戦略の決定!$R$10*OFFSET($E$3,MATCH(Z$11+$S22,$B$4:$B$656,0),$Z$3)/OFFSET($E$3,MATCH(Z$11,$B$4:$B$656,0),$Z$3)</f>
        <v>#VALUE!</v>
      </c>
      <c r="AA22" s="87" t="e">
        <f ca="1">戦略の決定!$R$10*OFFSET($E$3,MATCH(AA$11+$S22,$B$4:$B$656,0),$Z$3)/OFFSET($E$3,MATCH(AA$11,$B$4:$B$656,0),$Z$3)</f>
        <v>#VALUE!</v>
      </c>
      <c r="AB22" s="87" t="e">
        <f ca="1">戦略の決定!$R$10*OFFSET($E$3,MATCH(AB$11+$S22,$B$4:$B$656,0),$Z$3)/OFFSET($E$3,MATCH(AB$11,$B$4:$B$656,0),$Z$3)</f>
        <v>#VALUE!</v>
      </c>
      <c r="AC22" s="44" t="e">
        <f ca="1">戦略の決定!$R$10*OFFSET($E$3,MATCH(AC$11+$S22,$B$4:$B$656,0),$Z$3)/OFFSET($E$3,MATCH(AC$11,$B$4:$B$656,0),$Z$3)</f>
        <v>#VALUE!</v>
      </c>
      <c r="AE22" s="57">
        <f t="shared" si="5"/>
        <v>49</v>
      </c>
      <c r="AF22" s="87" t="e">
        <f ca="1">BarriarOptionPrice($T$9,$T$6,T22,($AE$67-$AE22)/(52*7),$T$7,$T$8,$AC$4:$AC$9)*$T$5</f>
        <v>#VALUE!</v>
      </c>
      <c r="AG22" s="87" t="e">
        <f ca="1">BarriarOptionPrice($T$9,$T$6,U22,($AE$67-$AE22)/(52*7),$T$7,$T$8,$AC$4:$AC$9)*$T$5</f>
        <v>#VALUE!</v>
      </c>
      <c r="AH22" s="87" t="e">
        <f ca="1">BarriarOptionPrice($T$9,$T$6,V22,($AE$67-$AE22)/(52*7),$T$7,$T$8,$AC$4:$AC$9)*$T$5</f>
        <v>#VALUE!</v>
      </c>
      <c r="AI22" s="87" t="e">
        <f ca="1">BarriarOptionPrice($T$9,$T$6,W22,($AE$67-$AE22)/(52*7),$T$7,$T$8,$AC$4:$AC$9)*$T$5</f>
        <v>#VALUE!</v>
      </c>
      <c r="AJ22" s="87" t="e">
        <f ca="1">BarriarOptionPrice($T$9,$T$6,X22,($AE$67-$AE22)/(52*7),$T$7,$T$8,$AC$4:$AC$9)*$T$5</f>
        <v>#VALUE!</v>
      </c>
      <c r="AK22" s="87" t="e">
        <f ca="1">BarriarOptionPrice($T$9,$T$6,Y22,($AE$67-$AE22)/(52*7),$T$7,$T$8,$AC$4:$AC$9)*$T$5</f>
        <v>#VALUE!</v>
      </c>
      <c r="AL22" s="87" t="e">
        <f ca="1">BarriarOptionPrice($T$9,$T$6,Z22,($AE$67-$AE22)/(52*7),$T$7,$T$8,$AC$4:$AC$9)*$T$5</f>
        <v>#VALUE!</v>
      </c>
      <c r="AM22" s="87" t="e">
        <f ca="1">BarriarOptionPrice($T$9,$T$6,AA22,($AE$67-$AE22)/(52*7),$T$7,$T$8,$AC$4:$AC$9)*$T$5</f>
        <v>#VALUE!</v>
      </c>
      <c r="AN22" s="87" t="e">
        <f ca="1">BarriarOptionPrice($T$9,$T$6,AB22,($AE$67-$AE22)/(52*7),$T$7,$T$8,$AC$4:$AC$9)*$T$5</f>
        <v>#VALUE!</v>
      </c>
      <c r="AO22" s="44" t="e">
        <f ca="1">BarriarOptionPrice($T$9,$T$6,AC22,($AE$67-$AE22)/(52*7),$T$7,$T$8,$AC$4:$AC$9)*$T$5</f>
        <v>#VALUE!</v>
      </c>
      <c r="AQ22" s="57">
        <f t="shared" si="6"/>
        <v>49</v>
      </c>
      <c r="AR22" s="87" t="e">
        <f ca="1">BarriarOptionPrice($U$9,$U$6,T22,($AQ$67-$AQ22)/(52*7),$U$7,$U$8,$AC$4:$AC$9)*$U$5</f>
        <v>#VALUE!</v>
      </c>
      <c r="AS22" s="87" t="e">
        <f ca="1">BarriarOptionPrice($U$9,$U$6,U22,($AQ$67-$AQ22)/(52*7),$U$7,$U$8,$AC$4:$AC$9)*$U$5</f>
        <v>#VALUE!</v>
      </c>
      <c r="AT22" s="87" t="e">
        <f ca="1">BarriarOptionPrice($U$9,$U$6,V22,($AQ$67-$AQ22)/(52*7),$U$7,$U$8,$AC$4:$AC$9)*$U$5</f>
        <v>#VALUE!</v>
      </c>
      <c r="AU22" s="87" t="e">
        <f ca="1">BarriarOptionPrice($U$9,$U$6,W22,($AQ$67-$AQ22)/(52*7),$U$7,$U$8,$AC$4:$AC$9)*$U$5</f>
        <v>#VALUE!</v>
      </c>
      <c r="AV22" s="87" t="e">
        <f ca="1">BarriarOptionPrice($U$9,$U$6,X22,($AQ$67-$AQ22)/(52*7),$U$7,$U$8,$AC$4:$AC$9)*$U$5</f>
        <v>#VALUE!</v>
      </c>
      <c r="AW22" s="87" t="e">
        <f ca="1">BarriarOptionPrice($U$9,$U$6,Y22,($AQ$67-$AQ22)/(52*7),$U$7,$U$8,$AC$4:$AC$9)*$U$5</f>
        <v>#VALUE!</v>
      </c>
      <c r="AX22" s="87" t="e">
        <f ca="1">BarriarOptionPrice($U$9,$U$6,Z22,($AQ$67-$AQ22)/(52*7),$U$7,$U$8,$AC$4:$AC$9)*$U$5</f>
        <v>#VALUE!</v>
      </c>
      <c r="AY22" s="87" t="e">
        <f ca="1">BarriarOptionPrice($U$9,$U$6,AA22,($AQ$67-$AQ22)/(52*7),$U$7,$U$8,$AC$4:$AC$9)*$U$5</f>
        <v>#VALUE!</v>
      </c>
      <c r="AZ22" s="87" t="e">
        <f ca="1">BarriarOptionPrice($U$9,$U$6,AB22,($AQ$67-$AQ22)/(52*7),$U$7,$U$8,$AC$4:$AC$9)*$U$5</f>
        <v>#VALUE!</v>
      </c>
      <c r="BA22" s="44" t="e">
        <f ca="1">BarriarOptionPrice($U$9,$U$6,AC22,($AQ$67-$AQ22)/(52*7),$U$7,$U$8,$AC$4:$AC$9)*$U$5</f>
        <v>#VALUE!</v>
      </c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</row>
    <row r="23" spans="2:77" x14ac:dyDescent="0.15">
      <c r="B23" s="16">
        <v>39976</v>
      </c>
      <c r="C23" s="29">
        <f t="array" ref="C23">SUMPRODUCT('ファンドデータ(変更不要)'!K23:P23,TRANSPOSE(戦略の決定!$D$13:$D$18))</f>
        <v>3.2450534307079146E-3</v>
      </c>
      <c r="D23" s="29">
        <f t="array" ref="D23">SUMPRODUCT('ファンドデータ(変更不要)'!K23:P23,TRANSPOSE(戦略の決定!$E$13:$E$18))</f>
        <v>2.0756125299317392E-5</v>
      </c>
      <c r="E23" s="29">
        <f t="array" ref="E23">SUMPRODUCT('ファンドデータ(変更不要)'!K23:P23,TRANSPOSE(戦略の決定!$F$13:$F$18))</f>
        <v>2.0756125299317392E-5</v>
      </c>
      <c r="F23" s="183">
        <f t="shared" si="0"/>
        <v>1.0979719797734011</v>
      </c>
      <c r="G23" s="183">
        <f t="shared" si="1"/>
        <v>1.1026050388702884</v>
      </c>
      <c r="H23" s="75">
        <f t="shared" si="2"/>
        <v>1.1026050388702884</v>
      </c>
      <c r="J23" s="46">
        <f t="shared" si="3"/>
        <v>43574</v>
      </c>
      <c r="K23" s="87">
        <f ca="1">IF(K22=0,0,BarriarOptionPrice(K$9,K$6,戦略の決定!$F$51*OFFSET($F$3,MATCH($J23,$B$4:$B$656,0),0)/OFFSET($F$3,MATCH($J$12,$B$4:$B$656,0),0),($J$64-$J23)/(52*7),K$7,K$8,戦略の決定!$D$13:$D$18)*K$5)</f>
        <v>0</v>
      </c>
      <c r="L23" s="87">
        <f ca="1">IF(L22=0,0,BarriarOptionPrice(L$9,L$6,戦略の決定!$F$51*OFFSET($F$3,MATCH($J23,$B$4:$B$656,0),0)/OFFSET($F$3,MATCH($J$12,$B$4:$B$656,0),0),($J$64-$J23)/(52*7),L$7,L$8,戦略の決定!$D$13:$D$18)*L$5)</f>
        <v>0</v>
      </c>
      <c r="M23" s="87">
        <f ca="1">IF(M22=0,0,BarriarOptionPrice(M$9,M$6,戦略の決定!$F$52*OFFSET($G$3,MATCH($J23,$B$4:$B$656,0),0)/OFFSET($G$3,MATCH($J$12,$B$4:$B$656,0),0),($J$64-$J23)/(52*7),M$7,M$8,戦略の決定!$E$13:$E$18)*M$5)</f>
        <v>75.267657779153296</v>
      </c>
      <c r="N23" s="87">
        <f ca="1">IF(N22=0,0,BarriarOptionPrice(N$9,N$6,戦略の決定!$F$52*OFFSET($G$3,MATCH($J23,$B$4:$B$656,0),0)/OFFSET($G$3,MATCH($J$12,$B$4:$B$656,0),0),($J$64-$J23)/(52*7),N$7,N$8,戦略の決定!$E$13:$E$18)*N$5)</f>
        <v>0</v>
      </c>
      <c r="O23" s="87">
        <f ca="1">IF(O22=0,0,BarriarOptionPrice(O$9,O$6,戦略の決定!$F$53*OFFSET($H$3,MATCH($J23,$B$4:$B$656,0),0)/OFFSET($H$3,MATCH($J$12,$B$4:$B$656,0),0),($J$64-$J23)/(52*7),O$7,O$8,戦略の決定!$F$13:$F$18)*O$5)</f>
        <v>0</v>
      </c>
      <c r="P23" s="44">
        <f ca="1">IF(P22=0,0,BarriarOptionPrice(P$9,P$6,戦略の決定!$F$53*OFFSET($H$3,MATCH($J23,$B$4:$B$656,0),0)/OFFSET($H$3,MATCH($J$12,$B$4:$B$656,0),0),($J$64-$J23)/(52*7),P$7,P$8,戦略の決定!$F$13:$F$18)*P$5)</f>
        <v>0</v>
      </c>
      <c r="S23" s="57">
        <f t="shared" si="4"/>
        <v>56</v>
      </c>
      <c r="T23" s="87" t="e">
        <f ca="1">戦略の決定!$R$10*OFFSET($E$3,MATCH(T$11+$S23,$B$4:$B$656,0),$Z$3)/OFFSET($E$3,MATCH(T$11,$B$4:$B$656,0),$Z$3)</f>
        <v>#VALUE!</v>
      </c>
      <c r="U23" s="87" t="e">
        <f ca="1">戦略の決定!$R$10*OFFSET($E$3,MATCH(U$11+$S23,$B$4:$B$656,0),$Z$3)/OFFSET($E$3,MATCH(U$11,$B$4:$B$656,0),$Z$3)</f>
        <v>#VALUE!</v>
      </c>
      <c r="V23" s="87" t="e">
        <f ca="1">戦略の決定!$R$10*OFFSET($E$3,MATCH(V$11+$S23,$B$4:$B$656,0),$Z$3)/OFFSET($E$3,MATCH(V$11,$B$4:$B$656,0),$Z$3)</f>
        <v>#VALUE!</v>
      </c>
      <c r="W23" s="87" t="e">
        <f ca="1">戦略の決定!$R$10*OFFSET($E$3,MATCH(W$11+$S23,$B$4:$B$656,0),$Z$3)/OFFSET($E$3,MATCH(W$11,$B$4:$B$656,0),$Z$3)</f>
        <v>#VALUE!</v>
      </c>
      <c r="X23" s="87" t="e">
        <f ca="1">戦略の決定!$R$10*OFFSET($E$3,MATCH(X$11+$S23,$B$4:$B$656,0),$Z$3)/OFFSET($E$3,MATCH(X$11,$B$4:$B$656,0),$Z$3)</f>
        <v>#VALUE!</v>
      </c>
      <c r="Y23" s="87" t="e">
        <f ca="1">戦略の決定!$R$10*OFFSET($E$3,MATCH(Y$11+$S23,$B$4:$B$656,0),$Z$3)/OFFSET($E$3,MATCH(Y$11,$B$4:$B$656,0),$Z$3)</f>
        <v>#VALUE!</v>
      </c>
      <c r="Z23" s="87" t="e">
        <f ca="1">戦略の決定!$R$10*OFFSET($E$3,MATCH(Z$11+$S23,$B$4:$B$656,0),$Z$3)/OFFSET($E$3,MATCH(Z$11,$B$4:$B$656,0),$Z$3)</f>
        <v>#VALUE!</v>
      </c>
      <c r="AA23" s="87" t="e">
        <f ca="1">戦略の決定!$R$10*OFFSET($E$3,MATCH(AA$11+$S23,$B$4:$B$656,0),$Z$3)/OFFSET($E$3,MATCH(AA$11,$B$4:$B$656,0),$Z$3)</f>
        <v>#VALUE!</v>
      </c>
      <c r="AB23" s="87" t="e">
        <f ca="1">戦略の決定!$R$10*OFFSET($E$3,MATCH(AB$11+$S23,$B$4:$B$656,0),$Z$3)/OFFSET($E$3,MATCH(AB$11,$B$4:$B$656,0),$Z$3)</f>
        <v>#VALUE!</v>
      </c>
      <c r="AC23" s="44" t="e">
        <f ca="1">戦略の決定!$R$10*OFFSET($E$3,MATCH(AC$11+$S23,$B$4:$B$656,0),$Z$3)/OFFSET($E$3,MATCH(AC$11,$B$4:$B$656,0),$Z$3)</f>
        <v>#VALUE!</v>
      </c>
      <c r="AE23" s="57">
        <f t="shared" si="5"/>
        <v>56</v>
      </c>
      <c r="AF23" s="87" t="e">
        <f ca="1">BarriarOptionPrice($T$9,$T$6,T23,($AE$67-$AE23)/(52*7),$T$7,$T$8,$AC$4:$AC$9)*$T$5</f>
        <v>#VALUE!</v>
      </c>
      <c r="AG23" s="87" t="e">
        <f ca="1">BarriarOptionPrice($T$9,$T$6,U23,($AE$67-$AE23)/(52*7),$T$7,$T$8,$AC$4:$AC$9)*$T$5</f>
        <v>#VALUE!</v>
      </c>
      <c r="AH23" s="87" t="e">
        <f ca="1">BarriarOptionPrice($T$9,$T$6,V23,($AE$67-$AE23)/(52*7),$T$7,$T$8,$AC$4:$AC$9)*$T$5</f>
        <v>#VALUE!</v>
      </c>
      <c r="AI23" s="87" t="e">
        <f ca="1">BarriarOptionPrice($T$9,$T$6,W23,($AE$67-$AE23)/(52*7),$T$7,$T$8,$AC$4:$AC$9)*$T$5</f>
        <v>#VALUE!</v>
      </c>
      <c r="AJ23" s="87" t="e">
        <f ca="1">BarriarOptionPrice($T$9,$T$6,X23,($AE$67-$AE23)/(52*7),$T$7,$T$8,$AC$4:$AC$9)*$T$5</f>
        <v>#VALUE!</v>
      </c>
      <c r="AK23" s="87" t="e">
        <f ca="1">BarriarOptionPrice($T$9,$T$6,Y23,($AE$67-$AE23)/(52*7),$T$7,$T$8,$AC$4:$AC$9)*$T$5</f>
        <v>#VALUE!</v>
      </c>
      <c r="AL23" s="87" t="e">
        <f ca="1">BarriarOptionPrice($T$9,$T$6,Z23,($AE$67-$AE23)/(52*7),$T$7,$T$8,$AC$4:$AC$9)*$T$5</f>
        <v>#VALUE!</v>
      </c>
      <c r="AM23" s="87" t="e">
        <f ca="1">BarriarOptionPrice($T$9,$T$6,AA23,($AE$67-$AE23)/(52*7),$T$7,$T$8,$AC$4:$AC$9)*$T$5</f>
        <v>#VALUE!</v>
      </c>
      <c r="AN23" s="87" t="e">
        <f ca="1">BarriarOptionPrice($T$9,$T$6,AB23,($AE$67-$AE23)/(52*7),$T$7,$T$8,$AC$4:$AC$9)*$T$5</f>
        <v>#VALUE!</v>
      </c>
      <c r="AO23" s="44" t="e">
        <f ca="1">BarriarOptionPrice($T$9,$T$6,AC23,($AE$67-$AE23)/(52*7),$T$7,$T$8,$AC$4:$AC$9)*$T$5</f>
        <v>#VALUE!</v>
      </c>
      <c r="AQ23" s="57">
        <f t="shared" si="6"/>
        <v>56</v>
      </c>
      <c r="AR23" s="87" t="e">
        <f ca="1">BarriarOptionPrice($U$9,$U$6,T23,($AQ$67-$AQ23)/(52*7),$U$7,$U$8,$AC$4:$AC$9)*$U$5</f>
        <v>#VALUE!</v>
      </c>
      <c r="AS23" s="87" t="e">
        <f ca="1">BarriarOptionPrice($U$9,$U$6,U23,($AQ$67-$AQ23)/(52*7),$U$7,$U$8,$AC$4:$AC$9)*$U$5</f>
        <v>#VALUE!</v>
      </c>
      <c r="AT23" s="87" t="e">
        <f ca="1">BarriarOptionPrice($U$9,$U$6,V23,($AQ$67-$AQ23)/(52*7),$U$7,$U$8,$AC$4:$AC$9)*$U$5</f>
        <v>#VALUE!</v>
      </c>
      <c r="AU23" s="87" t="e">
        <f ca="1">BarriarOptionPrice($U$9,$U$6,W23,($AQ$67-$AQ23)/(52*7),$U$7,$U$8,$AC$4:$AC$9)*$U$5</f>
        <v>#VALUE!</v>
      </c>
      <c r="AV23" s="87" t="e">
        <f ca="1">BarriarOptionPrice($U$9,$U$6,X23,($AQ$67-$AQ23)/(52*7),$U$7,$U$8,$AC$4:$AC$9)*$U$5</f>
        <v>#VALUE!</v>
      </c>
      <c r="AW23" s="87" t="e">
        <f ca="1">BarriarOptionPrice($U$9,$U$6,Y23,($AQ$67-$AQ23)/(52*7),$U$7,$U$8,$AC$4:$AC$9)*$U$5</f>
        <v>#VALUE!</v>
      </c>
      <c r="AX23" s="87" t="e">
        <f ca="1">BarriarOptionPrice($U$9,$U$6,Z23,($AQ$67-$AQ23)/(52*7),$U$7,$U$8,$AC$4:$AC$9)*$U$5</f>
        <v>#VALUE!</v>
      </c>
      <c r="AY23" s="87" t="e">
        <f ca="1">BarriarOptionPrice($U$9,$U$6,AA23,($AQ$67-$AQ23)/(52*7),$U$7,$U$8,$AC$4:$AC$9)*$U$5</f>
        <v>#VALUE!</v>
      </c>
      <c r="AZ23" s="87" t="e">
        <f ca="1">BarriarOptionPrice($U$9,$U$6,AB23,($AQ$67-$AQ23)/(52*7),$U$7,$U$8,$AC$4:$AC$9)*$U$5</f>
        <v>#VALUE!</v>
      </c>
      <c r="BA23" s="44" t="e">
        <f ca="1">BarriarOptionPrice($U$9,$U$6,AC23,($AQ$67-$AQ23)/(52*7),$U$7,$U$8,$AC$4:$AC$9)*$U$5</f>
        <v>#VALUE!</v>
      </c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</row>
    <row r="24" spans="2:77" x14ac:dyDescent="0.15">
      <c r="B24" s="16">
        <v>39983</v>
      </c>
      <c r="C24" s="29">
        <f t="array" ref="C24">SUMPRODUCT('ファンドデータ(変更不要)'!K24:P24,TRANSPOSE(戦略の決定!$D$13:$D$18))</f>
        <v>-6.3825766850355414E-3</v>
      </c>
      <c r="D24" s="29">
        <f t="array" ref="D24">SUMPRODUCT('ファンドデータ(変更不要)'!K24:P24,TRANSPOSE(戦略の決定!$E$13:$E$18))</f>
        <v>-4.9007933335263069E-3</v>
      </c>
      <c r="E24" s="29">
        <f t="array" ref="E24">SUMPRODUCT('ファンドデータ(変更不要)'!K24:P24,TRANSPOSE(戦略の決定!$F$13:$F$18))</f>
        <v>-4.9007933335263069E-3</v>
      </c>
      <c r="F24" s="183">
        <f t="shared" si="0"/>
        <v>1.0909640894144772</v>
      </c>
      <c r="G24" s="183">
        <f t="shared" si="1"/>
        <v>1.0972013994462804</v>
      </c>
      <c r="H24" s="75">
        <f t="shared" si="2"/>
        <v>1.0972013994462804</v>
      </c>
      <c r="J24" s="46">
        <f t="shared" si="3"/>
        <v>43581</v>
      </c>
      <c r="K24" s="87">
        <f ca="1">IF(K23=0,0,BarriarOptionPrice(K$9,K$6,戦略の決定!$F$51*OFFSET($F$3,MATCH($J24,$B$4:$B$656,0),0)/OFFSET($F$3,MATCH($J$12,$B$4:$B$656,0),0),($J$64-$J24)/(52*7),K$7,K$8,戦略の決定!$D$13:$D$18)*K$5)</f>
        <v>0</v>
      </c>
      <c r="L24" s="87">
        <f ca="1">IF(L23=0,0,BarriarOptionPrice(L$9,L$6,戦略の決定!$F$51*OFFSET($F$3,MATCH($J24,$B$4:$B$656,0),0)/OFFSET($F$3,MATCH($J$12,$B$4:$B$656,0),0),($J$64-$J24)/(52*7),L$7,L$8,戦略の決定!$D$13:$D$18)*L$5)</f>
        <v>0</v>
      </c>
      <c r="M24" s="87">
        <f ca="1">IF(M23=0,0,BarriarOptionPrice(M$9,M$6,戦略の決定!$F$52*OFFSET($G$3,MATCH($J24,$B$4:$B$656,0),0)/OFFSET($G$3,MATCH($J$12,$B$4:$B$656,0),0),($J$64-$J24)/(52*7),M$7,M$8,戦略の決定!$E$13:$E$18)*M$5)</f>
        <v>73.902692445123876</v>
      </c>
      <c r="N24" s="87">
        <f ca="1">IF(N23=0,0,BarriarOptionPrice(N$9,N$6,戦略の決定!$F$52*OFFSET($G$3,MATCH($J24,$B$4:$B$656,0),0)/OFFSET($G$3,MATCH($J$12,$B$4:$B$656,0),0),($J$64-$J24)/(52*7),N$7,N$8,戦略の決定!$E$13:$E$18)*N$5)</f>
        <v>0</v>
      </c>
      <c r="O24" s="87">
        <f ca="1">IF(O23=0,0,BarriarOptionPrice(O$9,O$6,戦略の決定!$F$53*OFFSET($H$3,MATCH($J24,$B$4:$B$656,0),0)/OFFSET($H$3,MATCH($J$12,$B$4:$B$656,0),0),($J$64-$J24)/(52*7),O$7,O$8,戦略の決定!$F$13:$F$18)*O$5)</f>
        <v>0</v>
      </c>
      <c r="P24" s="44">
        <f ca="1">IF(P23=0,0,BarriarOptionPrice(P$9,P$6,戦略の決定!$F$53*OFFSET($H$3,MATCH($J24,$B$4:$B$656,0),0)/OFFSET($H$3,MATCH($J$12,$B$4:$B$656,0),0),($J$64-$J24)/(52*7),P$7,P$8,戦略の決定!$F$13:$F$18)*P$5)</f>
        <v>0</v>
      </c>
      <c r="S24" s="57">
        <f t="shared" si="4"/>
        <v>63</v>
      </c>
      <c r="T24" s="87" t="e">
        <f ca="1">戦略の決定!$R$10*OFFSET($E$3,MATCH(T$11+$S24,$B$4:$B$656,0),$Z$3)/OFFSET($E$3,MATCH(T$11,$B$4:$B$656,0),$Z$3)</f>
        <v>#VALUE!</v>
      </c>
      <c r="U24" s="87" t="e">
        <f ca="1">戦略の決定!$R$10*OFFSET($E$3,MATCH(U$11+$S24,$B$4:$B$656,0),$Z$3)/OFFSET($E$3,MATCH(U$11,$B$4:$B$656,0),$Z$3)</f>
        <v>#VALUE!</v>
      </c>
      <c r="V24" s="87" t="e">
        <f ca="1">戦略の決定!$R$10*OFFSET($E$3,MATCH(V$11+$S24,$B$4:$B$656,0),$Z$3)/OFFSET($E$3,MATCH(V$11,$B$4:$B$656,0),$Z$3)</f>
        <v>#VALUE!</v>
      </c>
      <c r="W24" s="87" t="e">
        <f ca="1">戦略の決定!$R$10*OFFSET($E$3,MATCH(W$11+$S24,$B$4:$B$656,0),$Z$3)/OFFSET($E$3,MATCH(W$11,$B$4:$B$656,0),$Z$3)</f>
        <v>#VALUE!</v>
      </c>
      <c r="X24" s="87" t="e">
        <f ca="1">戦略の決定!$R$10*OFFSET($E$3,MATCH(X$11+$S24,$B$4:$B$656,0),$Z$3)/OFFSET($E$3,MATCH(X$11,$B$4:$B$656,0),$Z$3)</f>
        <v>#VALUE!</v>
      </c>
      <c r="Y24" s="87" t="e">
        <f ca="1">戦略の決定!$R$10*OFFSET($E$3,MATCH(Y$11+$S24,$B$4:$B$656,0),$Z$3)/OFFSET($E$3,MATCH(Y$11,$B$4:$B$656,0),$Z$3)</f>
        <v>#VALUE!</v>
      </c>
      <c r="Z24" s="87" t="e">
        <f ca="1">戦略の決定!$R$10*OFFSET($E$3,MATCH(Z$11+$S24,$B$4:$B$656,0),$Z$3)/OFFSET($E$3,MATCH(Z$11,$B$4:$B$656,0),$Z$3)</f>
        <v>#VALUE!</v>
      </c>
      <c r="AA24" s="87" t="e">
        <f ca="1">戦略の決定!$R$10*OFFSET($E$3,MATCH(AA$11+$S24,$B$4:$B$656,0),$Z$3)/OFFSET($E$3,MATCH(AA$11,$B$4:$B$656,0),$Z$3)</f>
        <v>#VALUE!</v>
      </c>
      <c r="AB24" s="87" t="e">
        <f ca="1">戦略の決定!$R$10*OFFSET($E$3,MATCH(AB$11+$S24,$B$4:$B$656,0),$Z$3)/OFFSET($E$3,MATCH(AB$11,$B$4:$B$656,0),$Z$3)</f>
        <v>#VALUE!</v>
      </c>
      <c r="AC24" s="44" t="e">
        <f ca="1">戦略の決定!$R$10*OFFSET($E$3,MATCH(AC$11+$S24,$B$4:$B$656,0),$Z$3)/OFFSET($E$3,MATCH(AC$11,$B$4:$B$656,0),$Z$3)</f>
        <v>#VALUE!</v>
      </c>
      <c r="AE24" s="57">
        <f t="shared" si="5"/>
        <v>63</v>
      </c>
      <c r="AF24" s="87" t="e">
        <f ca="1">BarriarOptionPrice($T$9,$T$6,T24,($AE$67-$AE24)/(52*7),$T$7,$T$8,$AC$4:$AC$9)*$T$5</f>
        <v>#VALUE!</v>
      </c>
      <c r="AG24" s="87" t="e">
        <f ca="1">BarriarOptionPrice($T$9,$T$6,U24,($AE$67-$AE24)/(52*7),$T$7,$T$8,$AC$4:$AC$9)*$T$5</f>
        <v>#VALUE!</v>
      </c>
      <c r="AH24" s="87" t="e">
        <f ca="1">BarriarOptionPrice($T$9,$T$6,V24,($AE$67-$AE24)/(52*7),$T$7,$T$8,$AC$4:$AC$9)*$T$5</f>
        <v>#VALUE!</v>
      </c>
      <c r="AI24" s="87" t="e">
        <f ca="1">BarriarOptionPrice($T$9,$T$6,W24,($AE$67-$AE24)/(52*7),$T$7,$T$8,$AC$4:$AC$9)*$T$5</f>
        <v>#VALUE!</v>
      </c>
      <c r="AJ24" s="87" t="e">
        <f ca="1">BarriarOptionPrice($T$9,$T$6,X24,($AE$67-$AE24)/(52*7),$T$7,$T$8,$AC$4:$AC$9)*$T$5</f>
        <v>#VALUE!</v>
      </c>
      <c r="AK24" s="87" t="e">
        <f ca="1">BarriarOptionPrice($T$9,$T$6,Y24,($AE$67-$AE24)/(52*7),$T$7,$T$8,$AC$4:$AC$9)*$T$5</f>
        <v>#VALUE!</v>
      </c>
      <c r="AL24" s="87" t="e">
        <f ca="1">BarriarOptionPrice($T$9,$T$6,Z24,($AE$67-$AE24)/(52*7),$T$7,$T$8,$AC$4:$AC$9)*$T$5</f>
        <v>#VALUE!</v>
      </c>
      <c r="AM24" s="87" t="e">
        <f ca="1">BarriarOptionPrice($T$9,$T$6,AA24,($AE$67-$AE24)/(52*7),$T$7,$T$8,$AC$4:$AC$9)*$T$5</f>
        <v>#VALUE!</v>
      </c>
      <c r="AN24" s="87" t="e">
        <f ca="1">BarriarOptionPrice($T$9,$T$6,AB24,($AE$67-$AE24)/(52*7),$T$7,$T$8,$AC$4:$AC$9)*$T$5</f>
        <v>#VALUE!</v>
      </c>
      <c r="AO24" s="44" t="e">
        <f ca="1">BarriarOptionPrice($T$9,$T$6,AC24,($AE$67-$AE24)/(52*7),$T$7,$T$8,$AC$4:$AC$9)*$T$5</f>
        <v>#VALUE!</v>
      </c>
      <c r="AQ24" s="57">
        <f t="shared" si="6"/>
        <v>63</v>
      </c>
      <c r="AR24" s="87" t="e">
        <f ca="1">BarriarOptionPrice($U$9,$U$6,T24,($AQ$67-$AQ24)/(52*7),$U$7,$U$8,$AC$4:$AC$9)*$U$5</f>
        <v>#VALUE!</v>
      </c>
      <c r="AS24" s="87" t="e">
        <f ca="1">BarriarOptionPrice($U$9,$U$6,U24,($AQ$67-$AQ24)/(52*7),$U$7,$U$8,$AC$4:$AC$9)*$U$5</f>
        <v>#VALUE!</v>
      </c>
      <c r="AT24" s="87" t="e">
        <f ca="1">BarriarOptionPrice($U$9,$U$6,V24,($AQ$67-$AQ24)/(52*7),$U$7,$U$8,$AC$4:$AC$9)*$U$5</f>
        <v>#VALUE!</v>
      </c>
      <c r="AU24" s="87" t="e">
        <f ca="1">BarriarOptionPrice($U$9,$U$6,W24,($AQ$67-$AQ24)/(52*7),$U$7,$U$8,$AC$4:$AC$9)*$U$5</f>
        <v>#VALUE!</v>
      </c>
      <c r="AV24" s="87" t="e">
        <f ca="1">BarriarOptionPrice($U$9,$U$6,X24,($AQ$67-$AQ24)/(52*7),$U$7,$U$8,$AC$4:$AC$9)*$U$5</f>
        <v>#VALUE!</v>
      </c>
      <c r="AW24" s="87" t="e">
        <f ca="1">BarriarOptionPrice($U$9,$U$6,Y24,($AQ$67-$AQ24)/(52*7),$U$7,$U$8,$AC$4:$AC$9)*$U$5</f>
        <v>#VALUE!</v>
      </c>
      <c r="AX24" s="87" t="e">
        <f ca="1">BarriarOptionPrice($U$9,$U$6,Z24,($AQ$67-$AQ24)/(52*7),$U$7,$U$8,$AC$4:$AC$9)*$U$5</f>
        <v>#VALUE!</v>
      </c>
      <c r="AY24" s="87" t="e">
        <f ca="1">BarriarOptionPrice($U$9,$U$6,AA24,($AQ$67-$AQ24)/(52*7),$U$7,$U$8,$AC$4:$AC$9)*$U$5</f>
        <v>#VALUE!</v>
      </c>
      <c r="AZ24" s="87" t="e">
        <f ca="1">BarriarOptionPrice($U$9,$U$6,AB24,($AQ$67-$AQ24)/(52*7),$U$7,$U$8,$AC$4:$AC$9)*$U$5</f>
        <v>#VALUE!</v>
      </c>
      <c r="BA24" s="44" t="e">
        <f ca="1">BarriarOptionPrice($U$9,$U$6,AC24,($AQ$67-$AQ24)/(52*7),$U$7,$U$8,$AC$4:$AC$9)*$U$5</f>
        <v>#VALUE!</v>
      </c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</row>
    <row r="25" spans="2:77" x14ac:dyDescent="0.15">
      <c r="B25" s="16">
        <v>39990</v>
      </c>
      <c r="C25" s="29">
        <f t="array" ref="C25">SUMPRODUCT('ファンドデータ(変更不要)'!K25:P25,TRANSPOSE(戦略の決定!$D$13:$D$18))</f>
        <v>1.9756440753138794E-2</v>
      </c>
      <c r="D25" s="29">
        <f t="array" ref="D25">SUMPRODUCT('ファンドデータ(変更不要)'!K25:P25,TRANSPOSE(戦略の決定!$E$13:$E$18))</f>
        <v>3.1569980221760621E-2</v>
      </c>
      <c r="E25" s="29">
        <f t="array" ref="E25">SUMPRODUCT('ファンドデータ(変更不要)'!K25:P25,TRANSPOSE(戦略の決定!$F$13:$F$18))</f>
        <v>3.1569980221760621E-2</v>
      </c>
      <c r="F25" s="183">
        <f t="shared" si="0"/>
        <v>1.1125176568107964</v>
      </c>
      <c r="G25" s="183">
        <f t="shared" si="1"/>
        <v>1.1318400259260875</v>
      </c>
      <c r="H25" s="75">
        <f t="shared" si="2"/>
        <v>1.1318400259260875</v>
      </c>
      <c r="J25" s="46">
        <f t="shared" si="3"/>
        <v>43588</v>
      </c>
      <c r="K25" s="87">
        <f ca="1">IF(K24=0,0,BarriarOptionPrice(K$9,K$6,戦略の決定!$F$51*OFFSET($F$3,MATCH($J25,$B$4:$B$656,0),0)/OFFSET($F$3,MATCH($J$12,$B$4:$B$656,0),0),($J$64-$J25)/(52*7),K$7,K$8,戦略の決定!$D$13:$D$18)*K$5)</f>
        <v>0</v>
      </c>
      <c r="L25" s="87">
        <f ca="1">IF(L24=0,0,BarriarOptionPrice(L$9,L$6,戦略の決定!$F$51*OFFSET($F$3,MATCH($J25,$B$4:$B$656,0),0)/OFFSET($F$3,MATCH($J$12,$B$4:$B$656,0),0),($J$64-$J25)/(52*7),L$7,L$8,戦略の決定!$D$13:$D$18)*L$5)</f>
        <v>0</v>
      </c>
      <c r="M25" s="87">
        <f ca="1">IF(M24=0,0,BarriarOptionPrice(M$9,M$6,戦略の決定!$F$52*OFFSET($G$3,MATCH($J25,$B$4:$B$656,0),0)/OFFSET($G$3,MATCH($J$12,$B$4:$B$656,0),0),($J$64-$J25)/(52*7),M$7,M$8,戦略の決定!$E$13:$E$18)*M$5)</f>
        <v>73.51034217490087</v>
      </c>
      <c r="N25" s="87">
        <f ca="1">IF(N24=0,0,BarriarOptionPrice(N$9,N$6,戦略の決定!$F$52*OFFSET($G$3,MATCH($J25,$B$4:$B$656,0),0)/OFFSET($G$3,MATCH($J$12,$B$4:$B$656,0),0),($J$64-$J25)/(52*7),N$7,N$8,戦略の決定!$E$13:$E$18)*N$5)</f>
        <v>0</v>
      </c>
      <c r="O25" s="87">
        <f ca="1">IF(O24=0,0,BarriarOptionPrice(O$9,O$6,戦略の決定!$F$53*OFFSET($H$3,MATCH($J25,$B$4:$B$656,0),0)/OFFSET($H$3,MATCH($J$12,$B$4:$B$656,0),0),($J$64-$J25)/(52*7),O$7,O$8,戦略の決定!$F$13:$F$18)*O$5)</f>
        <v>0</v>
      </c>
      <c r="P25" s="44">
        <f ca="1">IF(P24=0,0,BarriarOptionPrice(P$9,P$6,戦略の決定!$F$53*OFFSET($H$3,MATCH($J25,$B$4:$B$656,0),0)/OFFSET($H$3,MATCH($J$12,$B$4:$B$656,0),0),($J$64-$J25)/(52*7),P$7,P$8,戦略の決定!$F$13:$F$18)*P$5)</f>
        <v>0</v>
      </c>
      <c r="S25" s="57">
        <f t="shared" si="4"/>
        <v>70</v>
      </c>
      <c r="T25" s="87" t="e">
        <f ca="1">戦略の決定!$R$10*OFFSET($E$3,MATCH(T$11+$S25,$B$4:$B$656,0),$Z$3)/OFFSET($E$3,MATCH(T$11,$B$4:$B$656,0),$Z$3)</f>
        <v>#VALUE!</v>
      </c>
      <c r="U25" s="87" t="e">
        <f ca="1">戦略の決定!$R$10*OFFSET($E$3,MATCH(U$11+$S25,$B$4:$B$656,0),$Z$3)/OFFSET($E$3,MATCH(U$11,$B$4:$B$656,0),$Z$3)</f>
        <v>#VALUE!</v>
      </c>
      <c r="V25" s="87" t="e">
        <f ca="1">戦略の決定!$R$10*OFFSET($E$3,MATCH(V$11+$S25,$B$4:$B$656,0),$Z$3)/OFFSET($E$3,MATCH(V$11,$B$4:$B$656,0),$Z$3)</f>
        <v>#VALUE!</v>
      </c>
      <c r="W25" s="87" t="e">
        <f ca="1">戦略の決定!$R$10*OFFSET($E$3,MATCH(W$11+$S25,$B$4:$B$656,0),$Z$3)/OFFSET($E$3,MATCH(W$11,$B$4:$B$656,0),$Z$3)</f>
        <v>#VALUE!</v>
      </c>
      <c r="X25" s="87" t="e">
        <f ca="1">戦略の決定!$R$10*OFFSET($E$3,MATCH(X$11+$S25,$B$4:$B$656,0),$Z$3)/OFFSET($E$3,MATCH(X$11,$B$4:$B$656,0),$Z$3)</f>
        <v>#VALUE!</v>
      </c>
      <c r="Y25" s="87" t="e">
        <f ca="1">戦略の決定!$R$10*OFFSET($E$3,MATCH(Y$11+$S25,$B$4:$B$656,0),$Z$3)/OFFSET($E$3,MATCH(Y$11,$B$4:$B$656,0),$Z$3)</f>
        <v>#VALUE!</v>
      </c>
      <c r="Z25" s="87" t="e">
        <f ca="1">戦略の決定!$R$10*OFFSET($E$3,MATCH(Z$11+$S25,$B$4:$B$656,0),$Z$3)/OFFSET($E$3,MATCH(Z$11,$B$4:$B$656,0),$Z$3)</f>
        <v>#VALUE!</v>
      </c>
      <c r="AA25" s="87" t="e">
        <f ca="1">戦略の決定!$R$10*OFFSET($E$3,MATCH(AA$11+$S25,$B$4:$B$656,0),$Z$3)/OFFSET($E$3,MATCH(AA$11,$B$4:$B$656,0),$Z$3)</f>
        <v>#VALUE!</v>
      </c>
      <c r="AB25" s="87" t="e">
        <f ca="1">戦略の決定!$R$10*OFFSET($E$3,MATCH(AB$11+$S25,$B$4:$B$656,0),$Z$3)/OFFSET($E$3,MATCH(AB$11,$B$4:$B$656,0),$Z$3)</f>
        <v>#VALUE!</v>
      </c>
      <c r="AC25" s="44" t="e">
        <f ca="1">戦略の決定!$R$10*OFFSET($E$3,MATCH(AC$11+$S25,$B$4:$B$656,0),$Z$3)/OFFSET($E$3,MATCH(AC$11,$B$4:$B$656,0),$Z$3)</f>
        <v>#VALUE!</v>
      </c>
      <c r="AE25" s="57">
        <f t="shared" si="5"/>
        <v>70</v>
      </c>
      <c r="AF25" s="87" t="e">
        <f ca="1">BarriarOptionPrice($T$9,$T$6,T25,($AE$67-$AE25)/(52*7),$T$7,$T$8,$AC$4:$AC$9)*$T$5</f>
        <v>#VALUE!</v>
      </c>
      <c r="AG25" s="87" t="e">
        <f ca="1">BarriarOptionPrice($T$9,$T$6,U25,($AE$67-$AE25)/(52*7),$T$7,$T$8,$AC$4:$AC$9)*$T$5</f>
        <v>#VALUE!</v>
      </c>
      <c r="AH25" s="87" t="e">
        <f ca="1">BarriarOptionPrice($T$9,$T$6,V25,($AE$67-$AE25)/(52*7),$T$7,$T$8,$AC$4:$AC$9)*$T$5</f>
        <v>#VALUE!</v>
      </c>
      <c r="AI25" s="87" t="e">
        <f ca="1">BarriarOptionPrice($T$9,$T$6,W25,($AE$67-$AE25)/(52*7),$T$7,$T$8,$AC$4:$AC$9)*$T$5</f>
        <v>#VALUE!</v>
      </c>
      <c r="AJ25" s="87" t="e">
        <f ca="1">BarriarOptionPrice($T$9,$T$6,X25,($AE$67-$AE25)/(52*7),$T$7,$T$8,$AC$4:$AC$9)*$T$5</f>
        <v>#VALUE!</v>
      </c>
      <c r="AK25" s="87" t="e">
        <f ca="1">BarriarOptionPrice($T$9,$T$6,Y25,($AE$67-$AE25)/(52*7),$T$7,$T$8,$AC$4:$AC$9)*$T$5</f>
        <v>#VALUE!</v>
      </c>
      <c r="AL25" s="87" t="e">
        <f ca="1">BarriarOptionPrice($T$9,$T$6,Z25,($AE$67-$AE25)/(52*7),$T$7,$T$8,$AC$4:$AC$9)*$T$5</f>
        <v>#VALUE!</v>
      </c>
      <c r="AM25" s="87" t="e">
        <f ca="1">BarriarOptionPrice($T$9,$T$6,AA25,($AE$67-$AE25)/(52*7),$T$7,$T$8,$AC$4:$AC$9)*$T$5</f>
        <v>#VALUE!</v>
      </c>
      <c r="AN25" s="87" t="e">
        <f ca="1">BarriarOptionPrice($T$9,$T$6,AB25,($AE$67-$AE25)/(52*7),$T$7,$T$8,$AC$4:$AC$9)*$T$5</f>
        <v>#VALUE!</v>
      </c>
      <c r="AO25" s="44" t="e">
        <f ca="1">BarriarOptionPrice($T$9,$T$6,AC25,($AE$67-$AE25)/(52*7),$T$7,$T$8,$AC$4:$AC$9)*$T$5</f>
        <v>#VALUE!</v>
      </c>
      <c r="AQ25" s="57">
        <f t="shared" si="6"/>
        <v>70</v>
      </c>
      <c r="AR25" s="87" t="e">
        <f ca="1">BarriarOptionPrice($U$9,$U$6,T25,($AQ$67-$AQ25)/(52*7),$U$7,$U$8,$AC$4:$AC$9)*$U$5</f>
        <v>#VALUE!</v>
      </c>
      <c r="AS25" s="87" t="e">
        <f ca="1">BarriarOptionPrice($U$9,$U$6,U25,($AQ$67-$AQ25)/(52*7),$U$7,$U$8,$AC$4:$AC$9)*$U$5</f>
        <v>#VALUE!</v>
      </c>
      <c r="AT25" s="87" t="e">
        <f ca="1">BarriarOptionPrice($U$9,$U$6,V25,($AQ$67-$AQ25)/(52*7),$U$7,$U$8,$AC$4:$AC$9)*$U$5</f>
        <v>#VALUE!</v>
      </c>
      <c r="AU25" s="87" t="e">
        <f ca="1">BarriarOptionPrice($U$9,$U$6,W25,($AQ$67-$AQ25)/(52*7),$U$7,$U$8,$AC$4:$AC$9)*$U$5</f>
        <v>#VALUE!</v>
      </c>
      <c r="AV25" s="87" t="e">
        <f ca="1">BarriarOptionPrice($U$9,$U$6,X25,($AQ$67-$AQ25)/(52*7),$U$7,$U$8,$AC$4:$AC$9)*$U$5</f>
        <v>#VALUE!</v>
      </c>
      <c r="AW25" s="87" t="e">
        <f ca="1">BarriarOptionPrice($U$9,$U$6,Y25,($AQ$67-$AQ25)/(52*7),$U$7,$U$8,$AC$4:$AC$9)*$U$5</f>
        <v>#VALUE!</v>
      </c>
      <c r="AX25" s="87" t="e">
        <f ca="1">BarriarOptionPrice($U$9,$U$6,Z25,($AQ$67-$AQ25)/(52*7),$U$7,$U$8,$AC$4:$AC$9)*$U$5</f>
        <v>#VALUE!</v>
      </c>
      <c r="AY25" s="87" t="e">
        <f ca="1">BarriarOptionPrice($U$9,$U$6,AA25,($AQ$67-$AQ25)/(52*7),$U$7,$U$8,$AC$4:$AC$9)*$U$5</f>
        <v>#VALUE!</v>
      </c>
      <c r="AZ25" s="87" t="e">
        <f ca="1">BarriarOptionPrice($U$9,$U$6,AB25,($AQ$67-$AQ25)/(52*7),$U$7,$U$8,$AC$4:$AC$9)*$U$5</f>
        <v>#VALUE!</v>
      </c>
      <c r="BA25" s="44" t="e">
        <f ca="1">BarriarOptionPrice($U$9,$U$6,AC25,($AQ$67-$AQ25)/(52*7),$U$7,$U$8,$AC$4:$AC$9)*$U$5</f>
        <v>#VALUE!</v>
      </c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</row>
    <row r="26" spans="2:77" x14ac:dyDescent="0.15">
      <c r="B26" s="16">
        <v>39997</v>
      </c>
      <c r="C26" s="29">
        <f t="array" ref="C26">SUMPRODUCT('ファンドデータ(変更不要)'!K26:P26,TRANSPOSE(戦略の決定!$D$13:$D$18))</f>
        <v>7.8545209238981232E-3</v>
      </c>
      <c r="D26" s="29">
        <f t="array" ref="D26">SUMPRODUCT('ファンドデータ(変更不要)'!K26:P26,TRANSPOSE(戦略の決定!$E$13:$E$18))</f>
        <v>1.2346552755129379E-2</v>
      </c>
      <c r="E26" s="29">
        <f t="array" ref="E26">SUMPRODUCT('ファンドデータ(変更不要)'!K26:P26,TRANSPOSE(戦略の決定!$F$13:$F$18))</f>
        <v>1.2346552755129379E-2</v>
      </c>
      <c r="F26" s="183">
        <f t="shared" si="0"/>
        <v>1.1212559500244228</v>
      </c>
      <c r="G26" s="183">
        <f t="shared" si="1"/>
        <v>1.1458143485165508</v>
      </c>
      <c r="H26" s="75">
        <f t="shared" si="2"/>
        <v>1.1458143485165508</v>
      </c>
      <c r="J26" s="46">
        <f t="shared" si="3"/>
        <v>43595</v>
      </c>
      <c r="K26" s="87">
        <f ca="1">IF(K25=0,0,BarriarOptionPrice(K$9,K$6,戦略の決定!$F$51*OFFSET($F$3,MATCH($J26,$B$4:$B$656,0),0)/OFFSET($F$3,MATCH($J$12,$B$4:$B$656,0),0),($J$64-$J26)/(52*7),K$7,K$8,戦略の決定!$D$13:$D$18)*K$5)</f>
        <v>0</v>
      </c>
      <c r="L26" s="87">
        <f ca="1">IF(L25=0,0,BarriarOptionPrice(L$9,L$6,戦略の決定!$F$51*OFFSET($F$3,MATCH($J26,$B$4:$B$656,0),0)/OFFSET($F$3,MATCH($J$12,$B$4:$B$656,0),0),($J$64-$J26)/(52*7),L$7,L$8,戦略の決定!$D$13:$D$18)*L$5)</f>
        <v>0</v>
      </c>
      <c r="M26" s="87">
        <f ca="1">IF(M25=0,0,BarriarOptionPrice(M$9,M$6,戦略の決定!$F$52*OFFSET($G$3,MATCH($J26,$B$4:$B$656,0),0)/OFFSET($G$3,MATCH($J$12,$B$4:$B$656,0),0),($J$64-$J26)/(52*7),M$7,M$8,戦略の決定!$E$13:$E$18)*M$5)</f>
        <v>77.771407175871104</v>
      </c>
      <c r="N26" s="87">
        <f ca="1">IF(N25=0,0,BarriarOptionPrice(N$9,N$6,戦略の決定!$F$52*OFFSET($G$3,MATCH($J26,$B$4:$B$656,0),0)/OFFSET($G$3,MATCH($J$12,$B$4:$B$656,0),0),($J$64-$J26)/(52*7),N$7,N$8,戦略の決定!$E$13:$E$18)*N$5)</f>
        <v>0</v>
      </c>
      <c r="O26" s="87">
        <f ca="1">IF(O25=0,0,BarriarOptionPrice(O$9,O$6,戦略の決定!$F$53*OFFSET($H$3,MATCH($J26,$B$4:$B$656,0),0)/OFFSET($H$3,MATCH($J$12,$B$4:$B$656,0),0),($J$64-$J26)/(52*7),O$7,O$8,戦略の決定!$F$13:$F$18)*O$5)</f>
        <v>0</v>
      </c>
      <c r="P26" s="44">
        <f ca="1">IF(P25=0,0,BarriarOptionPrice(P$9,P$6,戦略の決定!$F$53*OFFSET($H$3,MATCH($J26,$B$4:$B$656,0),0)/OFFSET($H$3,MATCH($J$12,$B$4:$B$656,0),0),($J$64-$J26)/(52*7),P$7,P$8,戦略の決定!$F$13:$F$18)*P$5)</f>
        <v>0</v>
      </c>
      <c r="S26" s="57">
        <f t="shared" si="4"/>
        <v>77</v>
      </c>
      <c r="T26" s="87" t="e">
        <f ca="1">戦略の決定!$R$10*OFFSET($E$3,MATCH(T$11+$S26,$B$4:$B$656,0),$Z$3)/OFFSET($E$3,MATCH(T$11,$B$4:$B$656,0),$Z$3)</f>
        <v>#VALUE!</v>
      </c>
      <c r="U26" s="87" t="e">
        <f ca="1">戦略の決定!$R$10*OFFSET($E$3,MATCH(U$11+$S26,$B$4:$B$656,0),$Z$3)/OFFSET($E$3,MATCH(U$11,$B$4:$B$656,0),$Z$3)</f>
        <v>#VALUE!</v>
      </c>
      <c r="V26" s="87" t="e">
        <f ca="1">戦略の決定!$R$10*OFFSET($E$3,MATCH(V$11+$S26,$B$4:$B$656,0),$Z$3)/OFFSET($E$3,MATCH(V$11,$B$4:$B$656,0),$Z$3)</f>
        <v>#VALUE!</v>
      </c>
      <c r="W26" s="87" t="e">
        <f ca="1">戦略の決定!$R$10*OFFSET($E$3,MATCH(W$11+$S26,$B$4:$B$656,0),$Z$3)/OFFSET($E$3,MATCH(W$11,$B$4:$B$656,0),$Z$3)</f>
        <v>#VALUE!</v>
      </c>
      <c r="X26" s="87" t="e">
        <f ca="1">戦略の決定!$R$10*OFFSET($E$3,MATCH(X$11+$S26,$B$4:$B$656,0),$Z$3)/OFFSET($E$3,MATCH(X$11,$B$4:$B$656,0),$Z$3)</f>
        <v>#VALUE!</v>
      </c>
      <c r="Y26" s="87" t="e">
        <f ca="1">戦略の決定!$R$10*OFFSET($E$3,MATCH(Y$11+$S26,$B$4:$B$656,0),$Z$3)/OFFSET($E$3,MATCH(Y$11,$B$4:$B$656,0),$Z$3)</f>
        <v>#VALUE!</v>
      </c>
      <c r="Z26" s="87" t="e">
        <f ca="1">戦略の決定!$R$10*OFFSET($E$3,MATCH(Z$11+$S26,$B$4:$B$656,0),$Z$3)/OFFSET($E$3,MATCH(Z$11,$B$4:$B$656,0),$Z$3)</f>
        <v>#VALUE!</v>
      </c>
      <c r="AA26" s="87" t="e">
        <f ca="1">戦略の決定!$R$10*OFFSET($E$3,MATCH(AA$11+$S26,$B$4:$B$656,0),$Z$3)/OFFSET($E$3,MATCH(AA$11,$B$4:$B$656,0),$Z$3)</f>
        <v>#VALUE!</v>
      </c>
      <c r="AB26" s="87" t="e">
        <f ca="1">戦略の決定!$R$10*OFFSET($E$3,MATCH(AB$11+$S26,$B$4:$B$656,0),$Z$3)/OFFSET($E$3,MATCH(AB$11,$B$4:$B$656,0),$Z$3)</f>
        <v>#VALUE!</v>
      </c>
      <c r="AC26" s="44" t="e">
        <f ca="1">戦略の決定!$R$10*OFFSET($E$3,MATCH(AC$11+$S26,$B$4:$B$656,0),$Z$3)/OFFSET($E$3,MATCH(AC$11,$B$4:$B$656,0),$Z$3)</f>
        <v>#VALUE!</v>
      </c>
      <c r="AE26" s="57">
        <f t="shared" si="5"/>
        <v>77</v>
      </c>
      <c r="AF26" s="87" t="e">
        <f ca="1">BarriarOptionPrice($T$9,$T$6,T26,($AE$67-$AE26)/(52*7),$T$7,$T$8,$AC$4:$AC$9)*$T$5</f>
        <v>#VALUE!</v>
      </c>
      <c r="AG26" s="87" t="e">
        <f ca="1">BarriarOptionPrice($T$9,$T$6,U26,($AE$67-$AE26)/(52*7),$T$7,$T$8,$AC$4:$AC$9)*$T$5</f>
        <v>#VALUE!</v>
      </c>
      <c r="AH26" s="87" t="e">
        <f ca="1">BarriarOptionPrice($T$9,$T$6,V26,($AE$67-$AE26)/(52*7),$T$7,$T$8,$AC$4:$AC$9)*$T$5</f>
        <v>#VALUE!</v>
      </c>
      <c r="AI26" s="87" t="e">
        <f ca="1">BarriarOptionPrice($T$9,$T$6,W26,($AE$67-$AE26)/(52*7),$T$7,$T$8,$AC$4:$AC$9)*$T$5</f>
        <v>#VALUE!</v>
      </c>
      <c r="AJ26" s="87" t="e">
        <f ca="1">BarriarOptionPrice($T$9,$T$6,X26,($AE$67-$AE26)/(52*7),$T$7,$T$8,$AC$4:$AC$9)*$T$5</f>
        <v>#VALUE!</v>
      </c>
      <c r="AK26" s="87" t="e">
        <f ca="1">BarriarOptionPrice($T$9,$T$6,Y26,($AE$67-$AE26)/(52*7),$T$7,$T$8,$AC$4:$AC$9)*$T$5</f>
        <v>#VALUE!</v>
      </c>
      <c r="AL26" s="87" t="e">
        <f ca="1">BarriarOptionPrice($T$9,$T$6,Z26,($AE$67-$AE26)/(52*7),$T$7,$T$8,$AC$4:$AC$9)*$T$5</f>
        <v>#VALUE!</v>
      </c>
      <c r="AM26" s="87" t="e">
        <f ca="1">BarriarOptionPrice($T$9,$T$6,AA26,($AE$67-$AE26)/(52*7),$T$7,$T$8,$AC$4:$AC$9)*$T$5</f>
        <v>#VALUE!</v>
      </c>
      <c r="AN26" s="87" t="e">
        <f ca="1">BarriarOptionPrice($T$9,$T$6,AB26,($AE$67-$AE26)/(52*7),$T$7,$T$8,$AC$4:$AC$9)*$T$5</f>
        <v>#VALUE!</v>
      </c>
      <c r="AO26" s="44" t="e">
        <f ca="1">BarriarOptionPrice($T$9,$T$6,AC26,($AE$67-$AE26)/(52*7),$T$7,$T$8,$AC$4:$AC$9)*$T$5</f>
        <v>#VALUE!</v>
      </c>
      <c r="AQ26" s="57">
        <f t="shared" si="6"/>
        <v>77</v>
      </c>
      <c r="AR26" s="87" t="e">
        <f ca="1">BarriarOptionPrice($U$9,$U$6,T26,($AQ$67-$AQ26)/(52*7),$U$7,$U$8,$AC$4:$AC$9)*$U$5</f>
        <v>#VALUE!</v>
      </c>
      <c r="AS26" s="87" t="e">
        <f ca="1">BarriarOptionPrice($U$9,$U$6,U26,($AQ$67-$AQ26)/(52*7),$U$7,$U$8,$AC$4:$AC$9)*$U$5</f>
        <v>#VALUE!</v>
      </c>
      <c r="AT26" s="87" t="e">
        <f ca="1">BarriarOptionPrice($U$9,$U$6,V26,($AQ$67-$AQ26)/(52*7),$U$7,$U$8,$AC$4:$AC$9)*$U$5</f>
        <v>#VALUE!</v>
      </c>
      <c r="AU26" s="87" t="e">
        <f ca="1">BarriarOptionPrice($U$9,$U$6,W26,($AQ$67-$AQ26)/(52*7),$U$7,$U$8,$AC$4:$AC$9)*$U$5</f>
        <v>#VALUE!</v>
      </c>
      <c r="AV26" s="87" t="e">
        <f ca="1">BarriarOptionPrice($U$9,$U$6,X26,($AQ$67-$AQ26)/(52*7),$U$7,$U$8,$AC$4:$AC$9)*$U$5</f>
        <v>#VALUE!</v>
      </c>
      <c r="AW26" s="87" t="e">
        <f ca="1">BarriarOptionPrice($U$9,$U$6,Y26,($AQ$67-$AQ26)/(52*7),$U$7,$U$8,$AC$4:$AC$9)*$U$5</f>
        <v>#VALUE!</v>
      </c>
      <c r="AX26" s="87" t="e">
        <f ca="1">BarriarOptionPrice($U$9,$U$6,Z26,($AQ$67-$AQ26)/(52*7),$U$7,$U$8,$AC$4:$AC$9)*$U$5</f>
        <v>#VALUE!</v>
      </c>
      <c r="AY26" s="87" t="e">
        <f ca="1">BarriarOptionPrice($U$9,$U$6,AA26,($AQ$67-$AQ26)/(52*7),$U$7,$U$8,$AC$4:$AC$9)*$U$5</f>
        <v>#VALUE!</v>
      </c>
      <c r="AZ26" s="87" t="e">
        <f ca="1">BarriarOptionPrice($U$9,$U$6,AB26,($AQ$67-$AQ26)/(52*7),$U$7,$U$8,$AC$4:$AC$9)*$U$5</f>
        <v>#VALUE!</v>
      </c>
      <c r="BA26" s="44" t="e">
        <f ca="1">BarriarOptionPrice($U$9,$U$6,AC26,($AQ$67-$AQ26)/(52*7),$U$7,$U$8,$AC$4:$AC$9)*$U$5</f>
        <v>#VALUE!</v>
      </c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</row>
    <row r="27" spans="2:77" x14ac:dyDescent="0.15">
      <c r="B27" s="16">
        <v>40004</v>
      </c>
      <c r="C27" s="29">
        <f t="array" ref="C27">SUMPRODUCT('ファンドデータ(変更不要)'!K27:P27,TRANSPOSE(戦略の決定!$D$13:$D$18))</f>
        <v>-2.440523588583203E-2</v>
      </c>
      <c r="D27" s="29">
        <f t="array" ref="D27">SUMPRODUCT('ファンドデータ(変更不要)'!K27:P27,TRANSPOSE(戦略の決定!$E$13:$E$18))</f>
        <v>-3.0443189793558135E-2</v>
      </c>
      <c r="E27" s="29">
        <f t="array" ref="E27">SUMPRODUCT('ファンドデータ(変更不要)'!K27:P27,TRANSPOSE(戦略の決定!$F$13:$F$18))</f>
        <v>-3.0443189793558135E-2</v>
      </c>
      <c r="F27" s="183">
        <f t="shared" si="0"/>
        <v>1.093891434075684</v>
      </c>
      <c r="G27" s="183">
        <f t="shared" si="1"/>
        <v>1.1109321048364793</v>
      </c>
      <c r="H27" s="75">
        <f t="shared" si="2"/>
        <v>1.1109321048364793</v>
      </c>
      <c r="J27" s="46">
        <f t="shared" si="3"/>
        <v>43602</v>
      </c>
      <c r="K27" s="87">
        <f ca="1">IF(K26=0,0,BarriarOptionPrice(K$9,K$6,戦略の決定!$F$51*OFFSET($F$3,MATCH($J27,$B$4:$B$656,0),0)/OFFSET($F$3,MATCH($J$12,$B$4:$B$656,0),0),($J$64-$J27)/(52*7),K$7,K$8,戦略の決定!$D$13:$D$18)*K$5)</f>
        <v>0</v>
      </c>
      <c r="L27" s="87">
        <f ca="1">IF(L26=0,0,BarriarOptionPrice(L$9,L$6,戦略の決定!$F$51*OFFSET($F$3,MATCH($J27,$B$4:$B$656,0),0)/OFFSET($F$3,MATCH($J$12,$B$4:$B$656,0),0),($J$64-$J27)/(52*7),L$7,L$8,戦略の決定!$D$13:$D$18)*L$5)</f>
        <v>0</v>
      </c>
      <c r="M27" s="87">
        <f ca="1">IF(M26=0,0,BarriarOptionPrice(M$9,M$6,戦略の決定!$F$52*OFFSET($G$3,MATCH($J27,$B$4:$B$656,0),0)/OFFSET($G$3,MATCH($J$12,$B$4:$B$656,0),0),($J$64-$J27)/(52*7),M$7,M$8,戦略の決定!$E$13:$E$18)*M$5)</f>
        <v>72.392349179502162</v>
      </c>
      <c r="N27" s="87">
        <f ca="1">IF(N26=0,0,BarriarOptionPrice(N$9,N$6,戦略の決定!$F$52*OFFSET($G$3,MATCH($J27,$B$4:$B$656,0),0)/OFFSET($G$3,MATCH($J$12,$B$4:$B$656,0),0),($J$64-$J27)/(52*7),N$7,N$8,戦略の決定!$E$13:$E$18)*N$5)</f>
        <v>0</v>
      </c>
      <c r="O27" s="87">
        <f ca="1">IF(O26=0,0,BarriarOptionPrice(O$9,O$6,戦略の決定!$F$53*OFFSET($H$3,MATCH($J27,$B$4:$B$656,0),0)/OFFSET($H$3,MATCH($J$12,$B$4:$B$656,0),0),($J$64-$J27)/(52*7),O$7,O$8,戦略の決定!$F$13:$F$18)*O$5)</f>
        <v>0</v>
      </c>
      <c r="P27" s="44">
        <f ca="1">IF(P26=0,0,BarriarOptionPrice(P$9,P$6,戦略の決定!$F$53*OFFSET($H$3,MATCH($J27,$B$4:$B$656,0),0)/OFFSET($H$3,MATCH($J$12,$B$4:$B$656,0),0),($J$64-$J27)/(52*7),P$7,P$8,戦略の決定!$F$13:$F$18)*P$5)</f>
        <v>0</v>
      </c>
      <c r="S27" s="57">
        <f t="shared" si="4"/>
        <v>84</v>
      </c>
      <c r="T27" s="87" t="e">
        <f ca="1">戦略の決定!$R$10*OFFSET($E$3,MATCH(T$11+$S27,$B$4:$B$656,0),$Z$3)/OFFSET($E$3,MATCH(T$11,$B$4:$B$656,0),$Z$3)</f>
        <v>#VALUE!</v>
      </c>
      <c r="U27" s="87" t="e">
        <f ca="1">戦略の決定!$R$10*OFFSET($E$3,MATCH(U$11+$S27,$B$4:$B$656,0),$Z$3)/OFFSET($E$3,MATCH(U$11,$B$4:$B$656,0),$Z$3)</f>
        <v>#VALUE!</v>
      </c>
      <c r="V27" s="87" t="e">
        <f ca="1">戦略の決定!$R$10*OFFSET($E$3,MATCH(V$11+$S27,$B$4:$B$656,0),$Z$3)/OFFSET($E$3,MATCH(V$11,$B$4:$B$656,0),$Z$3)</f>
        <v>#VALUE!</v>
      </c>
      <c r="W27" s="87" t="e">
        <f ca="1">戦略の決定!$R$10*OFFSET($E$3,MATCH(W$11+$S27,$B$4:$B$656,0),$Z$3)/OFFSET($E$3,MATCH(W$11,$B$4:$B$656,0),$Z$3)</f>
        <v>#VALUE!</v>
      </c>
      <c r="X27" s="87" t="e">
        <f ca="1">戦略の決定!$R$10*OFFSET($E$3,MATCH(X$11+$S27,$B$4:$B$656,0),$Z$3)/OFFSET($E$3,MATCH(X$11,$B$4:$B$656,0),$Z$3)</f>
        <v>#VALUE!</v>
      </c>
      <c r="Y27" s="87" t="e">
        <f ca="1">戦略の決定!$R$10*OFFSET($E$3,MATCH(Y$11+$S27,$B$4:$B$656,0),$Z$3)/OFFSET($E$3,MATCH(Y$11,$B$4:$B$656,0),$Z$3)</f>
        <v>#VALUE!</v>
      </c>
      <c r="Z27" s="87" t="e">
        <f ca="1">戦略の決定!$R$10*OFFSET($E$3,MATCH(Z$11+$S27,$B$4:$B$656,0),$Z$3)/OFFSET($E$3,MATCH(Z$11,$B$4:$B$656,0),$Z$3)</f>
        <v>#VALUE!</v>
      </c>
      <c r="AA27" s="87" t="e">
        <f ca="1">戦略の決定!$R$10*OFFSET($E$3,MATCH(AA$11+$S27,$B$4:$B$656,0),$Z$3)/OFFSET($E$3,MATCH(AA$11,$B$4:$B$656,0),$Z$3)</f>
        <v>#VALUE!</v>
      </c>
      <c r="AB27" s="87" t="e">
        <f ca="1">戦略の決定!$R$10*OFFSET($E$3,MATCH(AB$11+$S27,$B$4:$B$656,0),$Z$3)/OFFSET($E$3,MATCH(AB$11,$B$4:$B$656,0),$Z$3)</f>
        <v>#VALUE!</v>
      </c>
      <c r="AC27" s="44" t="e">
        <f ca="1">戦略の決定!$R$10*OFFSET($E$3,MATCH(AC$11+$S27,$B$4:$B$656,0),$Z$3)/OFFSET($E$3,MATCH(AC$11,$B$4:$B$656,0),$Z$3)</f>
        <v>#VALUE!</v>
      </c>
      <c r="AE27" s="57">
        <f t="shared" si="5"/>
        <v>84</v>
      </c>
      <c r="AF27" s="87" t="e">
        <f ca="1">BarriarOptionPrice($T$9,$T$6,T27,($AE$67-$AE27)/(52*7),$T$7,$T$8,$AC$4:$AC$9)*$T$5</f>
        <v>#VALUE!</v>
      </c>
      <c r="AG27" s="87" t="e">
        <f ca="1">BarriarOptionPrice($T$9,$T$6,U27,($AE$67-$AE27)/(52*7),$T$7,$T$8,$AC$4:$AC$9)*$T$5</f>
        <v>#VALUE!</v>
      </c>
      <c r="AH27" s="87" t="e">
        <f ca="1">BarriarOptionPrice($T$9,$T$6,V27,($AE$67-$AE27)/(52*7),$T$7,$T$8,$AC$4:$AC$9)*$T$5</f>
        <v>#VALUE!</v>
      </c>
      <c r="AI27" s="87" t="e">
        <f ca="1">BarriarOptionPrice($T$9,$T$6,W27,($AE$67-$AE27)/(52*7),$T$7,$T$8,$AC$4:$AC$9)*$T$5</f>
        <v>#VALUE!</v>
      </c>
      <c r="AJ27" s="87" t="e">
        <f ca="1">BarriarOptionPrice($T$9,$T$6,X27,($AE$67-$AE27)/(52*7),$T$7,$T$8,$AC$4:$AC$9)*$T$5</f>
        <v>#VALUE!</v>
      </c>
      <c r="AK27" s="87" t="e">
        <f ca="1">BarriarOptionPrice($T$9,$T$6,Y27,($AE$67-$AE27)/(52*7),$T$7,$T$8,$AC$4:$AC$9)*$T$5</f>
        <v>#VALUE!</v>
      </c>
      <c r="AL27" s="87" t="e">
        <f ca="1">BarriarOptionPrice($T$9,$T$6,Z27,($AE$67-$AE27)/(52*7),$T$7,$T$8,$AC$4:$AC$9)*$T$5</f>
        <v>#VALUE!</v>
      </c>
      <c r="AM27" s="87" t="e">
        <f ca="1">BarriarOptionPrice($T$9,$T$6,AA27,($AE$67-$AE27)/(52*7),$T$7,$T$8,$AC$4:$AC$9)*$T$5</f>
        <v>#VALUE!</v>
      </c>
      <c r="AN27" s="87" t="e">
        <f ca="1">BarriarOptionPrice($T$9,$T$6,AB27,($AE$67-$AE27)/(52*7),$T$7,$T$8,$AC$4:$AC$9)*$T$5</f>
        <v>#VALUE!</v>
      </c>
      <c r="AO27" s="44" t="e">
        <f ca="1">BarriarOptionPrice($T$9,$T$6,AC27,($AE$67-$AE27)/(52*7),$T$7,$T$8,$AC$4:$AC$9)*$T$5</f>
        <v>#VALUE!</v>
      </c>
      <c r="AQ27" s="57">
        <f t="shared" si="6"/>
        <v>84</v>
      </c>
      <c r="AR27" s="87" t="e">
        <f ca="1">BarriarOptionPrice($U$9,$U$6,T27,($AQ$67-$AQ27)/(52*7),$U$7,$U$8,$AC$4:$AC$9)*$U$5</f>
        <v>#VALUE!</v>
      </c>
      <c r="AS27" s="87" t="e">
        <f ca="1">BarriarOptionPrice($U$9,$U$6,U27,($AQ$67-$AQ27)/(52*7),$U$7,$U$8,$AC$4:$AC$9)*$U$5</f>
        <v>#VALUE!</v>
      </c>
      <c r="AT27" s="87" t="e">
        <f ca="1">BarriarOptionPrice($U$9,$U$6,V27,($AQ$67-$AQ27)/(52*7),$U$7,$U$8,$AC$4:$AC$9)*$U$5</f>
        <v>#VALUE!</v>
      </c>
      <c r="AU27" s="87" t="e">
        <f ca="1">BarriarOptionPrice($U$9,$U$6,W27,($AQ$67-$AQ27)/(52*7),$U$7,$U$8,$AC$4:$AC$9)*$U$5</f>
        <v>#VALUE!</v>
      </c>
      <c r="AV27" s="87" t="e">
        <f ca="1">BarriarOptionPrice($U$9,$U$6,X27,($AQ$67-$AQ27)/(52*7),$U$7,$U$8,$AC$4:$AC$9)*$U$5</f>
        <v>#VALUE!</v>
      </c>
      <c r="AW27" s="87" t="e">
        <f ca="1">BarriarOptionPrice($U$9,$U$6,Y27,($AQ$67-$AQ27)/(52*7),$U$7,$U$8,$AC$4:$AC$9)*$U$5</f>
        <v>#VALUE!</v>
      </c>
      <c r="AX27" s="87" t="e">
        <f ca="1">BarriarOptionPrice($U$9,$U$6,Z27,($AQ$67-$AQ27)/(52*7),$U$7,$U$8,$AC$4:$AC$9)*$U$5</f>
        <v>#VALUE!</v>
      </c>
      <c r="AY27" s="87" t="e">
        <f ca="1">BarriarOptionPrice($U$9,$U$6,AA27,($AQ$67-$AQ27)/(52*7),$U$7,$U$8,$AC$4:$AC$9)*$U$5</f>
        <v>#VALUE!</v>
      </c>
      <c r="AZ27" s="87" t="e">
        <f ca="1">BarriarOptionPrice($U$9,$U$6,AB27,($AQ$67-$AQ27)/(52*7),$U$7,$U$8,$AC$4:$AC$9)*$U$5</f>
        <v>#VALUE!</v>
      </c>
      <c r="BA27" s="44" t="e">
        <f ca="1">BarriarOptionPrice($U$9,$U$6,AC27,($AQ$67-$AQ27)/(52*7),$U$7,$U$8,$AC$4:$AC$9)*$U$5</f>
        <v>#VALUE!</v>
      </c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</row>
    <row r="28" spans="2:77" x14ac:dyDescent="0.15">
      <c r="B28" s="16">
        <v>40011</v>
      </c>
      <c r="C28" s="29">
        <f t="array" ref="C28">SUMPRODUCT('ファンドデータ(変更不要)'!K28:P28,TRANSPOSE(戦略の決定!$D$13:$D$18))</f>
        <v>1.5855564219980911E-2</v>
      </c>
      <c r="D28" s="29">
        <f t="array" ref="D28">SUMPRODUCT('ファンドデータ(変更不要)'!K28:P28,TRANSPOSE(戦略の決定!$E$13:$E$18))</f>
        <v>2.6659691740551626E-2</v>
      </c>
      <c r="E28" s="29">
        <f t="array" ref="E28">SUMPRODUCT('ファンドデータ(変更不要)'!K28:P28,TRANSPOSE(戦略の決定!$F$13:$F$18))</f>
        <v>2.6659691740551626E-2</v>
      </c>
      <c r="F28" s="183">
        <f t="shared" si="0"/>
        <v>1.1112356999583581</v>
      </c>
      <c r="G28" s="183">
        <f t="shared" si="1"/>
        <v>1.1405492122961021</v>
      </c>
      <c r="H28" s="75">
        <f t="shared" si="2"/>
        <v>1.1405492122961021</v>
      </c>
      <c r="J28" s="46">
        <f t="shared" si="3"/>
        <v>43609</v>
      </c>
      <c r="K28" s="87">
        <f ca="1">IF(K27=0,0,BarriarOptionPrice(K$9,K$6,戦略の決定!$F$51*OFFSET($F$3,MATCH($J28,$B$4:$B$656,0),0)/OFFSET($F$3,MATCH($J$12,$B$4:$B$656,0),0),($J$64-$J28)/(52*7),K$7,K$8,戦略の決定!$D$13:$D$18)*K$5)</f>
        <v>0</v>
      </c>
      <c r="L28" s="87">
        <f ca="1">IF(L27=0,0,BarriarOptionPrice(L$9,L$6,戦略の決定!$F$51*OFFSET($F$3,MATCH($J28,$B$4:$B$656,0),0)/OFFSET($F$3,MATCH($J$12,$B$4:$B$656,0),0),($J$64-$J28)/(52*7),L$7,L$8,戦略の決定!$D$13:$D$18)*L$5)</f>
        <v>0</v>
      </c>
      <c r="M28" s="87">
        <f ca="1">IF(M27=0,0,BarriarOptionPrice(M$9,M$6,戦略の決定!$F$52*OFFSET($G$3,MATCH($J28,$B$4:$B$656,0),0)/OFFSET($G$3,MATCH($J$12,$B$4:$B$656,0),0),($J$64-$J28)/(52*7),M$7,M$8,戦略の決定!$E$13:$E$18)*M$5)</f>
        <v>70.550230930152452</v>
      </c>
      <c r="N28" s="87">
        <f ca="1">IF(N27=0,0,BarriarOptionPrice(N$9,N$6,戦略の決定!$F$52*OFFSET($G$3,MATCH($J28,$B$4:$B$656,0),0)/OFFSET($G$3,MATCH($J$12,$B$4:$B$656,0),0),($J$64-$J28)/(52*7),N$7,N$8,戦略の決定!$E$13:$E$18)*N$5)</f>
        <v>0</v>
      </c>
      <c r="O28" s="87">
        <f ca="1">IF(O27=0,0,BarriarOptionPrice(O$9,O$6,戦略の決定!$F$53*OFFSET($H$3,MATCH($J28,$B$4:$B$656,0),0)/OFFSET($H$3,MATCH($J$12,$B$4:$B$656,0),0),($J$64-$J28)/(52*7),O$7,O$8,戦略の決定!$F$13:$F$18)*O$5)</f>
        <v>0</v>
      </c>
      <c r="P28" s="44">
        <f ca="1">IF(P27=0,0,BarriarOptionPrice(P$9,P$6,戦略の決定!$F$53*OFFSET($H$3,MATCH($J28,$B$4:$B$656,0),0)/OFFSET($H$3,MATCH($J$12,$B$4:$B$656,0),0),($J$64-$J28)/(52*7),P$7,P$8,戦略の決定!$F$13:$F$18)*P$5)</f>
        <v>0</v>
      </c>
      <c r="S28" s="57">
        <f t="shared" si="4"/>
        <v>91</v>
      </c>
      <c r="T28" s="87" t="e">
        <f ca="1">戦略の決定!$R$10*OFFSET($E$3,MATCH(T$11+$S28,$B$4:$B$656,0),$Z$3)/OFFSET($E$3,MATCH(T$11,$B$4:$B$656,0),$Z$3)</f>
        <v>#VALUE!</v>
      </c>
      <c r="U28" s="87" t="e">
        <f ca="1">戦略の決定!$R$10*OFFSET($E$3,MATCH(U$11+$S28,$B$4:$B$656,0),$Z$3)/OFFSET($E$3,MATCH(U$11,$B$4:$B$656,0),$Z$3)</f>
        <v>#VALUE!</v>
      </c>
      <c r="V28" s="87" t="e">
        <f ca="1">戦略の決定!$R$10*OFFSET($E$3,MATCH(V$11+$S28,$B$4:$B$656,0),$Z$3)/OFFSET($E$3,MATCH(V$11,$B$4:$B$656,0),$Z$3)</f>
        <v>#VALUE!</v>
      </c>
      <c r="W28" s="87" t="e">
        <f ca="1">戦略の決定!$R$10*OFFSET($E$3,MATCH(W$11+$S28,$B$4:$B$656,0),$Z$3)/OFFSET($E$3,MATCH(W$11,$B$4:$B$656,0),$Z$3)</f>
        <v>#VALUE!</v>
      </c>
      <c r="X28" s="87" t="e">
        <f ca="1">戦略の決定!$R$10*OFFSET($E$3,MATCH(X$11+$S28,$B$4:$B$656,0),$Z$3)/OFFSET($E$3,MATCH(X$11,$B$4:$B$656,0),$Z$3)</f>
        <v>#VALUE!</v>
      </c>
      <c r="Y28" s="87" t="e">
        <f ca="1">戦略の決定!$R$10*OFFSET($E$3,MATCH(Y$11+$S28,$B$4:$B$656,0),$Z$3)/OFFSET($E$3,MATCH(Y$11,$B$4:$B$656,0),$Z$3)</f>
        <v>#VALUE!</v>
      </c>
      <c r="Z28" s="87" t="e">
        <f ca="1">戦略の決定!$R$10*OFFSET($E$3,MATCH(Z$11+$S28,$B$4:$B$656,0),$Z$3)/OFFSET($E$3,MATCH(Z$11,$B$4:$B$656,0),$Z$3)</f>
        <v>#VALUE!</v>
      </c>
      <c r="AA28" s="87" t="e">
        <f ca="1">戦略の決定!$R$10*OFFSET($E$3,MATCH(AA$11+$S28,$B$4:$B$656,0),$Z$3)/OFFSET($E$3,MATCH(AA$11,$B$4:$B$656,0),$Z$3)</f>
        <v>#VALUE!</v>
      </c>
      <c r="AB28" s="87" t="e">
        <f ca="1">戦略の決定!$R$10*OFFSET($E$3,MATCH(AB$11+$S28,$B$4:$B$656,0),$Z$3)/OFFSET($E$3,MATCH(AB$11,$B$4:$B$656,0),$Z$3)</f>
        <v>#VALUE!</v>
      </c>
      <c r="AC28" s="44" t="e">
        <f ca="1">戦略の決定!$R$10*OFFSET($E$3,MATCH(AC$11+$S28,$B$4:$B$656,0),$Z$3)/OFFSET($E$3,MATCH(AC$11,$B$4:$B$656,0),$Z$3)</f>
        <v>#VALUE!</v>
      </c>
      <c r="AE28" s="57">
        <f t="shared" si="5"/>
        <v>91</v>
      </c>
      <c r="AF28" s="87" t="e">
        <f ca="1">BarriarOptionPrice($T$9,$T$6,T28,($AE$67-$AE28)/(52*7),$T$7,$T$8,$AC$4:$AC$9)*$T$5</f>
        <v>#VALUE!</v>
      </c>
      <c r="AG28" s="87" t="e">
        <f ca="1">BarriarOptionPrice($T$9,$T$6,U28,($AE$67-$AE28)/(52*7),$T$7,$T$8,$AC$4:$AC$9)*$T$5</f>
        <v>#VALUE!</v>
      </c>
      <c r="AH28" s="87" t="e">
        <f ca="1">BarriarOptionPrice($T$9,$T$6,V28,($AE$67-$AE28)/(52*7),$T$7,$T$8,$AC$4:$AC$9)*$T$5</f>
        <v>#VALUE!</v>
      </c>
      <c r="AI28" s="87" t="e">
        <f ca="1">BarriarOptionPrice($T$9,$T$6,W28,($AE$67-$AE28)/(52*7),$T$7,$T$8,$AC$4:$AC$9)*$T$5</f>
        <v>#VALUE!</v>
      </c>
      <c r="AJ28" s="87" t="e">
        <f ca="1">BarriarOptionPrice($T$9,$T$6,X28,($AE$67-$AE28)/(52*7),$T$7,$T$8,$AC$4:$AC$9)*$T$5</f>
        <v>#VALUE!</v>
      </c>
      <c r="AK28" s="87" t="e">
        <f ca="1">BarriarOptionPrice($T$9,$T$6,Y28,($AE$67-$AE28)/(52*7),$T$7,$T$8,$AC$4:$AC$9)*$T$5</f>
        <v>#VALUE!</v>
      </c>
      <c r="AL28" s="87" t="e">
        <f ca="1">BarriarOptionPrice($T$9,$T$6,Z28,($AE$67-$AE28)/(52*7),$T$7,$T$8,$AC$4:$AC$9)*$T$5</f>
        <v>#VALUE!</v>
      </c>
      <c r="AM28" s="87" t="e">
        <f ca="1">BarriarOptionPrice($T$9,$T$6,AA28,($AE$67-$AE28)/(52*7),$T$7,$T$8,$AC$4:$AC$9)*$T$5</f>
        <v>#VALUE!</v>
      </c>
      <c r="AN28" s="87" t="e">
        <f ca="1">BarriarOptionPrice($T$9,$T$6,AB28,($AE$67-$AE28)/(52*7),$T$7,$T$8,$AC$4:$AC$9)*$T$5</f>
        <v>#VALUE!</v>
      </c>
      <c r="AO28" s="44" t="e">
        <f ca="1">BarriarOptionPrice($T$9,$T$6,AC28,($AE$67-$AE28)/(52*7),$T$7,$T$8,$AC$4:$AC$9)*$T$5</f>
        <v>#VALUE!</v>
      </c>
      <c r="AQ28" s="57">
        <f t="shared" si="6"/>
        <v>91</v>
      </c>
      <c r="AR28" s="87" t="e">
        <f ca="1">BarriarOptionPrice($U$9,$U$6,T28,($AQ$67-$AQ28)/(52*7),$U$7,$U$8,$AC$4:$AC$9)*$U$5</f>
        <v>#VALUE!</v>
      </c>
      <c r="AS28" s="87" t="e">
        <f ca="1">BarriarOptionPrice($U$9,$U$6,U28,($AQ$67-$AQ28)/(52*7),$U$7,$U$8,$AC$4:$AC$9)*$U$5</f>
        <v>#VALUE!</v>
      </c>
      <c r="AT28" s="87" t="e">
        <f ca="1">BarriarOptionPrice($U$9,$U$6,V28,($AQ$67-$AQ28)/(52*7),$U$7,$U$8,$AC$4:$AC$9)*$U$5</f>
        <v>#VALUE!</v>
      </c>
      <c r="AU28" s="87" t="e">
        <f ca="1">BarriarOptionPrice($U$9,$U$6,W28,($AQ$67-$AQ28)/(52*7),$U$7,$U$8,$AC$4:$AC$9)*$U$5</f>
        <v>#VALUE!</v>
      </c>
      <c r="AV28" s="87" t="e">
        <f ca="1">BarriarOptionPrice($U$9,$U$6,X28,($AQ$67-$AQ28)/(52*7),$U$7,$U$8,$AC$4:$AC$9)*$U$5</f>
        <v>#VALUE!</v>
      </c>
      <c r="AW28" s="87" t="e">
        <f ca="1">BarriarOptionPrice($U$9,$U$6,Y28,($AQ$67-$AQ28)/(52*7),$U$7,$U$8,$AC$4:$AC$9)*$U$5</f>
        <v>#VALUE!</v>
      </c>
      <c r="AX28" s="87" t="e">
        <f ca="1">BarriarOptionPrice($U$9,$U$6,Z28,($AQ$67-$AQ28)/(52*7),$U$7,$U$8,$AC$4:$AC$9)*$U$5</f>
        <v>#VALUE!</v>
      </c>
      <c r="AY28" s="87" t="e">
        <f ca="1">BarriarOptionPrice($U$9,$U$6,AA28,($AQ$67-$AQ28)/(52*7),$U$7,$U$8,$AC$4:$AC$9)*$U$5</f>
        <v>#VALUE!</v>
      </c>
      <c r="AZ28" s="87" t="e">
        <f ca="1">BarriarOptionPrice($U$9,$U$6,AB28,($AQ$67-$AQ28)/(52*7),$U$7,$U$8,$AC$4:$AC$9)*$U$5</f>
        <v>#VALUE!</v>
      </c>
      <c r="BA28" s="44" t="e">
        <f ca="1">BarriarOptionPrice($U$9,$U$6,AC28,($AQ$67-$AQ28)/(52*7),$U$7,$U$8,$AC$4:$AC$9)*$U$5</f>
        <v>#VALUE!</v>
      </c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</row>
    <row r="29" spans="2:77" x14ac:dyDescent="0.15">
      <c r="B29" s="16">
        <v>40018</v>
      </c>
      <c r="C29" s="29">
        <f t="array" ref="C29">SUMPRODUCT('ファンドデータ(変更不要)'!K29:P29,TRANSPOSE(戦略の決定!$D$13:$D$18))</f>
        <v>1.1028370799787132E-2</v>
      </c>
      <c r="D29" s="29">
        <f t="array" ref="D29">SUMPRODUCT('ファンドデータ(変更不要)'!K29:P29,TRANSPOSE(戦略の決定!$E$13:$E$18))</f>
        <v>1.0545892910601758E-2</v>
      </c>
      <c r="E29" s="29">
        <f t="array" ref="E29">SUMPRODUCT('ファンドデータ(変更不要)'!K29:P29,TRANSPOSE(戦略の決定!$F$13:$F$18))</f>
        <v>1.0545892910601758E-2</v>
      </c>
      <c r="F29" s="183">
        <f t="shared" si="0"/>
        <v>1.1234908193034598</v>
      </c>
      <c r="G29" s="183">
        <f t="shared" si="1"/>
        <v>1.1525773221482478</v>
      </c>
      <c r="H29" s="75">
        <f t="shared" si="2"/>
        <v>1.1525773221482478</v>
      </c>
      <c r="J29" s="46">
        <f t="shared" si="3"/>
        <v>43616</v>
      </c>
      <c r="K29" s="87">
        <f ca="1">IF(K28=0,0,BarriarOptionPrice(K$9,K$6,戦略の決定!$F$51*OFFSET($F$3,MATCH($J29,$B$4:$B$656,0),0)/OFFSET($F$3,MATCH($J$12,$B$4:$B$656,0),0),($J$64-$J29)/(52*7),K$7,K$8,戦略の決定!$D$13:$D$18)*K$5)</f>
        <v>0</v>
      </c>
      <c r="L29" s="87">
        <f ca="1">IF(L28=0,0,BarriarOptionPrice(L$9,L$6,戦略の決定!$F$51*OFFSET($F$3,MATCH($J29,$B$4:$B$656,0),0)/OFFSET($F$3,MATCH($J$12,$B$4:$B$656,0),0),($J$64-$J29)/(52*7),L$7,L$8,戦略の決定!$D$13:$D$18)*L$5)</f>
        <v>0</v>
      </c>
      <c r="M29" s="87">
        <f ca="1">IF(M28=0,0,BarriarOptionPrice(M$9,M$6,戦略の決定!$F$52*OFFSET($G$3,MATCH($J29,$B$4:$B$656,0),0)/OFFSET($G$3,MATCH($J$12,$B$4:$B$656,0),0),($J$64-$J29)/(52*7),M$7,M$8,戦略の決定!$E$13:$E$18)*M$5)</f>
        <v>74.487642786572223</v>
      </c>
      <c r="N29" s="87">
        <f ca="1">IF(N28=0,0,BarriarOptionPrice(N$9,N$6,戦略の決定!$F$52*OFFSET($G$3,MATCH($J29,$B$4:$B$656,0),0)/OFFSET($G$3,MATCH($J$12,$B$4:$B$656,0),0),($J$64-$J29)/(52*7),N$7,N$8,戦略の決定!$E$13:$E$18)*N$5)</f>
        <v>0</v>
      </c>
      <c r="O29" s="87">
        <f ca="1">IF(O28=0,0,BarriarOptionPrice(O$9,O$6,戦略の決定!$F$53*OFFSET($H$3,MATCH($J29,$B$4:$B$656,0),0)/OFFSET($H$3,MATCH($J$12,$B$4:$B$656,0),0),($J$64-$J29)/(52*7),O$7,O$8,戦略の決定!$F$13:$F$18)*O$5)</f>
        <v>0</v>
      </c>
      <c r="P29" s="44">
        <f ca="1">IF(P28=0,0,BarriarOptionPrice(P$9,P$6,戦略の決定!$F$53*OFFSET($H$3,MATCH($J29,$B$4:$B$656,0),0)/OFFSET($H$3,MATCH($J$12,$B$4:$B$656,0),0),($J$64-$J29)/(52*7),P$7,P$8,戦略の決定!$F$13:$F$18)*P$5)</f>
        <v>0</v>
      </c>
      <c r="S29" s="57">
        <f t="shared" si="4"/>
        <v>98</v>
      </c>
      <c r="T29" s="87" t="e">
        <f ca="1">戦略の決定!$R$10*OFFSET($E$3,MATCH(T$11+$S29,$B$4:$B$656,0),$Z$3)/OFFSET($E$3,MATCH(T$11,$B$4:$B$656,0),$Z$3)</f>
        <v>#VALUE!</v>
      </c>
      <c r="U29" s="87" t="e">
        <f ca="1">戦略の決定!$R$10*OFFSET($E$3,MATCH(U$11+$S29,$B$4:$B$656,0),$Z$3)/OFFSET($E$3,MATCH(U$11,$B$4:$B$656,0),$Z$3)</f>
        <v>#VALUE!</v>
      </c>
      <c r="V29" s="87" t="e">
        <f ca="1">戦略の決定!$R$10*OFFSET($E$3,MATCH(V$11+$S29,$B$4:$B$656,0),$Z$3)/OFFSET($E$3,MATCH(V$11,$B$4:$B$656,0),$Z$3)</f>
        <v>#VALUE!</v>
      </c>
      <c r="W29" s="87" t="e">
        <f ca="1">戦略の決定!$R$10*OFFSET($E$3,MATCH(W$11+$S29,$B$4:$B$656,0),$Z$3)/OFFSET($E$3,MATCH(W$11,$B$4:$B$656,0),$Z$3)</f>
        <v>#VALUE!</v>
      </c>
      <c r="X29" s="87" t="e">
        <f ca="1">戦略の決定!$R$10*OFFSET($E$3,MATCH(X$11+$S29,$B$4:$B$656,0),$Z$3)/OFFSET($E$3,MATCH(X$11,$B$4:$B$656,0),$Z$3)</f>
        <v>#VALUE!</v>
      </c>
      <c r="Y29" s="87" t="e">
        <f ca="1">戦略の決定!$R$10*OFFSET($E$3,MATCH(Y$11+$S29,$B$4:$B$656,0),$Z$3)/OFFSET($E$3,MATCH(Y$11,$B$4:$B$656,0),$Z$3)</f>
        <v>#VALUE!</v>
      </c>
      <c r="Z29" s="87" t="e">
        <f ca="1">戦略の決定!$R$10*OFFSET($E$3,MATCH(Z$11+$S29,$B$4:$B$656,0),$Z$3)/OFFSET($E$3,MATCH(Z$11,$B$4:$B$656,0),$Z$3)</f>
        <v>#VALUE!</v>
      </c>
      <c r="AA29" s="87" t="e">
        <f ca="1">戦略の決定!$R$10*OFFSET($E$3,MATCH(AA$11+$S29,$B$4:$B$656,0),$Z$3)/OFFSET($E$3,MATCH(AA$11,$B$4:$B$656,0),$Z$3)</f>
        <v>#VALUE!</v>
      </c>
      <c r="AB29" s="87" t="e">
        <f ca="1">戦略の決定!$R$10*OFFSET($E$3,MATCH(AB$11+$S29,$B$4:$B$656,0),$Z$3)/OFFSET($E$3,MATCH(AB$11,$B$4:$B$656,0),$Z$3)</f>
        <v>#VALUE!</v>
      </c>
      <c r="AC29" s="44" t="e">
        <f ca="1">戦略の決定!$R$10*OFFSET($E$3,MATCH(AC$11+$S29,$B$4:$B$656,0),$Z$3)/OFFSET($E$3,MATCH(AC$11,$B$4:$B$656,0),$Z$3)</f>
        <v>#VALUE!</v>
      </c>
      <c r="AE29" s="57">
        <f t="shared" si="5"/>
        <v>98</v>
      </c>
      <c r="AF29" s="87" t="e">
        <f ca="1">BarriarOptionPrice($T$9,$T$6,T29,($AE$67-$AE29)/(52*7),$T$7,$T$8,$AC$4:$AC$9)*$T$5</f>
        <v>#VALUE!</v>
      </c>
      <c r="AG29" s="87" t="e">
        <f ca="1">BarriarOptionPrice($T$9,$T$6,U29,($AE$67-$AE29)/(52*7),$T$7,$T$8,$AC$4:$AC$9)*$T$5</f>
        <v>#VALUE!</v>
      </c>
      <c r="AH29" s="87" t="e">
        <f ca="1">BarriarOptionPrice($T$9,$T$6,V29,($AE$67-$AE29)/(52*7),$T$7,$T$8,$AC$4:$AC$9)*$T$5</f>
        <v>#VALUE!</v>
      </c>
      <c r="AI29" s="87" t="e">
        <f ca="1">BarriarOptionPrice($T$9,$T$6,W29,($AE$67-$AE29)/(52*7),$T$7,$T$8,$AC$4:$AC$9)*$T$5</f>
        <v>#VALUE!</v>
      </c>
      <c r="AJ29" s="87" t="e">
        <f ca="1">BarriarOptionPrice($T$9,$T$6,X29,($AE$67-$AE29)/(52*7),$T$7,$T$8,$AC$4:$AC$9)*$T$5</f>
        <v>#VALUE!</v>
      </c>
      <c r="AK29" s="87" t="e">
        <f ca="1">BarriarOptionPrice($T$9,$T$6,Y29,($AE$67-$AE29)/(52*7),$T$7,$T$8,$AC$4:$AC$9)*$T$5</f>
        <v>#VALUE!</v>
      </c>
      <c r="AL29" s="87" t="e">
        <f ca="1">BarriarOptionPrice($T$9,$T$6,Z29,($AE$67-$AE29)/(52*7),$T$7,$T$8,$AC$4:$AC$9)*$T$5</f>
        <v>#VALUE!</v>
      </c>
      <c r="AM29" s="87" t="e">
        <f ca="1">BarriarOptionPrice($T$9,$T$6,AA29,($AE$67-$AE29)/(52*7),$T$7,$T$8,$AC$4:$AC$9)*$T$5</f>
        <v>#VALUE!</v>
      </c>
      <c r="AN29" s="87" t="e">
        <f ca="1">BarriarOptionPrice($T$9,$T$6,AB29,($AE$67-$AE29)/(52*7),$T$7,$T$8,$AC$4:$AC$9)*$T$5</f>
        <v>#VALUE!</v>
      </c>
      <c r="AO29" s="44" t="e">
        <f ca="1">BarriarOptionPrice($T$9,$T$6,AC29,($AE$67-$AE29)/(52*7),$T$7,$T$8,$AC$4:$AC$9)*$T$5</f>
        <v>#VALUE!</v>
      </c>
      <c r="AQ29" s="57">
        <f t="shared" si="6"/>
        <v>98</v>
      </c>
      <c r="AR29" s="87" t="e">
        <f ca="1">BarriarOptionPrice($U$9,$U$6,T29,($AQ$67-$AQ29)/(52*7),$U$7,$U$8,$AC$4:$AC$9)*$U$5</f>
        <v>#VALUE!</v>
      </c>
      <c r="AS29" s="87" t="e">
        <f ca="1">BarriarOptionPrice($U$9,$U$6,U29,($AQ$67-$AQ29)/(52*7),$U$7,$U$8,$AC$4:$AC$9)*$U$5</f>
        <v>#VALUE!</v>
      </c>
      <c r="AT29" s="87" t="e">
        <f ca="1">BarriarOptionPrice($U$9,$U$6,V29,($AQ$67-$AQ29)/(52*7),$U$7,$U$8,$AC$4:$AC$9)*$U$5</f>
        <v>#VALUE!</v>
      </c>
      <c r="AU29" s="87" t="e">
        <f ca="1">BarriarOptionPrice($U$9,$U$6,W29,($AQ$67-$AQ29)/(52*7),$U$7,$U$8,$AC$4:$AC$9)*$U$5</f>
        <v>#VALUE!</v>
      </c>
      <c r="AV29" s="87" t="e">
        <f ca="1">BarriarOptionPrice($U$9,$U$6,X29,($AQ$67-$AQ29)/(52*7),$U$7,$U$8,$AC$4:$AC$9)*$U$5</f>
        <v>#VALUE!</v>
      </c>
      <c r="AW29" s="87" t="e">
        <f ca="1">BarriarOptionPrice($U$9,$U$6,Y29,($AQ$67-$AQ29)/(52*7),$U$7,$U$8,$AC$4:$AC$9)*$U$5</f>
        <v>#VALUE!</v>
      </c>
      <c r="AX29" s="87" t="e">
        <f ca="1">BarriarOptionPrice($U$9,$U$6,Z29,($AQ$67-$AQ29)/(52*7),$U$7,$U$8,$AC$4:$AC$9)*$U$5</f>
        <v>#VALUE!</v>
      </c>
      <c r="AY29" s="87" t="e">
        <f ca="1">BarriarOptionPrice($U$9,$U$6,AA29,($AQ$67-$AQ29)/(52*7),$U$7,$U$8,$AC$4:$AC$9)*$U$5</f>
        <v>#VALUE!</v>
      </c>
      <c r="AZ29" s="87" t="e">
        <f ca="1">BarriarOptionPrice($U$9,$U$6,AB29,($AQ$67-$AQ29)/(52*7),$U$7,$U$8,$AC$4:$AC$9)*$U$5</f>
        <v>#VALUE!</v>
      </c>
      <c r="BA29" s="44" t="e">
        <f ca="1">BarriarOptionPrice($U$9,$U$6,AC29,($AQ$67-$AQ29)/(52*7),$U$7,$U$8,$AC$4:$AC$9)*$U$5</f>
        <v>#VALUE!</v>
      </c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</row>
    <row r="30" spans="2:77" x14ac:dyDescent="0.15">
      <c r="B30" s="16">
        <v>40025</v>
      </c>
      <c r="C30" s="29">
        <f t="array" ref="C30">SUMPRODUCT('ファンドデータ(変更不要)'!K30:P30,TRANSPOSE(戦略の決定!$D$13:$D$18))</f>
        <v>8.9533555846875931E-3</v>
      </c>
      <c r="D30" s="29">
        <f t="array" ref="D30">SUMPRODUCT('ファンドデータ(変更不要)'!K30:P30,TRANSPOSE(戦略の決定!$E$13:$E$18))</f>
        <v>8.326353434560162E-3</v>
      </c>
      <c r="E30" s="29">
        <f t="array" ref="E30">SUMPRODUCT('ファンドデータ(変更不要)'!K30:P30,TRANSPOSE(戦略の決定!$F$13:$F$18))</f>
        <v>8.326353434560162E-3</v>
      </c>
      <c r="F30" s="183">
        <f t="shared" si="0"/>
        <v>1.1335498321048159</v>
      </c>
      <c r="G30" s="183">
        <f t="shared" si="1"/>
        <v>1.1621740882931131</v>
      </c>
      <c r="H30" s="75">
        <f t="shared" si="2"/>
        <v>1.1621740882931131</v>
      </c>
      <c r="J30" s="46">
        <f t="shared" si="3"/>
        <v>43623</v>
      </c>
      <c r="K30" s="87">
        <f ca="1">IF(K29=0,0,BarriarOptionPrice(K$9,K$6,戦略の決定!$F$51*OFFSET($F$3,MATCH($J30,$B$4:$B$656,0),0)/OFFSET($F$3,MATCH($J$12,$B$4:$B$656,0),0),($J$64-$J30)/(52*7),K$7,K$8,戦略の決定!$D$13:$D$18)*K$5)</f>
        <v>0</v>
      </c>
      <c r="L30" s="87">
        <f ca="1">IF(L29=0,0,BarriarOptionPrice(L$9,L$6,戦略の決定!$F$51*OFFSET($F$3,MATCH($J30,$B$4:$B$656,0),0)/OFFSET($F$3,MATCH($J$12,$B$4:$B$656,0),0),($J$64-$J30)/(52*7),L$7,L$8,戦略の決定!$D$13:$D$18)*L$5)</f>
        <v>0</v>
      </c>
      <c r="M30" s="87">
        <f ca="1">IF(M29=0,0,BarriarOptionPrice(M$9,M$6,戦略の決定!$F$52*OFFSET($G$3,MATCH($J30,$B$4:$B$656,0),0)/OFFSET($G$3,MATCH($J$12,$B$4:$B$656,0),0),($J$64-$J30)/(52*7),M$7,M$8,戦略の決定!$E$13:$E$18)*M$5)</f>
        <v>70.971589158784127</v>
      </c>
      <c r="N30" s="87">
        <f ca="1">IF(N29=0,0,BarriarOptionPrice(N$9,N$6,戦略の決定!$F$52*OFFSET($G$3,MATCH($J30,$B$4:$B$656,0),0)/OFFSET($G$3,MATCH($J$12,$B$4:$B$656,0),0),($J$64-$J30)/(52*7),N$7,N$8,戦略の決定!$E$13:$E$18)*N$5)</f>
        <v>0</v>
      </c>
      <c r="O30" s="87">
        <f ca="1">IF(O29=0,0,BarriarOptionPrice(O$9,O$6,戦略の決定!$F$53*OFFSET($H$3,MATCH($J30,$B$4:$B$656,0),0)/OFFSET($H$3,MATCH($J$12,$B$4:$B$656,0),0),($J$64-$J30)/(52*7),O$7,O$8,戦略の決定!$F$13:$F$18)*O$5)</f>
        <v>0</v>
      </c>
      <c r="P30" s="44">
        <f ca="1">IF(P29=0,0,BarriarOptionPrice(P$9,P$6,戦略の決定!$F$53*OFFSET($H$3,MATCH($J30,$B$4:$B$656,0),0)/OFFSET($H$3,MATCH($J$12,$B$4:$B$656,0),0),($J$64-$J30)/(52*7),P$7,P$8,戦略の決定!$F$13:$F$18)*P$5)</f>
        <v>0</v>
      </c>
      <c r="S30" s="57">
        <f t="shared" si="4"/>
        <v>105</v>
      </c>
      <c r="T30" s="87" t="e">
        <f ca="1">戦略の決定!$R$10*OFFSET($E$3,MATCH(T$11+$S30,$B$4:$B$656,0),$Z$3)/OFFSET($E$3,MATCH(T$11,$B$4:$B$656,0),$Z$3)</f>
        <v>#VALUE!</v>
      </c>
      <c r="U30" s="87" t="e">
        <f ca="1">戦略の決定!$R$10*OFFSET($E$3,MATCH(U$11+$S30,$B$4:$B$656,0),$Z$3)/OFFSET($E$3,MATCH(U$11,$B$4:$B$656,0),$Z$3)</f>
        <v>#VALUE!</v>
      </c>
      <c r="V30" s="87" t="e">
        <f ca="1">戦略の決定!$R$10*OFFSET($E$3,MATCH(V$11+$S30,$B$4:$B$656,0),$Z$3)/OFFSET($E$3,MATCH(V$11,$B$4:$B$656,0),$Z$3)</f>
        <v>#VALUE!</v>
      </c>
      <c r="W30" s="87" t="e">
        <f ca="1">戦略の決定!$R$10*OFFSET($E$3,MATCH(W$11+$S30,$B$4:$B$656,0),$Z$3)/OFFSET($E$3,MATCH(W$11,$B$4:$B$656,0),$Z$3)</f>
        <v>#VALUE!</v>
      </c>
      <c r="X30" s="87" t="e">
        <f ca="1">戦略の決定!$R$10*OFFSET($E$3,MATCH(X$11+$S30,$B$4:$B$656,0),$Z$3)/OFFSET($E$3,MATCH(X$11,$B$4:$B$656,0),$Z$3)</f>
        <v>#VALUE!</v>
      </c>
      <c r="Y30" s="87" t="e">
        <f ca="1">戦略の決定!$R$10*OFFSET($E$3,MATCH(Y$11+$S30,$B$4:$B$656,0),$Z$3)/OFFSET($E$3,MATCH(Y$11,$B$4:$B$656,0),$Z$3)</f>
        <v>#VALUE!</v>
      </c>
      <c r="Z30" s="87" t="e">
        <f ca="1">戦略の決定!$R$10*OFFSET($E$3,MATCH(Z$11+$S30,$B$4:$B$656,0),$Z$3)/OFFSET($E$3,MATCH(Z$11,$B$4:$B$656,0),$Z$3)</f>
        <v>#VALUE!</v>
      </c>
      <c r="AA30" s="87" t="e">
        <f ca="1">戦略の決定!$R$10*OFFSET($E$3,MATCH(AA$11+$S30,$B$4:$B$656,0),$Z$3)/OFFSET($E$3,MATCH(AA$11,$B$4:$B$656,0),$Z$3)</f>
        <v>#VALUE!</v>
      </c>
      <c r="AB30" s="87" t="e">
        <f ca="1">戦略の決定!$R$10*OFFSET($E$3,MATCH(AB$11+$S30,$B$4:$B$656,0),$Z$3)/OFFSET($E$3,MATCH(AB$11,$B$4:$B$656,0),$Z$3)</f>
        <v>#VALUE!</v>
      </c>
      <c r="AC30" s="44" t="e">
        <f ca="1">戦略の決定!$R$10*OFFSET($E$3,MATCH(AC$11+$S30,$B$4:$B$656,0),$Z$3)/OFFSET($E$3,MATCH(AC$11,$B$4:$B$656,0),$Z$3)</f>
        <v>#VALUE!</v>
      </c>
      <c r="AE30" s="57">
        <f t="shared" si="5"/>
        <v>105</v>
      </c>
      <c r="AF30" s="87" t="e">
        <f ca="1">BarriarOptionPrice($T$9,$T$6,T30,($AE$67-$AE30)/(52*7),$T$7,$T$8,$AC$4:$AC$9)*$T$5</f>
        <v>#VALUE!</v>
      </c>
      <c r="AG30" s="87" t="e">
        <f ca="1">BarriarOptionPrice($T$9,$T$6,U30,($AE$67-$AE30)/(52*7),$T$7,$T$8,$AC$4:$AC$9)*$T$5</f>
        <v>#VALUE!</v>
      </c>
      <c r="AH30" s="87" t="e">
        <f ca="1">BarriarOptionPrice($T$9,$T$6,V30,($AE$67-$AE30)/(52*7),$T$7,$T$8,$AC$4:$AC$9)*$T$5</f>
        <v>#VALUE!</v>
      </c>
      <c r="AI30" s="87" t="e">
        <f ca="1">BarriarOptionPrice($T$9,$T$6,W30,($AE$67-$AE30)/(52*7),$T$7,$T$8,$AC$4:$AC$9)*$T$5</f>
        <v>#VALUE!</v>
      </c>
      <c r="AJ30" s="87" t="e">
        <f ca="1">BarriarOptionPrice($T$9,$T$6,X30,($AE$67-$AE30)/(52*7),$T$7,$T$8,$AC$4:$AC$9)*$T$5</f>
        <v>#VALUE!</v>
      </c>
      <c r="AK30" s="87" t="e">
        <f ca="1">BarriarOptionPrice($T$9,$T$6,Y30,($AE$67-$AE30)/(52*7),$T$7,$T$8,$AC$4:$AC$9)*$T$5</f>
        <v>#VALUE!</v>
      </c>
      <c r="AL30" s="87" t="e">
        <f ca="1">BarriarOptionPrice($T$9,$T$6,Z30,($AE$67-$AE30)/(52*7),$T$7,$T$8,$AC$4:$AC$9)*$T$5</f>
        <v>#VALUE!</v>
      </c>
      <c r="AM30" s="87" t="e">
        <f ca="1">BarriarOptionPrice($T$9,$T$6,AA30,($AE$67-$AE30)/(52*7),$T$7,$T$8,$AC$4:$AC$9)*$T$5</f>
        <v>#VALUE!</v>
      </c>
      <c r="AN30" s="87" t="e">
        <f ca="1">BarriarOptionPrice($T$9,$T$6,AB30,($AE$67-$AE30)/(52*7),$T$7,$T$8,$AC$4:$AC$9)*$T$5</f>
        <v>#VALUE!</v>
      </c>
      <c r="AO30" s="44" t="e">
        <f ca="1">BarriarOptionPrice($T$9,$T$6,AC30,($AE$67-$AE30)/(52*7),$T$7,$T$8,$AC$4:$AC$9)*$T$5</f>
        <v>#VALUE!</v>
      </c>
      <c r="AQ30" s="57">
        <f t="shared" si="6"/>
        <v>105</v>
      </c>
      <c r="AR30" s="87" t="e">
        <f ca="1">BarriarOptionPrice($U$9,$U$6,T30,($AQ$67-$AQ30)/(52*7),$U$7,$U$8,$AC$4:$AC$9)*$U$5</f>
        <v>#VALUE!</v>
      </c>
      <c r="AS30" s="87" t="e">
        <f ca="1">BarriarOptionPrice($U$9,$U$6,U30,($AQ$67-$AQ30)/(52*7),$U$7,$U$8,$AC$4:$AC$9)*$U$5</f>
        <v>#VALUE!</v>
      </c>
      <c r="AT30" s="87" t="e">
        <f ca="1">BarriarOptionPrice($U$9,$U$6,V30,($AQ$67-$AQ30)/(52*7),$U$7,$U$8,$AC$4:$AC$9)*$U$5</f>
        <v>#VALUE!</v>
      </c>
      <c r="AU30" s="87" t="e">
        <f ca="1">BarriarOptionPrice($U$9,$U$6,W30,($AQ$67-$AQ30)/(52*7),$U$7,$U$8,$AC$4:$AC$9)*$U$5</f>
        <v>#VALUE!</v>
      </c>
      <c r="AV30" s="87" t="e">
        <f ca="1">BarriarOptionPrice($U$9,$U$6,X30,($AQ$67-$AQ30)/(52*7),$U$7,$U$8,$AC$4:$AC$9)*$U$5</f>
        <v>#VALUE!</v>
      </c>
      <c r="AW30" s="87" t="e">
        <f ca="1">BarriarOptionPrice($U$9,$U$6,Y30,($AQ$67-$AQ30)/(52*7),$U$7,$U$8,$AC$4:$AC$9)*$U$5</f>
        <v>#VALUE!</v>
      </c>
      <c r="AX30" s="87" t="e">
        <f ca="1">BarriarOptionPrice($U$9,$U$6,Z30,($AQ$67-$AQ30)/(52*7),$U$7,$U$8,$AC$4:$AC$9)*$U$5</f>
        <v>#VALUE!</v>
      </c>
      <c r="AY30" s="87" t="e">
        <f ca="1">BarriarOptionPrice($U$9,$U$6,AA30,($AQ$67-$AQ30)/(52*7),$U$7,$U$8,$AC$4:$AC$9)*$U$5</f>
        <v>#VALUE!</v>
      </c>
      <c r="AZ30" s="87" t="e">
        <f ca="1">BarriarOptionPrice($U$9,$U$6,AB30,($AQ$67-$AQ30)/(52*7),$U$7,$U$8,$AC$4:$AC$9)*$U$5</f>
        <v>#VALUE!</v>
      </c>
      <c r="BA30" s="44" t="e">
        <f ca="1">BarriarOptionPrice($U$9,$U$6,AC30,($AQ$67-$AQ30)/(52*7),$U$7,$U$8,$AC$4:$AC$9)*$U$5</f>
        <v>#VALUE!</v>
      </c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</row>
    <row r="31" spans="2:77" x14ac:dyDescent="0.15">
      <c r="B31" s="16">
        <v>40032</v>
      </c>
      <c r="C31" s="29">
        <f t="array" ref="C31">SUMPRODUCT('ファンドデータ(変更不要)'!K31:P31,TRANSPOSE(戦略の決定!$D$13:$D$18))</f>
        <v>8.9474788272505788E-3</v>
      </c>
      <c r="D31" s="29">
        <f t="array" ref="D31">SUMPRODUCT('ファンドデータ(変更不要)'!K31:P31,TRANSPOSE(戦略の決定!$E$13:$E$18))</f>
        <v>1.18063369721317E-2</v>
      </c>
      <c r="E31" s="29">
        <f t="array" ref="E31">SUMPRODUCT('ファンドデータ(変更不要)'!K31:P31,TRANSPOSE(戦略の決定!$F$13:$F$18))</f>
        <v>1.18063369721317E-2</v>
      </c>
      <c r="F31" s="183">
        <f t="shared" si="0"/>
        <v>1.1436922452272071</v>
      </c>
      <c r="G31" s="183">
        <f t="shared" si="1"/>
        <v>1.1758951071997816</v>
      </c>
      <c r="H31" s="75">
        <f t="shared" si="2"/>
        <v>1.1758951071997816</v>
      </c>
      <c r="J31" s="46">
        <f t="shared" si="3"/>
        <v>43630</v>
      </c>
      <c r="K31" s="87">
        <f ca="1">IF(K30=0,0,BarriarOptionPrice(K$9,K$6,戦略の決定!$F$51*OFFSET($F$3,MATCH($J31,$B$4:$B$656,0),0)/OFFSET($F$3,MATCH($J$12,$B$4:$B$656,0),0),($J$64-$J31)/(52*7),K$7,K$8,戦略の決定!$D$13:$D$18)*K$5)</f>
        <v>0</v>
      </c>
      <c r="L31" s="87">
        <f ca="1">IF(L30=0,0,BarriarOptionPrice(L$9,L$6,戦略の決定!$F$51*OFFSET($F$3,MATCH($J31,$B$4:$B$656,0),0)/OFFSET($F$3,MATCH($J$12,$B$4:$B$656,0),0),($J$64-$J31)/(52*7),L$7,L$8,戦略の決定!$D$13:$D$18)*L$5)</f>
        <v>0</v>
      </c>
      <c r="M31" s="87">
        <f ca="1">IF(M30=0,0,BarriarOptionPrice(M$9,M$6,戦略の決定!$F$52*OFFSET($G$3,MATCH($J31,$B$4:$B$656,0),0)/OFFSET($G$3,MATCH($J$12,$B$4:$B$656,0),0),($J$64-$J31)/(52*7),M$7,M$8,戦略の決定!$E$13:$E$18)*M$5)</f>
        <v>66.662115216040092</v>
      </c>
      <c r="N31" s="87">
        <f ca="1">IF(N30=0,0,BarriarOptionPrice(N$9,N$6,戦略の決定!$F$52*OFFSET($G$3,MATCH($J31,$B$4:$B$656,0),0)/OFFSET($G$3,MATCH($J$12,$B$4:$B$656,0),0),($J$64-$J31)/(52*7),N$7,N$8,戦略の決定!$E$13:$E$18)*N$5)</f>
        <v>0</v>
      </c>
      <c r="O31" s="87">
        <f ca="1">IF(O30=0,0,BarriarOptionPrice(O$9,O$6,戦略の決定!$F$53*OFFSET($H$3,MATCH($J31,$B$4:$B$656,0),0)/OFFSET($H$3,MATCH($J$12,$B$4:$B$656,0),0),($J$64-$J31)/(52*7),O$7,O$8,戦略の決定!$F$13:$F$18)*O$5)</f>
        <v>0</v>
      </c>
      <c r="P31" s="44">
        <f ca="1">IF(P30=0,0,BarriarOptionPrice(P$9,P$6,戦略の決定!$F$53*OFFSET($H$3,MATCH($J31,$B$4:$B$656,0),0)/OFFSET($H$3,MATCH($J$12,$B$4:$B$656,0),0),($J$64-$J31)/(52*7),P$7,P$8,戦略の決定!$F$13:$F$18)*P$5)</f>
        <v>0</v>
      </c>
      <c r="S31" s="57">
        <f t="shared" si="4"/>
        <v>112</v>
      </c>
      <c r="T31" s="87" t="e">
        <f ca="1">戦略の決定!$R$10*OFFSET($E$3,MATCH(T$11+$S31,$B$4:$B$656,0),$Z$3)/OFFSET($E$3,MATCH(T$11,$B$4:$B$656,0),$Z$3)</f>
        <v>#VALUE!</v>
      </c>
      <c r="U31" s="87" t="e">
        <f ca="1">戦略の決定!$R$10*OFFSET($E$3,MATCH(U$11+$S31,$B$4:$B$656,0),$Z$3)/OFFSET($E$3,MATCH(U$11,$B$4:$B$656,0),$Z$3)</f>
        <v>#VALUE!</v>
      </c>
      <c r="V31" s="87" t="e">
        <f ca="1">戦略の決定!$R$10*OFFSET($E$3,MATCH(V$11+$S31,$B$4:$B$656,0),$Z$3)/OFFSET($E$3,MATCH(V$11,$B$4:$B$656,0),$Z$3)</f>
        <v>#VALUE!</v>
      </c>
      <c r="W31" s="87" t="e">
        <f ca="1">戦略の決定!$R$10*OFFSET($E$3,MATCH(W$11+$S31,$B$4:$B$656,0),$Z$3)/OFFSET($E$3,MATCH(W$11,$B$4:$B$656,0),$Z$3)</f>
        <v>#VALUE!</v>
      </c>
      <c r="X31" s="87" t="e">
        <f ca="1">戦略の決定!$R$10*OFFSET($E$3,MATCH(X$11+$S31,$B$4:$B$656,0),$Z$3)/OFFSET($E$3,MATCH(X$11,$B$4:$B$656,0),$Z$3)</f>
        <v>#VALUE!</v>
      </c>
      <c r="Y31" s="87" t="e">
        <f ca="1">戦略の決定!$R$10*OFFSET($E$3,MATCH(Y$11+$S31,$B$4:$B$656,0),$Z$3)/OFFSET($E$3,MATCH(Y$11,$B$4:$B$656,0),$Z$3)</f>
        <v>#VALUE!</v>
      </c>
      <c r="Z31" s="87" t="e">
        <f ca="1">戦略の決定!$R$10*OFFSET($E$3,MATCH(Z$11+$S31,$B$4:$B$656,0),$Z$3)/OFFSET($E$3,MATCH(Z$11,$B$4:$B$656,0),$Z$3)</f>
        <v>#VALUE!</v>
      </c>
      <c r="AA31" s="87" t="e">
        <f ca="1">戦略の決定!$R$10*OFFSET($E$3,MATCH(AA$11+$S31,$B$4:$B$656,0),$Z$3)/OFFSET($E$3,MATCH(AA$11,$B$4:$B$656,0),$Z$3)</f>
        <v>#VALUE!</v>
      </c>
      <c r="AB31" s="87" t="e">
        <f ca="1">戦略の決定!$R$10*OFFSET($E$3,MATCH(AB$11+$S31,$B$4:$B$656,0),$Z$3)/OFFSET($E$3,MATCH(AB$11,$B$4:$B$656,0),$Z$3)</f>
        <v>#VALUE!</v>
      </c>
      <c r="AC31" s="44" t="e">
        <f ca="1">戦略の決定!$R$10*OFFSET($E$3,MATCH(AC$11+$S31,$B$4:$B$656,0),$Z$3)/OFFSET($E$3,MATCH(AC$11,$B$4:$B$656,0),$Z$3)</f>
        <v>#VALUE!</v>
      </c>
      <c r="AE31" s="57">
        <f t="shared" si="5"/>
        <v>112</v>
      </c>
      <c r="AF31" s="87" t="e">
        <f ca="1">BarriarOptionPrice($T$9,$T$6,T31,($AE$67-$AE31)/(52*7),$T$7,$T$8,$AC$4:$AC$9)*$T$5</f>
        <v>#VALUE!</v>
      </c>
      <c r="AG31" s="87" t="e">
        <f ca="1">BarriarOptionPrice($T$9,$T$6,U31,($AE$67-$AE31)/(52*7),$T$7,$T$8,$AC$4:$AC$9)*$T$5</f>
        <v>#VALUE!</v>
      </c>
      <c r="AH31" s="87" t="e">
        <f ca="1">BarriarOptionPrice($T$9,$T$6,V31,($AE$67-$AE31)/(52*7),$T$7,$T$8,$AC$4:$AC$9)*$T$5</f>
        <v>#VALUE!</v>
      </c>
      <c r="AI31" s="87" t="e">
        <f ca="1">BarriarOptionPrice($T$9,$T$6,W31,($AE$67-$AE31)/(52*7),$T$7,$T$8,$AC$4:$AC$9)*$T$5</f>
        <v>#VALUE!</v>
      </c>
      <c r="AJ31" s="87" t="e">
        <f ca="1">BarriarOptionPrice($T$9,$T$6,X31,($AE$67-$AE31)/(52*7),$T$7,$T$8,$AC$4:$AC$9)*$T$5</f>
        <v>#VALUE!</v>
      </c>
      <c r="AK31" s="87" t="e">
        <f ca="1">BarriarOptionPrice($T$9,$T$6,Y31,($AE$67-$AE31)/(52*7),$T$7,$T$8,$AC$4:$AC$9)*$T$5</f>
        <v>#VALUE!</v>
      </c>
      <c r="AL31" s="87" t="e">
        <f ca="1">BarriarOptionPrice($T$9,$T$6,Z31,($AE$67-$AE31)/(52*7),$T$7,$T$8,$AC$4:$AC$9)*$T$5</f>
        <v>#VALUE!</v>
      </c>
      <c r="AM31" s="87" t="e">
        <f ca="1">BarriarOptionPrice($T$9,$T$6,AA31,($AE$67-$AE31)/(52*7),$T$7,$T$8,$AC$4:$AC$9)*$T$5</f>
        <v>#VALUE!</v>
      </c>
      <c r="AN31" s="87" t="e">
        <f ca="1">BarriarOptionPrice($T$9,$T$6,AB31,($AE$67-$AE31)/(52*7),$T$7,$T$8,$AC$4:$AC$9)*$T$5</f>
        <v>#VALUE!</v>
      </c>
      <c r="AO31" s="44" t="e">
        <f ca="1">BarriarOptionPrice($T$9,$T$6,AC31,($AE$67-$AE31)/(52*7),$T$7,$T$8,$AC$4:$AC$9)*$T$5</f>
        <v>#VALUE!</v>
      </c>
      <c r="AQ31" s="57">
        <f t="shared" si="6"/>
        <v>112</v>
      </c>
      <c r="AR31" s="87" t="e">
        <f ca="1">BarriarOptionPrice($U$9,$U$6,T31,($AQ$67-$AQ31)/(52*7),$U$7,$U$8,$AC$4:$AC$9)*$U$5</f>
        <v>#VALUE!</v>
      </c>
      <c r="AS31" s="87" t="e">
        <f ca="1">BarriarOptionPrice($U$9,$U$6,U31,($AQ$67-$AQ31)/(52*7),$U$7,$U$8,$AC$4:$AC$9)*$U$5</f>
        <v>#VALUE!</v>
      </c>
      <c r="AT31" s="87" t="e">
        <f ca="1">BarriarOptionPrice($U$9,$U$6,V31,($AQ$67-$AQ31)/(52*7),$U$7,$U$8,$AC$4:$AC$9)*$U$5</f>
        <v>#VALUE!</v>
      </c>
      <c r="AU31" s="87" t="e">
        <f ca="1">BarriarOptionPrice($U$9,$U$6,W31,($AQ$67-$AQ31)/(52*7),$U$7,$U$8,$AC$4:$AC$9)*$U$5</f>
        <v>#VALUE!</v>
      </c>
      <c r="AV31" s="87" t="e">
        <f ca="1">BarriarOptionPrice($U$9,$U$6,X31,($AQ$67-$AQ31)/(52*7),$U$7,$U$8,$AC$4:$AC$9)*$U$5</f>
        <v>#VALUE!</v>
      </c>
      <c r="AW31" s="87" t="e">
        <f ca="1">BarriarOptionPrice($U$9,$U$6,Y31,($AQ$67-$AQ31)/(52*7),$U$7,$U$8,$AC$4:$AC$9)*$U$5</f>
        <v>#VALUE!</v>
      </c>
      <c r="AX31" s="87" t="e">
        <f ca="1">BarriarOptionPrice($U$9,$U$6,Z31,($AQ$67-$AQ31)/(52*7),$U$7,$U$8,$AC$4:$AC$9)*$U$5</f>
        <v>#VALUE!</v>
      </c>
      <c r="AY31" s="87" t="e">
        <f ca="1">BarriarOptionPrice($U$9,$U$6,AA31,($AQ$67-$AQ31)/(52*7),$U$7,$U$8,$AC$4:$AC$9)*$U$5</f>
        <v>#VALUE!</v>
      </c>
      <c r="AZ31" s="87" t="e">
        <f ca="1">BarriarOptionPrice($U$9,$U$6,AB31,($AQ$67-$AQ31)/(52*7),$U$7,$U$8,$AC$4:$AC$9)*$U$5</f>
        <v>#VALUE!</v>
      </c>
      <c r="BA31" s="44" t="e">
        <f ca="1">BarriarOptionPrice($U$9,$U$6,AC31,($AQ$67-$AQ31)/(52*7),$U$7,$U$8,$AC$4:$AC$9)*$U$5</f>
        <v>#VALUE!</v>
      </c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</row>
    <row r="32" spans="2:77" x14ac:dyDescent="0.15">
      <c r="B32" s="16">
        <v>40039</v>
      </c>
      <c r="C32" s="29">
        <f t="array" ref="C32">SUMPRODUCT('ファンドデータ(変更不要)'!K32:P32,TRANSPOSE(戦略の決定!$D$13:$D$18))</f>
        <v>7.9996653922707189E-3</v>
      </c>
      <c r="D32" s="29">
        <f t="array" ref="D32">SUMPRODUCT('ファンドデータ(変更不要)'!K32:P32,TRANSPOSE(戦略の決定!$E$13:$E$18))</f>
        <v>1.205131563037189E-2</v>
      </c>
      <c r="E32" s="29">
        <f t="array" ref="E32">SUMPRODUCT('ファンドデータ(変更不要)'!K32:P32,TRANSPOSE(戦略の決定!$F$13:$F$18))</f>
        <v>1.205131563037189E-2</v>
      </c>
      <c r="F32" s="183">
        <f t="shared" si="0"/>
        <v>1.1528414005007597</v>
      </c>
      <c r="G32" s="183">
        <f t="shared" si="1"/>
        <v>1.1900661902848562</v>
      </c>
      <c r="H32" s="75">
        <f t="shared" si="2"/>
        <v>1.1900661902848562</v>
      </c>
      <c r="J32" s="46">
        <f t="shared" si="3"/>
        <v>43637</v>
      </c>
      <c r="K32" s="87">
        <f ca="1">IF(K31=0,0,BarriarOptionPrice(K$9,K$6,戦略の決定!$F$51*OFFSET($F$3,MATCH($J32,$B$4:$B$656,0),0)/OFFSET($F$3,MATCH($J$12,$B$4:$B$656,0),0),($J$64-$J32)/(52*7),K$7,K$8,戦略の決定!$D$13:$D$18)*K$5)</f>
        <v>0</v>
      </c>
      <c r="L32" s="87">
        <f ca="1">IF(L31=0,0,BarriarOptionPrice(L$9,L$6,戦略の決定!$F$51*OFFSET($F$3,MATCH($J32,$B$4:$B$656,0),0)/OFFSET($F$3,MATCH($J$12,$B$4:$B$656,0),0),($J$64-$J32)/(52*7),L$7,L$8,戦略の決定!$D$13:$D$18)*L$5)</f>
        <v>0</v>
      </c>
      <c r="M32" s="87">
        <f ca="1">IF(M31=0,0,BarriarOptionPrice(M$9,M$6,戦略の決定!$F$52*OFFSET($G$3,MATCH($J32,$B$4:$B$656,0),0)/OFFSET($G$3,MATCH($J$12,$B$4:$B$656,0),0),($J$64-$J32)/(52*7),M$7,M$8,戦略の決定!$E$13:$E$18)*M$5)</f>
        <v>64.602272653220211</v>
      </c>
      <c r="N32" s="87">
        <f ca="1">IF(N31=0,0,BarriarOptionPrice(N$9,N$6,戦略の決定!$F$52*OFFSET($G$3,MATCH($J32,$B$4:$B$656,0),0)/OFFSET($G$3,MATCH($J$12,$B$4:$B$656,0),0),($J$64-$J32)/(52*7),N$7,N$8,戦略の決定!$E$13:$E$18)*N$5)</f>
        <v>0</v>
      </c>
      <c r="O32" s="87">
        <f ca="1">IF(O31=0,0,BarriarOptionPrice(O$9,O$6,戦略の決定!$F$53*OFFSET($H$3,MATCH($J32,$B$4:$B$656,0),0)/OFFSET($H$3,MATCH($J$12,$B$4:$B$656,0),0),($J$64-$J32)/(52*7),O$7,O$8,戦略の決定!$F$13:$F$18)*O$5)</f>
        <v>0</v>
      </c>
      <c r="P32" s="44">
        <f ca="1">IF(P31=0,0,BarriarOptionPrice(P$9,P$6,戦略の決定!$F$53*OFFSET($H$3,MATCH($J32,$B$4:$B$656,0),0)/OFFSET($H$3,MATCH($J$12,$B$4:$B$656,0),0),($J$64-$J32)/(52*7),P$7,P$8,戦略の決定!$F$13:$F$18)*P$5)</f>
        <v>0</v>
      </c>
      <c r="S32" s="57">
        <f t="shared" si="4"/>
        <v>119</v>
      </c>
      <c r="T32" s="87" t="e">
        <f ca="1">戦略の決定!$R$10*OFFSET($E$3,MATCH(T$11+$S32,$B$4:$B$656,0),$Z$3)/OFFSET($E$3,MATCH(T$11,$B$4:$B$656,0),$Z$3)</f>
        <v>#VALUE!</v>
      </c>
      <c r="U32" s="87" t="e">
        <f ca="1">戦略の決定!$R$10*OFFSET($E$3,MATCH(U$11+$S32,$B$4:$B$656,0),$Z$3)/OFFSET($E$3,MATCH(U$11,$B$4:$B$656,0),$Z$3)</f>
        <v>#VALUE!</v>
      </c>
      <c r="V32" s="87" t="e">
        <f ca="1">戦略の決定!$R$10*OFFSET($E$3,MATCH(V$11+$S32,$B$4:$B$656,0),$Z$3)/OFFSET($E$3,MATCH(V$11,$B$4:$B$656,0),$Z$3)</f>
        <v>#VALUE!</v>
      </c>
      <c r="W32" s="87" t="e">
        <f ca="1">戦略の決定!$R$10*OFFSET($E$3,MATCH(W$11+$S32,$B$4:$B$656,0),$Z$3)/OFFSET($E$3,MATCH(W$11,$B$4:$B$656,0),$Z$3)</f>
        <v>#VALUE!</v>
      </c>
      <c r="X32" s="87" t="e">
        <f ca="1">戦略の決定!$R$10*OFFSET($E$3,MATCH(X$11+$S32,$B$4:$B$656,0),$Z$3)/OFFSET($E$3,MATCH(X$11,$B$4:$B$656,0),$Z$3)</f>
        <v>#VALUE!</v>
      </c>
      <c r="Y32" s="87" t="e">
        <f ca="1">戦略の決定!$R$10*OFFSET($E$3,MATCH(Y$11+$S32,$B$4:$B$656,0),$Z$3)/OFFSET($E$3,MATCH(Y$11,$B$4:$B$656,0),$Z$3)</f>
        <v>#VALUE!</v>
      </c>
      <c r="Z32" s="87" t="e">
        <f ca="1">戦略の決定!$R$10*OFFSET($E$3,MATCH(Z$11+$S32,$B$4:$B$656,0),$Z$3)/OFFSET($E$3,MATCH(Z$11,$B$4:$B$656,0),$Z$3)</f>
        <v>#VALUE!</v>
      </c>
      <c r="AA32" s="87" t="e">
        <f ca="1">戦略の決定!$R$10*OFFSET($E$3,MATCH(AA$11+$S32,$B$4:$B$656,0),$Z$3)/OFFSET($E$3,MATCH(AA$11,$B$4:$B$656,0),$Z$3)</f>
        <v>#VALUE!</v>
      </c>
      <c r="AB32" s="87" t="e">
        <f ca="1">戦略の決定!$R$10*OFFSET($E$3,MATCH(AB$11+$S32,$B$4:$B$656,0),$Z$3)/OFFSET($E$3,MATCH(AB$11,$B$4:$B$656,0),$Z$3)</f>
        <v>#VALUE!</v>
      </c>
      <c r="AC32" s="44" t="e">
        <f ca="1">戦略の決定!$R$10*OFFSET($E$3,MATCH(AC$11+$S32,$B$4:$B$656,0),$Z$3)/OFFSET($E$3,MATCH(AC$11,$B$4:$B$656,0),$Z$3)</f>
        <v>#VALUE!</v>
      </c>
      <c r="AE32" s="57">
        <f t="shared" si="5"/>
        <v>119</v>
      </c>
      <c r="AF32" s="87" t="e">
        <f ca="1">BarriarOptionPrice($T$9,$T$6,T32,($AE$67-$AE32)/(52*7),$T$7,$T$8,$AC$4:$AC$9)*$T$5</f>
        <v>#VALUE!</v>
      </c>
      <c r="AG32" s="87" t="e">
        <f ca="1">BarriarOptionPrice($T$9,$T$6,U32,($AE$67-$AE32)/(52*7),$T$7,$T$8,$AC$4:$AC$9)*$T$5</f>
        <v>#VALUE!</v>
      </c>
      <c r="AH32" s="87" t="e">
        <f ca="1">BarriarOptionPrice($T$9,$T$6,V32,($AE$67-$AE32)/(52*7),$T$7,$T$8,$AC$4:$AC$9)*$T$5</f>
        <v>#VALUE!</v>
      </c>
      <c r="AI32" s="87" t="e">
        <f ca="1">BarriarOptionPrice($T$9,$T$6,W32,($AE$67-$AE32)/(52*7),$T$7,$T$8,$AC$4:$AC$9)*$T$5</f>
        <v>#VALUE!</v>
      </c>
      <c r="AJ32" s="87" t="e">
        <f ca="1">BarriarOptionPrice($T$9,$T$6,X32,($AE$67-$AE32)/(52*7),$T$7,$T$8,$AC$4:$AC$9)*$T$5</f>
        <v>#VALUE!</v>
      </c>
      <c r="AK32" s="87" t="e">
        <f ca="1">BarriarOptionPrice($T$9,$T$6,Y32,($AE$67-$AE32)/(52*7),$T$7,$T$8,$AC$4:$AC$9)*$T$5</f>
        <v>#VALUE!</v>
      </c>
      <c r="AL32" s="87" t="e">
        <f ca="1">BarriarOptionPrice($T$9,$T$6,Z32,($AE$67-$AE32)/(52*7),$T$7,$T$8,$AC$4:$AC$9)*$T$5</f>
        <v>#VALUE!</v>
      </c>
      <c r="AM32" s="87" t="e">
        <f ca="1">BarriarOptionPrice($T$9,$T$6,AA32,($AE$67-$AE32)/(52*7),$T$7,$T$8,$AC$4:$AC$9)*$T$5</f>
        <v>#VALUE!</v>
      </c>
      <c r="AN32" s="87" t="e">
        <f ca="1">BarriarOptionPrice($T$9,$T$6,AB32,($AE$67-$AE32)/(52*7),$T$7,$T$8,$AC$4:$AC$9)*$T$5</f>
        <v>#VALUE!</v>
      </c>
      <c r="AO32" s="44" t="e">
        <f ca="1">BarriarOptionPrice($T$9,$T$6,AC32,($AE$67-$AE32)/(52*7),$T$7,$T$8,$AC$4:$AC$9)*$T$5</f>
        <v>#VALUE!</v>
      </c>
      <c r="AQ32" s="57">
        <f t="shared" si="6"/>
        <v>119</v>
      </c>
      <c r="AR32" s="87" t="e">
        <f ca="1">BarriarOptionPrice($U$9,$U$6,T32,($AQ$67-$AQ32)/(52*7),$U$7,$U$8,$AC$4:$AC$9)*$U$5</f>
        <v>#VALUE!</v>
      </c>
      <c r="AS32" s="87" t="e">
        <f ca="1">BarriarOptionPrice($U$9,$U$6,U32,($AQ$67-$AQ32)/(52*7),$U$7,$U$8,$AC$4:$AC$9)*$U$5</f>
        <v>#VALUE!</v>
      </c>
      <c r="AT32" s="87" t="e">
        <f ca="1">BarriarOptionPrice($U$9,$U$6,V32,($AQ$67-$AQ32)/(52*7),$U$7,$U$8,$AC$4:$AC$9)*$U$5</f>
        <v>#VALUE!</v>
      </c>
      <c r="AU32" s="87" t="e">
        <f ca="1">BarriarOptionPrice($U$9,$U$6,W32,($AQ$67-$AQ32)/(52*7),$U$7,$U$8,$AC$4:$AC$9)*$U$5</f>
        <v>#VALUE!</v>
      </c>
      <c r="AV32" s="87" t="e">
        <f ca="1">BarriarOptionPrice($U$9,$U$6,X32,($AQ$67-$AQ32)/(52*7),$U$7,$U$8,$AC$4:$AC$9)*$U$5</f>
        <v>#VALUE!</v>
      </c>
      <c r="AW32" s="87" t="e">
        <f ca="1">BarriarOptionPrice($U$9,$U$6,Y32,($AQ$67-$AQ32)/(52*7),$U$7,$U$8,$AC$4:$AC$9)*$U$5</f>
        <v>#VALUE!</v>
      </c>
      <c r="AX32" s="87" t="e">
        <f ca="1">BarriarOptionPrice($U$9,$U$6,Z32,($AQ$67-$AQ32)/(52*7),$U$7,$U$8,$AC$4:$AC$9)*$U$5</f>
        <v>#VALUE!</v>
      </c>
      <c r="AY32" s="87" t="e">
        <f ca="1">BarriarOptionPrice($U$9,$U$6,AA32,($AQ$67-$AQ32)/(52*7),$U$7,$U$8,$AC$4:$AC$9)*$U$5</f>
        <v>#VALUE!</v>
      </c>
      <c r="AZ32" s="87" t="e">
        <f ca="1">BarriarOptionPrice($U$9,$U$6,AB32,($AQ$67-$AQ32)/(52*7),$U$7,$U$8,$AC$4:$AC$9)*$U$5</f>
        <v>#VALUE!</v>
      </c>
      <c r="BA32" s="44" t="e">
        <f ca="1">BarriarOptionPrice($U$9,$U$6,AC32,($AQ$67-$AQ32)/(52*7),$U$7,$U$8,$AC$4:$AC$9)*$U$5</f>
        <v>#VALUE!</v>
      </c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</row>
    <row r="33" spans="2:77" x14ac:dyDescent="0.15">
      <c r="B33" s="16">
        <v>40046</v>
      </c>
      <c r="C33" s="29">
        <f t="array" ref="C33">SUMPRODUCT('ファンドデータ(変更不要)'!K33:P33,TRANSPOSE(戦略の決定!$D$13:$D$18))</f>
        <v>-1.2111630895989392E-2</v>
      </c>
      <c r="D33" s="29">
        <f t="array" ref="D33">SUMPRODUCT('ファンドデータ(変更不要)'!K33:P33,TRANSPOSE(戦略の決定!$E$13:$E$18))</f>
        <v>-1.6679372708986111E-2</v>
      </c>
      <c r="E33" s="29">
        <f t="array" ref="E33">SUMPRODUCT('ファンドデータ(変更不要)'!K33:P33,TRANSPOSE(戦略の決定!$F$13:$F$18))</f>
        <v>-1.6679372708986111E-2</v>
      </c>
      <c r="F33" s="183">
        <f t="shared" si="0"/>
        <v>1.138878610976279</v>
      </c>
      <c r="G33" s="183">
        <f t="shared" si="1"/>
        <v>1.1702166327487318</v>
      </c>
      <c r="H33" s="75">
        <f t="shared" si="2"/>
        <v>1.1702166327487318</v>
      </c>
      <c r="J33" s="46">
        <f t="shared" si="3"/>
        <v>43644</v>
      </c>
      <c r="K33" s="87">
        <f ca="1">IF(K32=0,0,BarriarOptionPrice(K$9,K$6,戦略の決定!$F$51*OFFSET($F$3,MATCH($J33,$B$4:$B$656,0),0)/OFFSET($F$3,MATCH($J$12,$B$4:$B$656,0),0),($J$64-$J33)/(52*7),K$7,K$8,戦略の決定!$D$13:$D$18)*K$5)</f>
        <v>0</v>
      </c>
      <c r="L33" s="87">
        <f ca="1">IF(L32=0,0,BarriarOptionPrice(L$9,L$6,戦略の決定!$F$51*OFFSET($F$3,MATCH($J33,$B$4:$B$656,0),0)/OFFSET($F$3,MATCH($J$12,$B$4:$B$656,0),0),($J$64-$J33)/(52*7),L$7,L$8,戦略の決定!$D$13:$D$18)*L$5)</f>
        <v>0</v>
      </c>
      <c r="M33" s="87">
        <f ca="1">IF(M32=0,0,BarriarOptionPrice(M$9,M$6,戦略の決定!$F$52*OFFSET($G$3,MATCH($J33,$B$4:$B$656,0),0)/OFFSET($G$3,MATCH($J$12,$B$4:$B$656,0),0),($J$64-$J33)/(52*7),M$7,M$8,戦略の決定!$E$13:$E$18)*M$5)</f>
        <v>63.944921709199662</v>
      </c>
      <c r="N33" s="87">
        <f ca="1">IF(N32=0,0,BarriarOptionPrice(N$9,N$6,戦略の決定!$F$52*OFFSET($G$3,MATCH($J33,$B$4:$B$656,0),0)/OFFSET($G$3,MATCH($J$12,$B$4:$B$656,0),0),($J$64-$J33)/(52*7),N$7,N$8,戦略の決定!$E$13:$E$18)*N$5)</f>
        <v>0</v>
      </c>
      <c r="O33" s="87">
        <f ca="1">IF(O32=0,0,BarriarOptionPrice(O$9,O$6,戦略の決定!$F$53*OFFSET($H$3,MATCH($J33,$B$4:$B$656,0),0)/OFFSET($H$3,MATCH($J$12,$B$4:$B$656,0),0),($J$64-$J33)/(52*7),O$7,O$8,戦略の決定!$F$13:$F$18)*O$5)</f>
        <v>0</v>
      </c>
      <c r="P33" s="44">
        <f ca="1">IF(P32=0,0,BarriarOptionPrice(P$9,P$6,戦略の決定!$F$53*OFFSET($H$3,MATCH($J33,$B$4:$B$656,0),0)/OFFSET($H$3,MATCH($J$12,$B$4:$B$656,0),0),($J$64-$J33)/(52*7),P$7,P$8,戦略の決定!$F$13:$F$18)*P$5)</f>
        <v>0</v>
      </c>
      <c r="S33" s="57">
        <f t="shared" si="4"/>
        <v>126</v>
      </c>
      <c r="T33" s="87" t="e">
        <f ca="1">戦略の決定!$R$10*OFFSET($E$3,MATCH(T$11+$S33,$B$4:$B$656,0),$Z$3)/OFFSET($E$3,MATCH(T$11,$B$4:$B$656,0),$Z$3)</f>
        <v>#VALUE!</v>
      </c>
      <c r="U33" s="87" t="e">
        <f ca="1">戦略の決定!$R$10*OFFSET($E$3,MATCH(U$11+$S33,$B$4:$B$656,0),$Z$3)/OFFSET($E$3,MATCH(U$11,$B$4:$B$656,0),$Z$3)</f>
        <v>#VALUE!</v>
      </c>
      <c r="V33" s="87" t="e">
        <f ca="1">戦略の決定!$R$10*OFFSET($E$3,MATCH(V$11+$S33,$B$4:$B$656,0),$Z$3)/OFFSET($E$3,MATCH(V$11,$B$4:$B$656,0),$Z$3)</f>
        <v>#VALUE!</v>
      </c>
      <c r="W33" s="87" t="e">
        <f ca="1">戦略の決定!$R$10*OFFSET($E$3,MATCH(W$11+$S33,$B$4:$B$656,0),$Z$3)/OFFSET($E$3,MATCH(W$11,$B$4:$B$656,0),$Z$3)</f>
        <v>#VALUE!</v>
      </c>
      <c r="X33" s="87" t="e">
        <f ca="1">戦略の決定!$R$10*OFFSET($E$3,MATCH(X$11+$S33,$B$4:$B$656,0),$Z$3)/OFFSET($E$3,MATCH(X$11,$B$4:$B$656,0),$Z$3)</f>
        <v>#VALUE!</v>
      </c>
      <c r="Y33" s="87" t="e">
        <f ca="1">戦略の決定!$R$10*OFFSET($E$3,MATCH(Y$11+$S33,$B$4:$B$656,0),$Z$3)/OFFSET($E$3,MATCH(Y$11,$B$4:$B$656,0),$Z$3)</f>
        <v>#VALUE!</v>
      </c>
      <c r="Z33" s="87" t="e">
        <f ca="1">戦略の決定!$R$10*OFFSET($E$3,MATCH(Z$11+$S33,$B$4:$B$656,0),$Z$3)/OFFSET($E$3,MATCH(Z$11,$B$4:$B$656,0),$Z$3)</f>
        <v>#VALUE!</v>
      </c>
      <c r="AA33" s="87" t="e">
        <f ca="1">戦略の決定!$R$10*OFFSET($E$3,MATCH(AA$11+$S33,$B$4:$B$656,0),$Z$3)/OFFSET($E$3,MATCH(AA$11,$B$4:$B$656,0),$Z$3)</f>
        <v>#VALUE!</v>
      </c>
      <c r="AB33" s="87" t="e">
        <f ca="1">戦略の決定!$R$10*OFFSET($E$3,MATCH(AB$11+$S33,$B$4:$B$656,0),$Z$3)/OFFSET($E$3,MATCH(AB$11,$B$4:$B$656,0),$Z$3)</f>
        <v>#VALUE!</v>
      </c>
      <c r="AC33" s="44" t="e">
        <f ca="1">戦略の決定!$R$10*OFFSET($E$3,MATCH(AC$11+$S33,$B$4:$B$656,0),$Z$3)/OFFSET($E$3,MATCH(AC$11,$B$4:$B$656,0),$Z$3)</f>
        <v>#VALUE!</v>
      </c>
      <c r="AE33" s="57">
        <f t="shared" si="5"/>
        <v>126</v>
      </c>
      <c r="AF33" s="87" t="e">
        <f ca="1">BarriarOptionPrice($T$9,$T$6,T33,($AE$67-$AE33)/(52*7),$T$7,$T$8,$AC$4:$AC$9)*$T$5</f>
        <v>#VALUE!</v>
      </c>
      <c r="AG33" s="87" t="e">
        <f ca="1">BarriarOptionPrice($T$9,$T$6,U33,($AE$67-$AE33)/(52*7),$T$7,$T$8,$AC$4:$AC$9)*$T$5</f>
        <v>#VALUE!</v>
      </c>
      <c r="AH33" s="87" t="e">
        <f ca="1">BarriarOptionPrice($T$9,$T$6,V33,($AE$67-$AE33)/(52*7),$T$7,$T$8,$AC$4:$AC$9)*$T$5</f>
        <v>#VALUE!</v>
      </c>
      <c r="AI33" s="87" t="e">
        <f ca="1">BarriarOptionPrice($T$9,$T$6,W33,($AE$67-$AE33)/(52*7),$T$7,$T$8,$AC$4:$AC$9)*$T$5</f>
        <v>#VALUE!</v>
      </c>
      <c r="AJ33" s="87" t="e">
        <f ca="1">BarriarOptionPrice($T$9,$T$6,X33,($AE$67-$AE33)/(52*7),$T$7,$T$8,$AC$4:$AC$9)*$T$5</f>
        <v>#VALUE!</v>
      </c>
      <c r="AK33" s="87" t="e">
        <f ca="1">BarriarOptionPrice($T$9,$T$6,Y33,($AE$67-$AE33)/(52*7),$T$7,$T$8,$AC$4:$AC$9)*$T$5</f>
        <v>#VALUE!</v>
      </c>
      <c r="AL33" s="87" t="e">
        <f ca="1">BarriarOptionPrice($T$9,$T$6,Z33,($AE$67-$AE33)/(52*7),$T$7,$T$8,$AC$4:$AC$9)*$T$5</f>
        <v>#VALUE!</v>
      </c>
      <c r="AM33" s="87" t="e">
        <f ca="1">BarriarOptionPrice($T$9,$T$6,AA33,($AE$67-$AE33)/(52*7),$T$7,$T$8,$AC$4:$AC$9)*$T$5</f>
        <v>#VALUE!</v>
      </c>
      <c r="AN33" s="87" t="e">
        <f ca="1">BarriarOptionPrice($T$9,$T$6,AB33,($AE$67-$AE33)/(52*7),$T$7,$T$8,$AC$4:$AC$9)*$T$5</f>
        <v>#VALUE!</v>
      </c>
      <c r="AO33" s="44" t="e">
        <f ca="1">BarriarOptionPrice($T$9,$T$6,AC33,($AE$67-$AE33)/(52*7),$T$7,$T$8,$AC$4:$AC$9)*$T$5</f>
        <v>#VALUE!</v>
      </c>
      <c r="AQ33" s="57">
        <f t="shared" si="6"/>
        <v>126</v>
      </c>
      <c r="AR33" s="87" t="e">
        <f ca="1">BarriarOptionPrice($U$9,$U$6,T33,($AQ$67-$AQ33)/(52*7),$U$7,$U$8,$AC$4:$AC$9)*$U$5</f>
        <v>#VALUE!</v>
      </c>
      <c r="AS33" s="87" t="e">
        <f ca="1">BarriarOptionPrice($U$9,$U$6,U33,($AQ$67-$AQ33)/(52*7),$U$7,$U$8,$AC$4:$AC$9)*$U$5</f>
        <v>#VALUE!</v>
      </c>
      <c r="AT33" s="87" t="e">
        <f ca="1">BarriarOptionPrice($U$9,$U$6,V33,($AQ$67-$AQ33)/(52*7),$U$7,$U$8,$AC$4:$AC$9)*$U$5</f>
        <v>#VALUE!</v>
      </c>
      <c r="AU33" s="87" t="e">
        <f ca="1">BarriarOptionPrice($U$9,$U$6,W33,($AQ$67-$AQ33)/(52*7),$U$7,$U$8,$AC$4:$AC$9)*$U$5</f>
        <v>#VALUE!</v>
      </c>
      <c r="AV33" s="87" t="e">
        <f ca="1">BarriarOptionPrice($U$9,$U$6,X33,($AQ$67-$AQ33)/(52*7),$U$7,$U$8,$AC$4:$AC$9)*$U$5</f>
        <v>#VALUE!</v>
      </c>
      <c r="AW33" s="87" t="e">
        <f ca="1">BarriarOptionPrice($U$9,$U$6,Y33,($AQ$67-$AQ33)/(52*7),$U$7,$U$8,$AC$4:$AC$9)*$U$5</f>
        <v>#VALUE!</v>
      </c>
      <c r="AX33" s="87" t="e">
        <f ca="1">BarriarOptionPrice($U$9,$U$6,Z33,($AQ$67-$AQ33)/(52*7),$U$7,$U$8,$AC$4:$AC$9)*$U$5</f>
        <v>#VALUE!</v>
      </c>
      <c r="AY33" s="87" t="e">
        <f ca="1">BarriarOptionPrice($U$9,$U$6,AA33,($AQ$67-$AQ33)/(52*7),$U$7,$U$8,$AC$4:$AC$9)*$U$5</f>
        <v>#VALUE!</v>
      </c>
      <c r="AZ33" s="87" t="e">
        <f ca="1">BarriarOptionPrice($U$9,$U$6,AB33,($AQ$67-$AQ33)/(52*7),$U$7,$U$8,$AC$4:$AC$9)*$U$5</f>
        <v>#VALUE!</v>
      </c>
      <c r="BA33" s="44" t="e">
        <f ca="1">BarriarOptionPrice($U$9,$U$6,AC33,($AQ$67-$AQ33)/(52*7),$U$7,$U$8,$AC$4:$AC$9)*$U$5</f>
        <v>#VALUE!</v>
      </c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</row>
    <row r="34" spans="2:77" x14ac:dyDescent="0.15">
      <c r="B34" s="16">
        <v>40053</v>
      </c>
      <c r="C34" s="29">
        <f t="array" ref="C34">SUMPRODUCT('ファンドデータ(変更不要)'!K34:P34,TRANSPOSE(戦略の決定!$D$13:$D$18))</f>
        <v>7.8026425442763664E-3</v>
      </c>
      <c r="D34" s="29">
        <f t="array" ref="D34">SUMPRODUCT('ファンドデータ(変更不要)'!K34:P34,TRANSPOSE(戦略の決定!$E$13:$E$18))</f>
        <v>9.7055171199530253E-3</v>
      </c>
      <c r="E34" s="29">
        <f t="array" ref="E34">SUMPRODUCT('ファンドデータ(変更不要)'!K34:P34,TRANSPOSE(戦略の決定!$F$13:$F$18))</f>
        <v>9.7055171199530253E-3</v>
      </c>
      <c r="F34" s="183">
        <f t="shared" si="0"/>
        <v>1.1477648736790489</v>
      </c>
      <c r="G34" s="183">
        <f t="shared" si="1"/>
        <v>1.1815741903119283</v>
      </c>
      <c r="H34" s="75">
        <f t="shared" si="2"/>
        <v>1.1815741903119283</v>
      </c>
      <c r="J34" s="46">
        <f t="shared" si="3"/>
        <v>43651</v>
      </c>
      <c r="K34" s="87">
        <f ca="1">IF(K33=0,0,BarriarOptionPrice(K$9,K$6,戦略の決定!$F$51*OFFSET($F$3,MATCH($J34,$B$4:$B$656,0),0)/OFFSET($F$3,MATCH($J$12,$B$4:$B$656,0),0),($J$64-$J34)/(52*7),K$7,K$8,戦略の決定!$D$13:$D$18)*K$5)</f>
        <v>0</v>
      </c>
      <c r="L34" s="87">
        <f ca="1">IF(L33=0,0,BarriarOptionPrice(L$9,L$6,戦略の決定!$F$51*OFFSET($F$3,MATCH($J34,$B$4:$B$656,0),0)/OFFSET($F$3,MATCH($J$12,$B$4:$B$656,0),0),($J$64-$J34)/(52*7),L$7,L$8,戦略の決定!$D$13:$D$18)*L$5)</f>
        <v>0</v>
      </c>
      <c r="M34" s="87">
        <f ca="1">IF(M33=0,0,BarriarOptionPrice(M$9,M$6,戦略の決定!$F$52*OFFSET($G$3,MATCH($J34,$B$4:$B$656,0),0)/OFFSET($G$3,MATCH($J$12,$B$4:$B$656,0),0),($J$64-$J34)/(52*7),M$7,M$8,戦略の決定!$E$13:$E$18)*M$5)</f>
        <v>54.984932908482222</v>
      </c>
      <c r="N34" s="87">
        <f ca="1">IF(N33=0,0,BarriarOptionPrice(N$9,N$6,戦略の決定!$F$52*OFFSET($G$3,MATCH($J34,$B$4:$B$656,0),0)/OFFSET($G$3,MATCH($J$12,$B$4:$B$656,0),0),($J$64-$J34)/(52*7),N$7,N$8,戦略の決定!$E$13:$E$18)*N$5)</f>
        <v>0</v>
      </c>
      <c r="O34" s="87">
        <f ca="1">IF(O33=0,0,BarriarOptionPrice(O$9,O$6,戦略の決定!$F$53*OFFSET($H$3,MATCH($J34,$B$4:$B$656,0),0)/OFFSET($H$3,MATCH($J$12,$B$4:$B$656,0),0),($J$64-$J34)/(52*7),O$7,O$8,戦略の決定!$F$13:$F$18)*O$5)</f>
        <v>0</v>
      </c>
      <c r="P34" s="44">
        <f ca="1">IF(P33=0,0,BarriarOptionPrice(P$9,P$6,戦略の決定!$F$53*OFFSET($H$3,MATCH($J34,$B$4:$B$656,0),0)/OFFSET($H$3,MATCH($J$12,$B$4:$B$656,0),0),($J$64-$J34)/(52*7),P$7,P$8,戦略の決定!$F$13:$F$18)*P$5)</f>
        <v>0</v>
      </c>
      <c r="S34" s="57">
        <f t="shared" si="4"/>
        <v>133</v>
      </c>
      <c r="T34" s="87" t="e">
        <f ca="1">戦略の決定!$R$10*OFFSET($E$3,MATCH(T$11+$S34,$B$4:$B$656,0),$Z$3)/OFFSET($E$3,MATCH(T$11,$B$4:$B$656,0),$Z$3)</f>
        <v>#VALUE!</v>
      </c>
      <c r="U34" s="87" t="e">
        <f ca="1">戦略の決定!$R$10*OFFSET($E$3,MATCH(U$11+$S34,$B$4:$B$656,0),$Z$3)/OFFSET($E$3,MATCH(U$11,$B$4:$B$656,0),$Z$3)</f>
        <v>#VALUE!</v>
      </c>
      <c r="V34" s="87" t="e">
        <f ca="1">戦略の決定!$R$10*OFFSET($E$3,MATCH(V$11+$S34,$B$4:$B$656,0),$Z$3)/OFFSET($E$3,MATCH(V$11,$B$4:$B$656,0),$Z$3)</f>
        <v>#VALUE!</v>
      </c>
      <c r="W34" s="87" t="e">
        <f ca="1">戦略の決定!$R$10*OFFSET($E$3,MATCH(W$11+$S34,$B$4:$B$656,0),$Z$3)/OFFSET($E$3,MATCH(W$11,$B$4:$B$656,0),$Z$3)</f>
        <v>#VALUE!</v>
      </c>
      <c r="X34" s="87" t="e">
        <f ca="1">戦略の決定!$R$10*OFFSET($E$3,MATCH(X$11+$S34,$B$4:$B$656,0),$Z$3)/OFFSET($E$3,MATCH(X$11,$B$4:$B$656,0),$Z$3)</f>
        <v>#VALUE!</v>
      </c>
      <c r="Y34" s="87" t="e">
        <f ca="1">戦略の決定!$R$10*OFFSET($E$3,MATCH(Y$11+$S34,$B$4:$B$656,0),$Z$3)/OFFSET($E$3,MATCH(Y$11,$B$4:$B$656,0),$Z$3)</f>
        <v>#VALUE!</v>
      </c>
      <c r="Z34" s="87" t="e">
        <f ca="1">戦略の決定!$R$10*OFFSET($E$3,MATCH(Z$11+$S34,$B$4:$B$656,0),$Z$3)/OFFSET($E$3,MATCH(Z$11,$B$4:$B$656,0),$Z$3)</f>
        <v>#VALUE!</v>
      </c>
      <c r="AA34" s="87" t="e">
        <f ca="1">戦略の決定!$R$10*OFFSET($E$3,MATCH(AA$11+$S34,$B$4:$B$656,0),$Z$3)/OFFSET($E$3,MATCH(AA$11,$B$4:$B$656,0),$Z$3)</f>
        <v>#VALUE!</v>
      </c>
      <c r="AB34" s="87" t="e">
        <f ca="1">戦略の決定!$R$10*OFFSET($E$3,MATCH(AB$11+$S34,$B$4:$B$656,0),$Z$3)/OFFSET($E$3,MATCH(AB$11,$B$4:$B$656,0),$Z$3)</f>
        <v>#VALUE!</v>
      </c>
      <c r="AC34" s="44" t="e">
        <f ca="1">戦略の決定!$R$10*OFFSET($E$3,MATCH(AC$11+$S34,$B$4:$B$656,0),$Z$3)/OFFSET($E$3,MATCH(AC$11,$B$4:$B$656,0),$Z$3)</f>
        <v>#VALUE!</v>
      </c>
      <c r="AE34" s="57">
        <f t="shared" si="5"/>
        <v>133</v>
      </c>
      <c r="AF34" s="87" t="e">
        <f ca="1">BarriarOptionPrice($T$9,$T$6,T34,($AE$67-$AE34)/(52*7),$T$7,$T$8,$AC$4:$AC$9)*$T$5</f>
        <v>#VALUE!</v>
      </c>
      <c r="AG34" s="87" t="e">
        <f ca="1">BarriarOptionPrice($T$9,$T$6,U34,($AE$67-$AE34)/(52*7),$T$7,$T$8,$AC$4:$AC$9)*$T$5</f>
        <v>#VALUE!</v>
      </c>
      <c r="AH34" s="87" t="e">
        <f ca="1">BarriarOptionPrice($T$9,$T$6,V34,($AE$67-$AE34)/(52*7),$T$7,$T$8,$AC$4:$AC$9)*$T$5</f>
        <v>#VALUE!</v>
      </c>
      <c r="AI34" s="87" t="e">
        <f ca="1">BarriarOptionPrice($T$9,$T$6,W34,($AE$67-$AE34)/(52*7),$T$7,$T$8,$AC$4:$AC$9)*$T$5</f>
        <v>#VALUE!</v>
      </c>
      <c r="AJ34" s="87" t="e">
        <f ca="1">BarriarOptionPrice($T$9,$T$6,X34,($AE$67-$AE34)/(52*7),$T$7,$T$8,$AC$4:$AC$9)*$T$5</f>
        <v>#VALUE!</v>
      </c>
      <c r="AK34" s="87" t="e">
        <f ca="1">BarriarOptionPrice($T$9,$T$6,Y34,($AE$67-$AE34)/(52*7),$T$7,$T$8,$AC$4:$AC$9)*$T$5</f>
        <v>#VALUE!</v>
      </c>
      <c r="AL34" s="87" t="e">
        <f ca="1">BarriarOptionPrice($T$9,$T$6,Z34,($AE$67-$AE34)/(52*7),$T$7,$T$8,$AC$4:$AC$9)*$T$5</f>
        <v>#VALUE!</v>
      </c>
      <c r="AM34" s="87" t="e">
        <f ca="1">BarriarOptionPrice($T$9,$T$6,AA34,($AE$67-$AE34)/(52*7),$T$7,$T$8,$AC$4:$AC$9)*$T$5</f>
        <v>#VALUE!</v>
      </c>
      <c r="AN34" s="87" t="e">
        <f ca="1">BarriarOptionPrice($T$9,$T$6,AB34,($AE$67-$AE34)/(52*7),$T$7,$T$8,$AC$4:$AC$9)*$T$5</f>
        <v>#VALUE!</v>
      </c>
      <c r="AO34" s="44" t="e">
        <f ca="1">BarriarOptionPrice($T$9,$T$6,AC34,($AE$67-$AE34)/(52*7),$T$7,$T$8,$AC$4:$AC$9)*$T$5</f>
        <v>#VALUE!</v>
      </c>
      <c r="AQ34" s="57">
        <f t="shared" si="6"/>
        <v>133</v>
      </c>
      <c r="AR34" s="87" t="e">
        <f ca="1">BarriarOptionPrice($U$9,$U$6,T34,($AQ$67-$AQ34)/(52*7),$U$7,$U$8,$AC$4:$AC$9)*$U$5</f>
        <v>#VALUE!</v>
      </c>
      <c r="AS34" s="87" t="e">
        <f ca="1">BarriarOptionPrice($U$9,$U$6,U34,($AQ$67-$AQ34)/(52*7),$U$7,$U$8,$AC$4:$AC$9)*$U$5</f>
        <v>#VALUE!</v>
      </c>
      <c r="AT34" s="87" t="e">
        <f ca="1">BarriarOptionPrice($U$9,$U$6,V34,($AQ$67-$AQ34)/(52*7),$U$7,$U$8,$AC$4:$AC$9)*$U$5</f>
        <v>#VALUE!</v>
      </c>
      <c r="AU34" s="87" t="e">
        <f ca="1">BarriarOptionPrice($U$9,$U$6,W34,($AQ$67-$AQ34)/(52*7),$U$7,$U$8,$AC$4:$AC$9)*$U$5</f>
        <v>#VALUE!</v>
      </c>
      <c r="AV34" s="87" t="e">
        <f ca="1">BarriarOptionPrice($U$9,$U$6,X34,($AQ$67-$AQ34)/(52*7),$U$7,$U$8,$AC$4:$AC$9)*$U$5</f>
        <v>#VALUE!</v>
      </c>
      <c r="AW34" s="87" t="e">
        <f ca="1">BarriarOptionPrice($U$9,$U$6,Y34,($AQ$67-$AQ34)/(52*7),$U$7,$U$8,$AC$4:$AC$9)*$U$5</f>
        <v>#VALUE!</v>
      </c>
      <c r="AX34" s="87" t="e">
        <f ca="1">BarriarOptionPrice($U$9,$U$6,Z34,($AQ$67-$AQ34)/(52*7),$U$7,$U$8,$AC$4:$AC$9)*$U$5</f>
        <v>#VALUE!</v>
      </c>
      <c r="AY34" s="87" t="e">
        <f ca="1">BarriarOptionPrice($U$9,$U$6,AA34,($AQ$67-$AQ34)/(52*7),$U$7,$U$8,$AC$4:$AC$9)*$U$5</f>
        <v>#VALUE!</v>
      </c>
      <c r="AZ34" s="87" t="e">
        <f ca="1">BarriarOptionPrice($U$9,$U$6,AB34,($AQ$67-$AQ34)/(52*7),$U$7,$U$8,$AC$4:$AC$9)*$U$5</f>
        <v>#VALUE!</v>
      </c>
      <c r="BA34" s="44" t="e">
        <f ca="1">BarriarOptionPrice($U$9,$U$6,AC34,($AQ$67-$AQ34)/(52*7),$U$7,$U$8,$AC$4:$AC$9)*$U$5</f>
        <v>#VALUE!</v>
      </c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</row>
    <row r="35" spans="2:77" x14ac:dyDescent="0.15">
      <c r="B35" s="16">
        <v>40060</v>
      </c>
      <c r="C35" s="29">
        <f t="array" ref="C35">SUMPRODUCT('ファンドデータ(変更不要)'!K35:P35,TRANSPOSE(戦略の決定!$D$13:$D$18))</f>
        <v>-1.1984293526514081E-2</v>
      </c>
      <c r="D35" s="29">
        <f t="array" ref="D35">SUMPRODUCT('ファンドデータ(変更不要)'!K35:P35,TRANSPOSE(戦略の決定!$E$13:$E$18))</f>
        <v>-1.3785449426380311E-2</v>
      </c>
      <c r="E35" s="29">
        <f t="array" ref="E35">SUMPRODUCT('ファンドデータ(変更不要)'!K35:P35,TRANSPOSE(戦略の決定!$F$13:$F$18))</f>
        <v>-1.3785449426380311E-2</v>
      </c>
      <c r="F35" s="183">
        <f t="shared" si="0"/>
        <v>1.1340097225334569</v>
      </c>
      <c r="G35" s="183">
        <f t="shared" si="1"/>
        <v>1.1652856590678671</v>
      </c>
      <c r="H35" s="75">
        <f t="shared" si="2"/>
        <v>1.1652856590678671</v>
      </c>
      <c r="J35" s="46">
        <f t="shared" si="3"/>
        <v>43658</v>
      </c>
      <c r="K35" s="87">
        <f ca="1">IF(K34=0,0,BarriarOptionPrice(K$9,K$6,戦略の決定!$F$51*OFFSET($F$3,MATCH($J35,$B$4:$B$656,0),0)/OFFSET($F$3,MATCH($J$12,$B$4:$B$656,0),0),($J$64-$J35)/(52*7),K$7,K$8,戦略の決定!$D$13:$D$18)*K$5)</f>
        <v>0</v>
      </c>
      <c r="L35" s="87">
        <f ca="1">IF(L34=0,0,BarriarOptionPrice(L$9,L$6,戦略の決定!$F$51*OFFSET($F$3,MATCH($J35,$B$4:$B$656,0),0)/OFFSET($F$3,MATCH($J$12,$B$4:$B$656,0),0),($J$64-$J35)/(52*7),L$7,L$8,戦略の決定!$D$13:$D$18)*L$5)</f>
        <v>0</v>
      </c>
      <c r="M35" s="87">
        <f ca="1">IF(M34=0,0,BarriarOptionPrice(M$9,M$6,戦略の決定!$F$52*OFFSET($G$3,MATCH($J35,$B$4:$B$656,0),0)/OFFSET($G$3,MATCH($J$12,$B$4:$B$656,0),0),($J$64-$J35)/(52*7),M$7,M$8,戦略の決定!$E$13:$E$18)*M$5)</f>
        <v>54.276140707892353</v>
      </c>
      <c r="N35" s="87">
        <f ca="1">IF(N34=0,0,BarriarOptionPrice(N$9,N$6,戦略の決定!$F$52*OFFSET($G$3,MATCH($J35,$B$4:$B$656,0),0)/OFFSET($G$3,MATCH($J$12,$B$4:$B$656,0),0),($J$64-$J35)/(52*7),N$7,N$8,戦略の決定!$E$13:$E$18)*N$5)</f>
        <v>0</v>
      </c>
      <c r="O35" s="87">
        <f ca="1">IF(O34=0,0,BarriarOptionPrice(O$9,O$6,戦略の決定!$F$53*OFFSET($H$3,MATCH($J35,$B$4:$B$656,0),0)/OFFSET($H$3,MATCH($J$12,$B$4:$B$656,0),0),($J$64-$J35)/(52*7),O$7,O$8,戦略の決定!$F$13:$F$18)*O$5)</f>
        <v>0</v>
      </c>
      <c r="P35" s="44">
        <f ca="1">IF(P34=0,0,BarriarOptionPrice(P$9,P$6,戦略の決定!$F$53*OFFSET($H$3,MATCH($J35,$B$4:$B$656,0),0)/OFFSET($H$3,MATCH($J$12,$B$4:$B$656,0),0),($J$64-$J35)/(52*7),P$7,P$8,戦略の決定!$F$13:$F$18)*P$5)</f>
        <v>0</v>
      </c>
      <c r="S35" s="57">
        <f t="shared" si="4"/>
        <v>140</v>
      </c>
      <c r="T35" s="87" t="e">
        <f ca="1">戦略の決定!$R$10*OFFSET($E$3,MATCH(T$11+$S35,$B$4:$B$656,0),$Z$3)/OFFSET($E$3,MATCH(T$11,$B$4:$B$656,0),$Z$3)</f>
        <v>#VALUE!</v>
      </c>
      <c r="U35" s="87" t="e">
        <f ca="1">戦略の決定!$R$10*OFFSET($E$3,MATCH(U$11+$S35,$B$4:$B$656,0),$Z$3)/OFFSET($E$3,MATCH(U$11,$B$4:$B$656,0),$Z$3)</f>
        <v>#VALUE!</v>
      </c>
      <c r="V35" s="87" t="e">
        <f ca="1">戦略の決定!$R$10*OFFSET($E$3,MATCH(V$11+$S35,$B$4:$B$656,0),$Z$3)/OFFSET($E$3,MATCH(V$11,$B$4:$B$656,0),$Z$3)</f>
        <v>#VALUE!</v>
      </c>
      <c r="W35" s="87" t="e">
        <f ca="1">戦略の決定!$R$10*OFFSET($E$3,MATCH(W$11+$S35,$B$4:$B$656,0),$Z$3)/OFFSET($E$3,MATCH(W$11,$B$4:$B$656,0),$Z$3)</f>
        <v>#VALUE!</v>
      </c>
      <c r="X35" s="87" t="e">
        <f ca="1">戦略の決定!$R$10*OFFSET($E$3,MATCH(X$11+$S35,$B$4:$B$656,0),$Z$3)/OFFSET($E$3,MATCH(X$11,$B$4:$B$656,0),$Z$3)</f>
        <v>#VALUE!</v>
      </c>
      <c r="Y35" s="87" t="e">
        <f ca="1">戦略の決定!$R$10*OFFSET($E$3,MATCH(Y$11+$S35,$B$4:$B$656,0),$Z$3)/OFFSET($E$3,MATCH(Y$11,$B$4:$B$656,0),$Z$3)</f>
        <v>#VALUE!</v>
      </c>
      <c r="Z35" s="87" t="e">
        <f ca="1">戦略の決定!$R$10*OFFSET($E$3,MATCH(Z$11+$S35,$B$4:$B$656,0),$Z$3)/OFFSET($E$3,MATCH(Z$11,$B$4:$B$656,0),$Z$3)</f>
        <v>#VALUE!</v>
      </c>
      <c r="AA35" s="87" t="e">
        <f ca="1">戦略の決定!$R$10*OFFSET($E$3,MATCH(AA$11+$S35,$B$4:$B$656,0),$Z$3)/OFFSET($E$3,MATCH(AA$11,$B$4:$B$656,0),$Z$3)</f>
        <v>#VALUE!</v>
      </c>
      <c r="AB35" s="87" t="e">
        <f ca="1">戦略の決定!$R$10*OFFSET($E$3,MATCH(AB$11+$S35,$B$4:$B$656,0),$Z$3)/OFFSET($E$3,MATCH(AB$11,$B$4:$B$656,0),$Z$3)</f>
        <v>#VALUE!</v>
      </c>
      <c r="AC35" s="44" t="e">
        <f ca="1">戦略の決定!$R$10*OFFSET($E$3,MATCH(AC$11+$S35,$B$4:$B$656,0),$Z$3)/OFFSET($E$3,MATCH(AC$11,$B$4:$B$656,0),$Z$3)</f>
        <v>#VALUE!</v>
      </c>
      <c r="AE35" s="57">
        <f t="shared" si="5"/>
        <v>140</v>
      </c>
      <c r="AF35" s="87" t="e">
        <f ca="1">BarriarOptionPrice($T$9,$T$6,T35,($AE$67-$AE35)/(52*7),$T$7,$T$8,$AC$4:$AC$9)*$T$5</f>
        <v>#VALUE!</v>
      </c>
      <c r="AG35" s="87" t="e">
        <f ca="1">BarriarOptionPrice($T$9,$T$6,U35,($AE$67-$AE35)/(52*7),$T$7,$T$8,$AC$4:$AC$9)*$T$5</f>
        <v>#VALUE!</v>
      </c>
      <c r="AH35" s="87" t="e">
        <f ca="1">BarriarOptionPrice($T$9,$T$6,V35,($AE$67-$AE35)/(52*7),$T$7,$T$8,$AC$4:$AC$9)*$T$5</f>
        <v>#VALUE!</v>
      </c>
      <c r="AI35" s="87" t="e">
        <f ca="1">BarriarOptionPrice($T$9,$T$6,W35,($AE$67-$AE35)/(52*7),$T$7,$T$8,$AC$4:$AC$9)*$T$5</f>
        <v>#VALUE!</v>
      </c>
      <c r="AJ35" s="87" t="e">
        <f ca="1">BarriarOptionPrice($T$9,$T$6,X35,($AE$67-$AE35)/(52*7),$T$7,$T$8,$AC$4:$AC$9)*$T$5</f>
        <v>#VALUE!</v>
      </c>
      <c r="AK35" s="87" t="e">
        <f ca="1">BarriarOptionPrice($T$9,$T$6,Y35,($AE$67-$AE35)/(52*7),$T$7,$T$8,$AC$4:$AC$9)*$T$5</f>
        <v>#VALUE!</v>
      </c>
      <c r="AL35" s="87" t="e">
        <f ca="1">BarriarOptionPrice($T$9,$T$6,Z35,($AE$67-$AE35)/(52*7),$T$7,$T$8,$AC$4:$AC$9)*$T$5</f>
        <v>#VALUE!</v>
      </c>
      <c r="AM35" s="87" t="e">
        <f ca="1">BarriarOptionPrice($T$9,$T$6,AA35,($AE$67-$AE35)/(52*7),$T$7,$T$8,$AC$4:$AC$9)*$T$5</f>
        <v>#VALUE!</v>
      </c>
      <c r="AN35" s="87" t="e">
        <f ca="1">BarriarOptionPrice($T$9,$T$6,AB35,($AE$67-$AE35)/(52*7),$T$7,$T$8,$AC$4:$AC$9)*$T$5</f>
        <v>#VALUE!</v>
      </c>
      <c r="AO35" s="44" t="e">
        <f ca="1">BarriarOptionPrice($T$9,$T$6,AC35,($AE$67-$AE35)/(52*7),$T$7,$T$8,$AC$4:$AC$9)*$T$5</f>
        <v>#VALUE!</v>
      </c>
      <c r="AQ35" s="57">
        <f t="shared" si="6"/>
        <v>140</v>
      </c>
      <c r="AR35" s="87" t="e">
        <f ca="1">BarriarOptionPrice($U$9,$U$6,T35,($AQ$67-$AQ35)/(52*7),$U$7,$U$8,$AC$4:$AC$9)*$U$5</f>
        <v>#VALUE!</v>
      </c>
      <c r="AS35" s="87" t="e">
        <f ca="1">BarriarOptionPrice($U$9,$U$6,U35,($AQ$67-$AQ35)/(52*7),$U$7,$U$8,$AC$4:$AC$9)*$U$5</f>
        <v>#VALUE!</v>
      </c>
      <c r="AT35" s="87" t="e">
        <f ca="1">BarriarOptionPrice($U$9,$U$6,V35,($AQ$67-$AQ35)/(52*7),$U$7,$U$8,$AC$4:$AC$9)*$U$5</f>
        <v>#VALUE!</v>
      </c>
      <c r="AU35" s="87" t="e">
        <f ca="1">BarriarOptionPrice($U$9,$U$6,W35,($AQ$67-$AQ35)/(52*7),$U$7,$U$8,$AC$4:$AC$9)*$U$5</f>
        <v>#VALUE!</v>
      </c>
      <c r="AV35" s="87" t="e">
        <f ca="1">BarriarOptionPrice($U$9,$U$6,X35,($AQ$67-$AQ35)/(52*7),$U$7,$U$8,$AC$4:$AC$9)*$U$5</f>
        <v>#VALUE!</v>
      </c>
      <c r="AW35" s="87" t="e">
        <f ca="1">BarriarOptionPrice($U$9,$U$6,Y35,($AQ$67-$AQ35)/(52*7),$U$7,$U$8,$AC$4:$AC$9)*$U$5</f>
        <v>#VALUE!</v>
      </c>
      <c r="AX35" s="87" t="e">
        <f ca="1">BarriarOptionPrice($U$9,$U$6,Z35,($AQ$67-$AQ35)/(52*7),$U$7,$U$8,$AC$4:$AC$9)*$U$5</f>
        <v>#VALUE!</v>
      </c>
      <c r="AY35" s="87" t="e">
        <f ca="1">BarriarOptionPrice($U$9,$U$6,AA35,($AQ$67-$AQ35)/(52*7),$U$7,$U$8,$AC$4:$AC$9)*$U$5</f>
        <v>#VALUE!</v>
      </c>
      <c r="AZ35" s="87" t="e">
        <f ca="1">BarriarOptionPrice($U$9,$U$6,AB35,($AQ$67-$AQ35)/(52*7),$U$7,$U$8,$AC$4:$AC$9)*$U$5</f>
        <v>#VALUE!</v>
      </c>
      <c r="BA35" s="44" t="e">
        <f ca="1">BarriarOptionPrice($U$9,$U$6,AC35,($AQ$67-$AQ35)/(52*7),$U$7,$U$8,$AC$4:$AC$9)*$U$5</f>
        <v>#VALUE!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</row>
    <row r="36" spans="2:77" x14ac:dyDescent="0.15">
      <c r="B36" s="16">
        <v>40067</v>
      </c>
      <c r="C36" s="29">
        <f t="array" ref="C36">SUMPRODUCT('ファンドデータ(変更不要)'!K36:P36,TRANSPOSE(戦略の決定!$D$13:$D$18))</f>
        <v>8.4357648235147339E-3</v>
      </c>
      <c r="D36" s="29">
        <f t="array" ref="D36">SUMPRODUCT('ファンドデータ(変更不要)'!K36:P36,TRANSPOSE(戦略の決定!$E$13:$E$18))</f>
        <v>1.1295296695285364E-2</v>
      </c>
      <c r="E36" s="29">
        <f t="array" ref="E36">SUMPRODUCT('ファンドデータ(変更不要)'!K36:P36,TRANSPOSE(戦略の決定!$F$13:$F$18))</f>
        <v>1.1295296695285364E-2</v>
      </c>
      <c r="F36" s="183">
        <f t="shared" si="0"/>
        <v>1.1435759618603283</v>
      </c>
      <c r="G36" s="183">
        <f t="shared" si="1"/>
        <v>1.1784479063217996</v>
      </c>
      <c r="H36" s="75">
        <f t="shared" si="2"/>
        <v>1.1784479063217996</v>
      </c>
      <c r="J36" s="46">
        <f t="shared" si="3"/>
        <v>43665</v>
      </c>
      <c r="K36" s="87">
        <f ca="1">IF(K35=0,0,BarriarOptionPrice(K$9,K$6,戦略の決定!$F$51*OFFSET($F$3,MATCH($J36,$B$4:$B$656,0),0)/OFFSET($F$3,MATCH($J$12,$B$4:$B$656,0),0),($J$64-$J36)/(52*7),K$7,K$8,戦略の決定!$D$13:$D$18)*K$5)</f>
        <v>0</v>
      </c>
      <c r="L36" s="87">
        <f ca="1">IF(L35=0,0,BarriarOptionPrice(L$9,L$6,戦略の決定!$F$51*OFFSET($F$3,MATCH($J36,$B$4:$B$656,0),0)/OFFSET($F$3,MATCH($J$12,$B$4:$B$656,0),0),($J$64-$J36)/(52*7),L$7,L$8,戦略の決定!$D$13:$D$18)*L$5)</f>
        <v>0</v>
      </c>
      <c r="M36" s="87">
        <f ca="1">IF(M35=0,0,BarriarOptionPrice(M$9,M$6,戦略の決定!$F$52*OFFSET($G$3,MATCH($J36,$B$4:$B$656,0),0)/OFFSET($G$3,MATCH($J$12,$B$4:$B$656,0),0),($J$64-$J36)/(52*7),M$7,M$8,戦略の決定!$E$13:$E$18)*M$5)</f>
        <v>52.785978271880822</v>
      </c>
      <c r="N36" s="87">
        <f ca="1">IF(N35=0,0,BarriarOptionPrice(N$9,N$6,戦略の決定!$F$52*OFFSET($G$3,MATCH($J36,$B$4:$B$656,0),0)/OFFSET($G$3,MATCH($J$12,$B$4:$B$656,0),0),($J$64-$J36)/(52*7),N$7,N$8,戦略の決定!$E$13:$E$18)*N$5)</f>
        <v>0</v>
      </c>
      <c r="O36" s="87">
        <f ca="1">IF(O35=0,0,BarriarOptionPrice(O$9,O$6,戦略の決定!$F$53*OFFSET($H$3,MATCH($J36,$B$4:$B$656,0),0)/OFFSET($H$3,MATCH($J$12,$B$4:$B$656,0),0),($J$64-$J36)/(52*7),O$7,O$8,戦略の決定!$F$13:$F$18)*O$5)</f>
        <v>0</v>
      </c>
      <c r="P36" s="44">
        <f ca="1">IF(P35=0,0,BarriarOptionPrice(P$9,P$6,戦略の決定!$F$53*OFFSET($H$3,MATCH($J36,$B$4:$B$656,0),0)/OFFSET($H$3,MATCH($J$12,$B$4:$B$656,0),0),($J$64-$J36)/(52*7),P$7,P$8,戦略の決定!$F$13:$F$18)*P$5)</f>
        <v>0</v>
      </c>
      <c r="S36" s="57">
        <f t="shared" si="4"/>
        <v>147</v>
      </c>
      <c r="T36" s="87" t="e">
        <f ca="1">戦略の決定!$R$10*OFFSET($E$3,MATCH(T$11+$S36,$B$4:$B$656,0),$Z$3)/OFFSET($E$3,MATCH(T$11,$B$4:$B$656,0),$Z$3)</f>
        <v>#VALUE!</v>
      </c>
      <c r="U36" s="87" t="e">
        <f ca="1">戦略の決定!$R$10*OFFSET($E$3,MATCH(U$11+$S36,$B$4:$B$656,0),$Z$3)/OFFSET($E$3,MATCH(U$11,$B$4:$B$656,0),$Z$3)</f>
        <v>#VALUE!</v>
      </c>
      <c r="V36" s="87" t="e">
        <f ca="1">戦略の決定!$R$10*OFFSET($E$3,MATCH(V$11+$S36,$B$4:$B$656,0),$Z$3)/OFFSET($E$3,MATCH(V$11,$B$4:$B$656,0),$Z$3)</f>
        <v>#VALUE!</v>
      </c>
      <c r="W36" s="87" t="e">
        <f ca="1">戦略の決定!$R$10*OFFSET($E$3,MATCH(W$11+$S36,$B$4:$B$656,0),$Z$3)/OFFSET($E$3,MATCH(W$11,$B$4:$B$656,0),$Z$3)</f>
        <v>#VALUE!</v>
      </c>
      <c r="X36" s="87" t="e">
        <f ca="1">戦略の決定!$R$10*OFFSET($E$3,MATCH(X$11+$S36,$B$4:$B$656,0),$Z$3)/OFFSET($E$3,MATCH(X$11,$B$4:$B$656,0),$Z$3)</f>
        <v>#VALUE!</v>
      </c>
      <c r="Y36" s="87" t="e">
        <f ca="1">戦略の決定!$R$10*OFFSET($E$3,MATCH(Y$11+$S36,$B$4:$B$656,0),$Z$3)/OFFSET($E$3,MATCH(Y$11,$B$4:$B$656,0),$Z$3)</f>
        <v>#VALUE!</v>
      </c>
      <c r="Z36" s="87" t="e">
        <f ca="1">戦略の決定!$R$10*OFFSET($E$3,MATCH(Z$11+$S36,$B$4:$B$656,0),$Z$3)/OFFSET($E$3,MATCH(Z$11,$B$4:$B$656,0),$Z$3)</f>
        <v>#VALUE!</v>
      </c>
      <c r="AA36" s="87" t="e">
        <f ca="1">戦略の決定!$R$10*OFFSET($E$3,MATCH(AA$11+$S36,$B$4:$B$656,0),$Z$3)/OFFSET($E$3,MATCH(AA$11,$B$4:$B$656,0),$Z$3)</f>
        <v>#VALUE!</v>
      </c>
      <c r="AB36" s="87" t="e">
        <f ca="1">戦略の決定!$R$10*OFFSET($E$3,MATCH(AB$11+$S36,$B$4:$B$656,0),$Z$3)/OFFSET($E$3,MATCH(AB$11,$B$4:$B$656,0),$Z$3)</f>
        <v>#VALUE!</v>
      </c>
      <c r="AC36" s="44" t="e">
        <f ca="1">戦略の決定!$R$10*OFFSET($E$3,MATCH(AC$11+$S36,$B$4:$B$656,0),$Z$3)/OFFSET($E$3,MATCH(AC$11,$B$4:$B$656,0),$Z$3)</f>
        <v>#VALUE!</v>
      </c>
      <c r="AE36" s="57">
        <f t="shared" si="5"/>
        <v>147</v>
      </c>
      <c r="AF36" s="87" t="e">
        <f ca="1">BarriarOptionPrice($T$9,$T$6,T36,($AE$67-$AE36)/(52*7),$T$7,$T$8,$AC$4:$AC$9)*$T$5</f>
        <v>#VALUE!</v>
      </c>
      <c r="AG36" s="87" t="e">
        <f ca="1">BarriarOptionPrice($T$9,$T$6,U36,($AE$67-$AE36)/(52*7),$T$7,$T$8,$AC$4:$AC$9)*$T$5</f>
        <v>#VALUE!</v>
      </c>
      <c r="AH36" s="87" t="e">
        <f ca="1">BarriarOptionPrice($T$9,$T$6,V36,($AE$67-$AE36)/(52*7),$T$7,$T$8,$AC$4:$AC$9)*$T$5</f>
        <v>#VALUE!</v>
      </c>
      <c r="AI36" s="87" t="e">
        <f ca="1">BarriarOptionPrice($T$9,$T$6,W36,($AE$67-$AE36)/(52*7),$T$7,$T$8,$AC$4:$AC$9)*$T$5</f>
        <v>#VALUE!</v>
      </c>
      <c r="AJ36" s="87" t="e">
        <f ca="1">BarriarOptionPrice($T$9,$T$6,X36,($AE$67-$AE36)/(52*7),$T$7,$T$8,$AC$4:$AC$9)*$T$5</f>
        <v>#VALUE!</v>
      </c>
      <c r="AK36" s="87" t="e">
        <f ca="1">BarriarOptionPrice($T$9,$T$6,Y36,($AE$67-$AE36)/(52*7),$T$7,$T$8,$AC$4:$AC$9)*$T$5</f>
        <v>#VALUE!</v>
      </c>
      <c r="AL36" s="87" t="e">
        <f ca="1">BarriarOptionPrice($T$9,$T$6,Z36,($AE$67-$AE36)/(52*7),$T$7,$T$8,$AC$4:$AC$9)*$T$5</f>
        <v>#VALUE!</v>
      </c>
      <c r="AM36" s="87" t="e">
        <f ca="1">BarriarOptionPrice($T$9,$T$6,AA36,($AE$67-$AE36)/(52*7),$T$7,$T$8,$AC$4:$AC$9)*$T$5</f>
        <v>#VALUE!</v>
      </c>
      <c r="AN36" s="87" t="e">
        <f ca="1">BarriarOptionPrice($T$9,$T$6,AB36,($AE$67-$AE36)/(52*7),$T$7,$T$8,$AC$4:$AC$9)*$T$5</f>
        <v>#VALUE!</v>
      </c>
      <c r="AO36" s="44" t="e">
        <f ca="1">BarriarOptionPrice($T$9,$T$6,AC36,($AE$67-$AE36)/(52*7),$T$7,$T$8,$AC$4:$AC$9)*$T$5</f>
        <v>#VALUE!</v>
      </c>
      <c r="AQ36" s="57">
        <f t="shared" si="6"/>
        <v>147</v>
      </c>
      <c r="AR36" s="87" t="e">
        <f ca="1">BarriarOptionPrice($U$9,$U$6,T36,($AQ$67-$AQ36)/(52*7),$U$7,$U$8,$AC$4:$AC$9)*$U$5</f>
        <v>#VALUE!</v>
      </c>
      <c r="AS36" s="87" t="e">
        <f ca="1">BarriarOptionPrice($U$9,$U$6,U36,($AQ$67-$AQ36)/(52*7),$U$7,$U$8,$AC$4:$AC$9)*$U$5</f>
        <v>#VALUE!</v>
      </c>
      <c r="AT36" s="87" t="e">
        <f ca="1">BarriarOptionPrice($U$9,$U$6,V36,($AQ$67-$AQ36)/(52*7),$U$7,$U$8,$AC$4:$AC$9)*$U$5</f>
        <v>#VALUE!</v>
      </c>
      <c r="AU36" s="87" t="e">
        <f ca="1">BarriarOptionPrice($U$9,$U$6,W36,($AQ$67-$AQ36)/(52*7),$U$7,$U$8,$AC$4:$AC$9)*$U$5</f>
        <v>#VALUE!</v>
      </c>
      <c r="AV36" s="87" t="e">
        <f ca="1">BarriarOptionPrice($U$9,$U$6,X36,($AQ$67-$AQ36)/(52*7),$U$7,$U$8,$AC$4:$AC$9)*$U$5</f>
        <v>#VALUE!</v>
      </c>
      <c r="AW36" s="87" t="e">
        <f ca="1">BarriarOptionPrice($U$9,$U$6,Y36,($AQ$67-$AQ36)/(52*7),$U$7,$U$8,$AC$4:$AC$9)*$U$5</f>
        <v>#VALUE!</v>
      </c>
      <c r="AX36" s="87" t="e">
        <f ca="1">BarriarOptionPrice($U$9,$U$6,Z36,($AQ$67-$AQ36)/(52*7),$U$7,$U$8,$AC$4:$AC$9)*$U$5</f>
        <v>#VALUE!</v>
      </c>
      <c r="AY36" s="87" t="e">
        <f ca="1">BarriarOptionPrice($U$9,$U$6,AA36,($AQ$67-$AQ36)/(52*7),$U$7,$U$8,$AC$4:$AC$9)*$U$5</f>
        <v>#VALUE!</v>
      </c>
      <c r="AZ36" s="87" t="e">
        <f ca="1">BarriarOptionPrice($U$9,$U$6,AB36,($AQ$67-$AQ36)/(52*7),$U$7,$U$8,$AC$4:$AC$9)*$U$5</f>
        <v>#VALUE!</v>
      </c>
      <c r="BA36" s="44" t="e">
        <f ca="1">BarriarOptionPrice($U$9,$U$6,AC36,($AQ$67-$AQ36)/(52*7),$U$7,$U$8,$AC$4:$AC$9)*$U$5</f>
        <v>#VALUE!</v>
      </c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</row>
    <row r="37" spans="2:77" x14ac:dyDescent="0.15">
      <c r="B37" s="16">
        <v>40074</v>
      </c>
      <c r="C37" s="29">
        <f t="array" ref="C37">SUMPRODUCT('ファンドデータ(変更不要)'!K37:P37,TRANSPOSE(戦略の決定!$D$13:$D$18))</f>
        <v>-2.6789966036079539E-3</v>
      </c>
      <c r="D37" s="29">
        <f t="array" ref="D37">SUMPRODUCT('ファンドデータ(変更不要)'!K37:P37,TRANSPOSE(戦略の決定!$E$13:$E$18))</f>
        <v>-2.4783332178692158E-3</v>
      </c>
      <c r="E37" s="29">
        <f t="array" ref="E37">SUMPRODUCT('ファンドデータ(変更不要)'!K37:P37,TRANSPOSE(戦略の決定!$F$13:$F$18))</f>
        <v>-2.4783332178692158E-3</v>
      </c>
      <c r="F37" s="183">
        <f t="shared" ref="F37:F68" si="7">F36*(1+C37)</f>
        <v>1.1405123257425367</v>
      </c>
      <c r="G37" s="183">
        <f t="shared" ref="G37:G68" si="8">G36*(1+D37)</f>
        <v>1.175527319730034</v>
      </c>
      <c r="H37" s="75">
        <f t="shared" ref="H37:H68" si="9">H36*(1+E37)</f>
        <v>1.175527319730034</v>
      </c>
      <c r="J37" s="46">
        <f t="shared" si="3"/>
        <v>43672</v>
      </c>
      <c r="K37" s="87">
        <f ca="1">IF(K36=0,0,BarriarOptionPrice(K$9,K$6,戦略の決定!$F$51*OFFSET($F$3,MATCH($J37,$B$4:$B$656,0),0)/OFFSET($F$3,MATCH($J$12,$B$4:$B$656,0),0),($J$64-$J37)/(52*7),K$7,K$8,戦略の決定!$D$13:$D$18)*K$5)</f>
        <v>0</v>
      </c>
      <c r="L37" s="87">
        <f ca="1">IF(L36=0,0,BarriarOptionPrice(L$9,L$6,戦略の決定!$F$51*OFFSET($F$3,MATCH($J37,$B$4:$B$656,0),0)/OFFSET($F$3,MATCH($J$12,$B$4:$B$656,0),0),($J$64-$J37)/(52*7),L$7,L$8,戦略の決定!$D$13:$D$18)*L$5)</f>
        <v>0</v>
      </c>
      <c r="M37" s="87">
        <f ca="1">IF(M36=0,0,BarriarOptionPrice(M$9,M$6,戦略の決定!$F$52*OFFSET($G$3,MATCH($J37,$B$4:$B$656,0),0)/OFFSET($G$3,MATCH($J$12,$B$4:$B$656,0),0),($J$64-$J37)/(52*7),M$7,M$8,戦略の決定!$E$13:$E$18)*M$5)</f>
        <v>50.006488750014398</v>
      </c>
      <c r="N37" s="87">
        <f ca="1">IF(N36=0,0,BarriarOptionPrice(N$9,N$6,戦略の決定!$F$52*OFFSET($G$3,MATCH($J37,$B$4:$B$656,0),0)/OFFSET($G$3,MATCH($J$12,$B$4:$B$656,0),0),($J$64-$J37)/(52*7),N$7,N$8,戦略の決定!$E$13:$E$18)*N$5)</f>
        <v>0</v>
      </c>
      <c r="O37" s="87">
        <f ca="1">IF(O36=0,0,BarriarOptionPrice(O$9,O$6,戦略の決定!$F$53*OFFSET($H$3,MATCH($J37,$B$4:$B$656,0),0)/OFFSET($H$3,MATCH($J$12,$B$4:$B$656,0),0),($J$64-$J37)/(52*7),O$7,O$8,戦略の決定!$F$13:$F$18)*O$5)</f>
        <v>0</v>
      </c>
      <c r="P37" s="44">
        <f ca="1">IF(P36=0,0,BarriarOptionPrice(P$9,P$6,戦略の決定!$F$53*OFFSET($H$3,MATCH($J37,$B$4:$B$656,0),0)/OFFSET($H$3,MATCH($J$12,$B$4:$B$656,0),0),($J$64-$J37)/(52*7),P$7,P$8,戦略の決定!$F$13:$F$18)*P$5)</f>
        <v>0</v>
      </c>
      <c r="S37" s="57">
        <f t="shared" si="4"/>
        <v>154</v>
      </c>
      <c r="T37" s="87" t="e">
        <f ca="1">戦略の決定!$R$10*OFFSET($E$3,MATCH(T$11+$S37,$B$4:$B$656,0),$Z$3)/OFFSET($E$3,MATCH(T$11,$B$4:$B$656,0),$Z$3)</f>
        <v>#VALUE!</v>
      </c>
      <c r="U37" s="87" t="e">
        <f ca="1">戦略の決定!$R$10*OFFSET($E$3,MATCH(U$11+$S37,$B$4:$B$656,0),$Z$3)/OFFSET($E$3,MATCH(U$11,$B$4:$B$656,0),$Z$3)</f>
        <v>#VALUE!</v>
      </c>
      <c r="V37" s="87" t="e">
        <f ca="1">戦略の決定!$R$10*OFFSET($E$3,MATCH(V$11+$S37,$B$4:$B$656,0),$Z$3)/OFFSET($E$3,MATCH(V$11,$B$4:$B$656,0),$Z$3)</f>
        <v>#VALUE!</v>
      </c>
      <c r="W37" s="87" t="e">
        <f ca="1">戦略の決定!$R$10*OFFSET($E$3,MATCH(W$11+$S37,$B$4:$B$656,0),$Z$3)/OFFSET($E$3,MATCH(W$11,$B$4:$B$656,0),$Z$3)</f>
        <v>#VALUE!</v>
      </c>
      <c r="X37" s="87" t="e">
        <f ca="1">戦略の決定!$R$10*OFFSET($E$3,MATCH(X$11+$S37,$B$4:$B$656,0),$Z$3)/OFFSET($E$3,MATCH(X$11,$B$4:$B$656,0),$Z$3)</f>
        <v>#VALUE!</v>
      </c>
      <c r="Y37" s="87" t="e">
        <f ca="1">戦略の決定!$R$10*OFFSET($E$3,MATCH(Y$11+$S37,$B$4:$B$656,0),$Z$3)/OFFSET($E$3,MATCH(Y$11,$B$4:$B$656,0),$Z$3)</f>
        <v>#VALUE!</v>
      </c>
      <c r="Z37" s="87" t="e">
        <f ca="1">戦略の決定!$R$10*OFFSET($E$3,MATCH(Z$11+$S37,$B$4:$B$656,0),$Z$3)/OFFSET($E$3,MATCH(Z$11,$B$4:$B$656,0),$Z$3)</f>
        <v>#VALUE!</v>
      </c>
      <c r="AA37" s="87" t="e">
        <f ca="1">戦略の決定!$R$10*OFFSET($E$3,MATCH(AA$11+$S37,$B$4:$B$656,0),$Z$3)/OFFSET($E$3,MATCH(AA$11,$B$4:$B$656,0),$Z$3)</f>
        <v>#VALUE!</v>
      </c>
      <c r="AB37" s="87" t="e">
        <f ca="1">戦略の決定!$R$10*OFFSET($E$3,MATCH(AB$11+$S37,$B$4:$B$656,0),$Z$3)/OFFSET($E$3,MATCH(AB$11,$B$4:$B$656,0),$Z$3)</f>
        <v>#VALUE!</v>
      </c>
      <c r="AC37" s="44" t="e">
        <f ca="1">戦略の決定!$R$10*OFFSET($E$3,MATCH(AC$11+$S37,$B$4:$B$656,0),$Z$3)/OFFSET($E$3,MATCH(AC$11,$B$4:$B$656,0),$Z$3)</f>
        <v>#VALUE!</v>
      </c>
      <c r="AE37" s="57">
        <f t="shared" si="5"/>
        <v>154</v>
      </c>
      <c r="AF37" s="87" t="e">
        <f ca="1">BarriarOptionPrice($T$9,$T$6,T37,($AE$67-$AE37)/(52*7),$T$7,$T$8,$AC$4:$AC$9)*$T$5</f>
        <v>#VALUE!</v>
      </c>
      <c r="AG37" s="87" t="e">
        <f ca="1">BarriarOptionPrice($T$9,$T$6,U37,($AE$67-$AE37)/(52*7),$T$7,$T$8,$AC$4:$AC$9)*$T$5</f>
        <v>#VALUE!</v>
      </c>
      <c r="AH37" s="87" t="e">
        <f ca="1">BarriarOptionPrice($T$9,$T$6,V37,($AE$67-$AE37)/(52*7),$T$7,$T$8,$AC$4:$AC$9)*$T$5</f>
        <v>#VALUE!</v>
      </c>
      <c r="AI37" s="87" t="e">
        <f ca="1">BarriarOptionPrice($T$9,$T$6,W37,($AE$67-$AE37)/(52*7),$T$7,$T$8,$AC$4:$AC$9)*$T$5</f>
        <v>#VALUE!</v>
      </c>
      <c r="AJ37" s="87" t="e">
        <f ca="1">BarriarOptionPrice($T$9,$T$6,X37,($AE$67-$AE37)/(52*7),$T$7,$T$8,$AC$4:$AC$9)*$T$5</f>
        <v>#VALUE!</v>
      </c>
      <c r="AK37" s="87" t="e">
        <f ca="1">BarriarOptionPrice($T$9,$T$6,Y37,($AE$67-$AE37)/(52*7),$T$7,$T$8,$AC$4:$AC$9)*$T$5</f>
        <v>#VALUE!</v>
      </c>
      <c r="AL37" s="87" t="e">
        <f ca="1">BarriarOptionPrice($T$9,$T$6,Z37,($AE$67-$AE37)/(52*7),$T$7,$T$8,$AC$4:$AC$9)*$T$5</f>
        <v>#VALUE!</v>
      </c>
      <c r="AM37" s="87" t="e">
        <f ca="1">BarriarOptionPrice($T$9,$T$6,AA37,($AE$67-$AE37)/(52*7),$T$7,$T$8,$AC$4:$AC$9)*$T$5</f>
        <v>#VALUE!</v>
      </c>
      <c r="AN37" s="87" t="e">
        <f ca="1">BarriarOptionPrice($T$9,$T$6,AB37,($AE$67-$AE37)/(52*7),$T$7,$T$8,$AC$4:$AC$9)*$T$5</f>
        <v>#VALUE!</v>
      </c>
      <c r="AO37" s="44" t="e">
        <f ca="1">BarriarOptionPrice($T$9,$T$6,AC37,($AE$67-$AE37)/(52*7),$T$7,$T$8,$AC$4:$AC$9)*$T$5</f>
        <v>#VALUE!</v>
      </c>
      <c r="AQ37" s="57">
        <f t="shared" si="6"/>
        <v>154</v>
      </c>
      <c r="AR37" s="87" t="e">
        <f ca="1">BarriarOptionPrice($U$9,$U$6,T37,($AQ$67-$AQ37)/(52*7),$U$7,$U$8,$AC$4:$AC$9)*$U$5</f>
        <v>#VALUE!</v>
      </c>
      <c r="AS37" s="87" t="e">
        <f ca="1">BarriarOptionPrice($U$9,$U$6,U37,($AQ$67-$AQ37)/(52*7),$U$7,$U$8,$AC$4:$AC$9)*$U$5</f>
        <v>#VALUE!</v>
      </c>
      <c r="AT37" s="87" t="e">
        <f ca="1">BarriarOptionPrice($U$9,$U$6,V37,($AQ$67-$AQ37)/(52*7),$U$7,$U$8,$AC$4:$AC$9)*$U$5</f>
        <v>#VALUE!</v>
      </c>
      <c r="AU37" s="87" t="e">
        <f ca="1">BarriarOptionPrice($U$9,$U$6,W37,($AQ$67-$AQ37)/(52*7),$U$7,$U$8,$AC$4:$AC$9)*$U$5</f>
        <v>#VALUE!</v>
      </c>
      <c r="AV37" s="87" t="e">
        <f ca="1">BarriarOptionPrice($U$9,$U$6,X37,($AQ$67-$AQ37)/(52*7),$U$7,$U$8,$AC$4:$AC$9)*$U$5</f>
        <v>#VALUE!</v>
      </c>
      <c r="AW37" s="87" t="e">
        <f ca="1">BarriarOptionPrice($U$9,$U$6,Y37,($AQ$67-$AQ37)/(52*7),$U$7,$U$8,$AC$4:$AC$9)*$U$5</f>
        <v>#VALUE!</v>
      </c>
      <c r="AX37" s="87" t="e">
        <f ca="1">BarriarOptionPrice($U$9,$U$6,Z37,($AQ$67-$AQ37)/(52*7),$U$7,$U$8,$AC$4:$AC$9)*$U$5</f>
        <v>#VALUE!</v>
      </c>
      <c r="AY37" s="87" t="e">
        <f ca="1">BarriarOptionPrice($U$9,$U$6,AA37,($AQ$67-$AQ37)/(52*7),$U$7,$U$8,$AC$4:$AC$9)*$U$5</f>
        <v>#VALUE!</v>
      </c>
      <c r="AZ37" s="87" t="e">
        <f ca="1">BarriarOptionPrice($U$9,$U$6,AB37,($AQ$67-$AQ37)/(52*7),$U$7,$U$8,$AC$4:$AC$9)*$U$5</f>
        <v>#VALUE!</v>
      </c>
      <c r="BA37" s="44" t="e">
        <f ca="1">BarriarOptionPrice($U$9,$U$6,AC37,($AQ$67-$AQ37)/(52*7),$U$7,$U$8,$AC$4:$AC$9)*$U$5</f>
        <v>#VALUE!</v>
      </c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</row>
    <row r="38" spans="2:77" x14ac:dyDescent="0.15">
      <c r="B38" s="16">
        <v>40081</v>
      </c>
      <c r="C38" s="29">
        <f t="array" ref="C38">SUMPRODUCT('ファンドデータ(変更不要)'!K38:P38,TRANSPOSE(戦略の決定!$D$13:$D$18))</f>
        <v>-5.72057694191664E-3</v>
      </c>
      <c r="D38" s="29">
        <f t="array" ref="D38">SUMPRODUCT('ファンドデータ(変更不要)'!K38:P38,TRANSPOSE(戦略の決定!$E$13:$E$18))</f>
        <v>-8.7995576917080168E-3</v>
      </c>
      <c r="E38" s="29">
        <f t="array" ref="E38">SUMPRODUCT('ファンドデータ(変更不要)'!K38:P38,TRANSPOSE(戦略の決定!$F$13:$F$18))</f>
        <v>-8.7995576917080168E-3</v>
      </c>
      <c r="F38" s="183">
        <f t="shared" si="7"/>
        <v>1.1339879372299222</v>
      </c>
      <c r="G38" s="183">
        <f t="shared" si="8"/>
        <v>1.1651831992618906</v>
      </c>
      <c r="H38" s="75">
        <f t="shared" si="9"/>
        <v>1.1651831992618906</v>
      </c>
      <c r="J38" s="46">
        <f t="shared" si="3"/>
        <v>43679</v>
      </c>
      <c r="K38" s="87">
        <f ca="1">IF(K37=0,0,BarriarOptionPrice(K$9,K$6,戦略の決定!$F$51*OFFSET($F$3,MATCH($J38,$B$4:$B$656,0),0)/OFFSET($F$3,MATCH($J$12,$B$4:$B$656,0),0),($J$64-$J38)/(52*7),K$7,K$8,戦略の決定!$D$13:$D$18)*K$5)</f>
        <v>0</v>
      </c>
      <c r="L38" s="87">
        <f ca="1">IF(L37=0,0,BarriarOptionPrice(L$9,L$6,戦略の決定!$F$51*OFFSET($F$3,MATCH($J38,$B$4:$B$656,0),0)/OFFSET($F$3,MATCH($J$12,$B$4:$B$656,0),0),($J$64-$J38)/(52*7),L$7,L$8,戦略の決定!$D$13:$D$18)*L$5)</f>
        <v>0</v>
      </c>
      <c r="M38" s="87">
        <f ca="1">IF(M37=0,0,BarriarOptionPrice(M$9,M$6,戦略の決定!$F$52*OFFSET($G$3,MATCH($J38,$B$4:$B$656,0),0)/OFFSET($G$3,MATCH($J$12,$B$4:$B$656,0),0),($J$64-$J38)/(52*7),M$7,M$8,戦略の決定!$E$13:$E$18)*M$5)</f>
        <v>52.558157066669196</v>
      </c>
      <c r="N38" s="87">
        <f ca="1">IF(N37=0,0,BarriarOptionPrice(N$9,N$6,戦略の決定!$F$52*OFFSET($G$3,MATCH($J38,$B$4:$B$656,0),0)/OFFSET($G$3,MATCH($J$12,$B$4:$B$656,0),0),($J$64-$J38)/(52*7),N$7,N$8,戦略の決定!$E$13:$E$18)*N$5)</f>
        <v>0</v>
      </c>
      <c r="O38" s="87">
        <f ca="1">IF(O37=0,0,BarriarOptionPrice(O$9,O$6,戦略の決定!$F$53*OFFSET($H$3,MATCH($J38,$B$4:$B$656,0),0)/OFFSET($H$3,MATCH($J$12,$B$4:$B$656,0),0),($J$64-$J38)/(52*7),O$7,O$8,戦略の決定!$F$13:$F$18)*O$5)</f>
        <v>0</v>
      </c>
      <c r="P38" s="44">
        <f ca="1">IF(P37=0,0,BarriarOptionPrice(P$9,P$6,戦略の決定!$F$53*OFFSET($H$3,MATCH($J38,$B$4:$B$656,0),0)/OFFSET($H$3,MATCH($J$12,$B$4:$B$656,0),0),($J$64-$J38)/(52*7),P$7,P$8,戦略の決定!$F$13:$F$18)*P$5)</f>
        <v>0</v>
      </c>
      <c r="S38" s="57">
        <f t="shared" si="4"/>
        <v>161</v>
      </c>
      <c r="T38" s="87" t="e">
        <f ca="1">戦略の決定!$R$10*OFFSET($E$3,MATCH(T$11+$S38,$B$4:$B$656,0),$Z$3)/OFFSET($E$3,MATCH(T$11,$B$4:$B$656,0),$Z$3)</f>
        <v>#VALUE!</v>
      </c>
      <c r="U38" s="87" t="e">
        <f ca="1">戦略の決定!$R$10*OFFSET($E$3,MATCH(U$11+$S38,$B$4:$B$656,0),$Z$3)/OFFSET($E$3,MATCH(U$11,$B$4:$B$656,0),$Z$3)</f>
        <v>#VALUE!</v>
      </c>
      <c r="V38" s="87" t="e">
        <f ca="1">戦略の決定!$R$10*OFFSET($E$3,MATCH(V$11+$S38,$B$4:$B$656,0),$Z$3)/OFFSET($E$3,MATCH(V$11,$B$4:$B$656,0),$Z$3)</f>
        <v>#VALUE!</v>
      </c>
      <c r="W38" s="87" t="e">
        <f ca="1">戦略の決定!$R$10*OFFSET($E$3,MATCH(W$11+$S38,$B$4:$B$656,0),$Z$3)/OFFSET($E$3,MATCH(W$11,$B$4:$B$656,0),$Z$3)</f>
        <v>#VALUE!</v>
      </c>
      <c r="X38" s="87" t="e">
        <f ca="1">戦略の決定!$R$10*OFFSET($E$3,MATCH(X$11+$S38,$B$4:$B$656,0),$Z$3)/OFFSET($E$3,MATCH(X$11,$B$4:$B$656,0),$Z$3)</f>
        <v>#VALUE!</v>
      </c>
      <c r="Y38" s="87" t="e">
        <f ca="1">戦略の決定!$R$10*OFFSET($E$3,MATCH(Y$11+$S38,$B$4:$B$656,0),$Z$3)/OFFSET($E$3,MATCH(Y$11,$B$4:$B$656,0),$Z$3)</f>
        <v>#VALUE!</v>
      </c>
      <c r="Z38" s="87" t="e">
        <f ca="1">戦略の決定!$R$10*OFFSET($E$3,MATCH(Z$11+$S38,$B$4:$B$656,0),$Z$3)/OFFSET($E$3,MATCH(Z$11,$B$4:$B$656,0),$Z$3)</f>
        <v>#VALUE!</v>
      </c>
      <c r="AA38" s="87" t="e">
        <f ca="1">戦略の決定!$R$10*OFFSET($E$3,MATCH(AA$11+$S38,$B$4:$B$656,0),$Z$3)/OFFSET($E$3,MATCH(AA$11,$B$4:$B$656,0),$Z$3)</f>
        <v>#VALUE!</v>
      </c>
      <c r="AB38" s="87" t="e">
        <f ca="1">戦略の決定!$R$10*OFFSET($E$3,MATCH(AB$11+$S38,$B$4:$B$656,0),$Z$3)/OFFSET($E$3,MATCH(AB$11,$B$4:$B$656,0),$Z$3)</f>
        <v>#VALUE!</v>
      </c>
      <c r="AC38" s="44" t="e">
        <f ca="1">戦略の決定!$R$10*OFFSET($E$3,MATCH(AC$11+$S38,$B$4:$B$656,0),$Z$3)/OFFSET($E$3,MATCH(AC$11,$B$4:$B$656,0),$Z$3)</f>
        <v>#VALUE!</v>
      </c>
      <c r="AE38" s="57">
        <f t="shared" si="5"/>
        <v>161</v>
      </c>
      <c r="AF38" s="87" t="e">
        <f ca="1">BarriarOptionPrice($T$9,$T$6,T38,($AE$67-$AE38)/(52*7),$T$7,$T$8,$AC$4:$AC$9)*$T$5</f>
        <v>#VALUE!</v>
      </c>
      <c r="AG38" s="87" t="e">
        <f ca="1">BarriarOptionPrice($T$9,$T$6,U38,($AE$67-$AE38)/(52*7),$T$7,$T$8,$AC$4:$AC$9)*$T$5</f>
        <v>#VALUE!</v>
      </c>
      <c r="AH38" s="87" t="e">
        <f ca="1">BarriarOptionPrice($T$9,$T$6,V38,($AE$67-$AE38)/(52*7),$T$7,$T$8,$AC$4:$AC$9)*$T$5</f>
        <v>#VALUE!</v>
      </c>
      <c r="AI38" s="87" t="e">
        <f ca="1">BarriarOptionPrice($T$9,$T$6,W38,($AE$67-$AE38)/(52*7),$T$7,$T$8,$AC$4:$AC$9)*$T$5</f>
        <v>#VALUE!</v>
      </c>
      <c r="AJ38" s="87" t="e">
        <f ca="1">BarriarOptionPrice($T$9,$T$6,X38,($AE$67-$AE38)/(52*7),$T$7,$T$8,$AC$4:$AC$9)*$T$5</f>
        <v>#VALUE!</v>
      </c>
      <c r="AK38" s="87" t="e">
        <f ca="1">BarriarOptionPrice($T$9,$T$6,Y38,($AE$67-$AE38)/(52*7),$T$7,$T$8,$AC$4:$AC$9)*$T$5</f>
        <v>#VALUE!</v>
      </c>
      <c r="AL38" s="87" t="e">
        <f ca="1">BarriarOptionPrice($T$9,$T$6,Z38,($AE$67-$AE38)/(52*7),$T$7,$T$8,$AC$4:$AC$9)*$T$5</f>
        <v>#VALUE!</v>
      </c>
      <c r="AM38" s="87" t="e">
        <f ca="1">BarriarOptionPrice($T$9,$T$6,AA38,($AE$67-$AE38)/(52*7),$T$7,$T$8,$AC$4:$AC$9)*$T$5</f>
        <v>#VALUE!</v>
      </c>
      <c r="AN38" s="87" t="e">
        <f ca="1">BarriarOptionPrice($T$9,$T$6,AB38,($AE$67-$AE38)/(52*7),$T$7,$T$8,$AC$4:$AC$9)*$T$5</f>
        <v>#VALUE!</v>
      </c>
      <c r="AO38" s="44" t="e">
        <f ca="1">BarriarOptionPrice($T$9,$T$6,AC38,($AE$67-$AE38)/(52*7),$T$7,$T$8,$AC$4:$AC$9)*$T$5</f>
        <v>#VALUE!</v>
      </c>
      <c r="AQ38" s="57">
        <f t="shared" si="6"/>
        <v>161</v>
      </c>
      <c r="AR38" s="87" t="e">
        <f ca="1">BarriarOptionPrice($U$9,$U$6,T38,($AQ$67-$AQ38)/(52*7),$U$7,$U$8,$AC$4:$AC$9)*$U$5</f>
        <v>#VALUE!</v>
      </c>
      <c r="AS38" s="87" t="e">
        <f ca="1">BarriarOptionPrice($U$9,$U$6,U38,($AQ$67-$AQ38)/(52*7),$U$7,$U$8,$AC$4:$AC$9)*$U$5</f>
        <v>#VALUE!</v>
      </c>
      <c r="AT38" s="87" t="e">
        <f ca="1">BarriarOptionPrice($U$9,$U$6,V38,($AQ$67-$AQ38)/(52*7),$U$7,$U$8,$AC$4:$AC$9)*$U$5</f>
        <v>#VALUE!</v>
      </c>
      <c r="AU38" s="87" t="e">
        <f ca="1">BarriarOptionPrice($U$9,$U$6,W38,($AQ$67-$AQ38)/(52*7),$U$7,$U$8,$AC$4:$AC$9)*$U$5</f>
        <v>#VALUE!</v>
      </c>
      <c r="AV38" s="87" t="e">
        <f ca="1">BarriarOptionPrice($U$9,$U$6,X38,($AQ$67-$AQ38)/(52*7),$U$7,$U$8,$AC$4:$AC$9)*$U$5</f>
        <v>#VALUE!</v>
      </c>
      <c r="AW38" s="87" t="e">
        <f ca="1">BarriarOptionPrice($U$9,$U$6,Y38,($AQ$67-$AQ38)/(52*7),$U$7,$U$8,$AC$4:$AC$9)*$U$5</f>
        <v>#VALUE!</v>
      </c>
      <c r="AX38" s="87" t="e">
        <f ca="1">BarriarOptionPrice($U$9,$U$6,Z38,($AQ$67-$AQ38)/(52*7),$U$7,$U$8,$AC$4:$AC$9)*$U$5</f>
        <v>#VALUE!</v>
      </c>
      <c r="AY38" s="87" t="e">
        <f ca="1">BarriarOptionPrice($U$9,$U$6,AA38,($AQ$67-$AQ38)/(52*7),$U$7,$U$8,$AC$4:$AC$9)*$U$5</f>
        <v>#VALUE!</v>
      </c>
      <c r="AZ38" s="87" t="e">
        <f ca="1">BarriarOptionPrice($U$9,$U$6,AB38,($AQ$67-$AQ38)/(52*7),$U$7,$U$8,$AC$4:$AC$9)*$U$5</f>
        <v>#VALUE!</v>
      </c>
      <c r="BA38" s="44" t="e">
        <f ca="1">BarriarOptionPrice($U$9,$U$6,AC38,($AQ$67-$AQ38)/(52*7),$U$7,$U$8,$AC$4:$AC$9)*$U$5</f>
        <v>#VALUE!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</row>
    <row r="39" spans="2:77" x14ac:dyDescent="0.15">
      <c r="B39" s="16">
        <v>40088</v>
      </c>
      <c r="C39" s="29">
        <f t="array" ref="C39">SUMPRODUCT('ファンドデータ(変更不要)'!K39:P39,TRANSPOSE(戦略の決定!$D$13:$D$18))</f>
        <v>-1.4118890494216859E-2</v>
      </c>
      <c r="D39" s="29">
        <f t="array" ref="D39">SUMPRODUCT('ファンドデータ(変更不要)'!K39:P39,TRANSPOSE(戦略の決定!$E$13:$E$18))</f>
        <v>-1.5446583278494179E-2</v>
      </c>
      <c r="E39" s="29">
        <f t="array" ref="E39">SUMPRODUCT('ファンドデータ(変更不要)'!K39:P39,TRANSPOSE(戦略の決定!$F$13:$F$18))</f>
        <v>-1.5446583278494179E-2</v>
      </c>
      <c r="F39" s="183">
        <f t="shared" si="7"/>
        <v>1.11797728572241</v>
      </c>
      <c r="G39" s="183">
        <f t="shared" si="8"/>
        <v>1.1471850999397897</v>
      </c>
      <c r="H39" s="75">
        <f t="shared" si="9"/>
        <v>1.1471850999397897</v>
      </c>
      <c r="J39" s="46">
        <f t="shared" si="3"/>
        <v>43686</v>
      </c>
      <c r="K39" s="87">
        <f ca="1">IF(K38=0,0,BarriarOptionPrice(K$9,K$6,戦略の決定!$F$51*OFFSET($F$3,MATCH($J39,$B$4:$B$656,0),0)/OFFSET($F$3,MATCH($J$12,$B$4:$B$656,0),0),($J$64-$J39)/(52*7),K$7,K$8,戦略の決定!$D$13:$D$18)*K$5)</f>
        <v>0</v>
      </c>
      <c r="L39" s="87">
        <f ca="1">IF(L38=0,0,BarriarOptionPrice(L$9,L$6,戦略の決定!$F$51*OFFSET($F$3,MATCH($J39,$B$4:$B$656,0),0)/OFFSET($F$3,MATCH($J$12,$B$4:$B$656,0),0),($J$64-$J39)/(52*7),L$7,L$8,戦略の決定!$D$13:$D$18)*L$5)</f>
        <v>0</v>
      </c>
      <c r="M39" s="87">
        <f ca="1">IF(M38=0,0,BarriarOptionPrice(M$9,M$6,戦略の決定!$F$52*OFFSET($G$3,MATCH($J39,$B$4:$B$656,0),0)/OFFSET($G$3,MATCH($J$12,$B$4:$B$656,0),0),($J$64-$J39)/(52*7),M$7,M$8,戦略の決定!$E$13:$E$18)*M$5)</f>
        <v>51.910245249704417</v>
      </c>
      <c r="N39" s="87">
        <f ca="1">IF(N38=0,0,BarriarOptionPrice(N$9,N$6,戦略の決定!$F$52*OFFSET($G$3,MATCH($J39,$B$4:$B$656,0),0)/OFFSET($G$3,MATCH($J$12,$B$4:$B$656,0),0),($J$64-$J39)/(52*7),N$7,N$8,戦略の決定!$E$13:$E$18)*N$5)</f>
        <v>0</v>
      </c>
      <c r="O39" s="87">
        <f ca="1">IF(O38=0,0,BarriarOptionPrice(O$9,O$6,戦略の決定!$F$53*OFFSET($H$3,MATCH($J39,$B$4:$B$656,0),0)/OFFSET($H$3,MATCH($J$12,$B$4:$B$656,0),0),($J$64-$J39)/(52*7),O$7,O$8,戦略の決定!$F$13:$F$18)*O$5)</f>
        <v>0</v>
      </c>
      <c r="P39" s="44">
        <f ca="1">IF(P38=0,0,BarriarOptionPrice(P$9,P$6,戦略の決定!$F$53*OFFSET($H$3,MATCH($J39,$B$4:$B$656,0),0)/OFFSET($H$3,MATCH($J$12,$B$4:$B$656,0),0),($J$64-$J39)/(52*7),P$7,P$8,戦略の決定!$F$13:$F$18)*P$5)</f>
        <v>0</v>
      </c>
      <c r="S39" s="57">
        <f t="shared" si="4"/>
        <v>168</v>
      </c>
      <c r="T39" s="87" t="e">
        <f ca="1">戦略の決定!$R$10*OFFSET($E$3,MATCH(T$11+$S39,$B$4:$B$656,0),$Z$3)/OFFSET($E$3,MATCH(T$11,$B$4:$B$656,0),$Z$3)</f>
        <v>#VALUE!</v>
      </c>
      <c r="U39" s="87" t="e">
        <f ca="1">戦略の決定!$R$10*OFFSET($E$3,MATCH(U$11+$S39,$B$4:$B$656,0),$Z$3)/OFFSET($E$3,MATCH(U$11,$B$4:$B$656,0),$Z$3)</f>
        <v>#VALUE!</v>
      </c>
      <c r="V39" s="87" t="e">
        <f ca="1">戦略の決定!$R$10*OFFSET($E$3,MATCH(V$11+$S39,$B$4:$B$656,0),$Z$3)/OFFSET($E$3,MATCH(V$11,$B$4:$B$656,0),$Z$3)</f>
        <v>#VALUE!</v>
      </c>
      <c r="W39" s="87" t="e">
        <f ca="1">戦略の決定!$R$10*OFFSET($E$3,MATCH(W$11+$S39,$B$4:$B$656,0),$Z$3)/OFFSET($E$3,MATCH(W$11,$B$4:$B$656,0),$Z$3)</f>
        <v>#VALUE!</v>
      </c>
      <c r="X39" s="87" t="e">
        <f ca="1">戦略の決定!$R$10*OFFSET($E$3,MATCH(X$11+$S39,$B$4:$B$656,0),$Z$3)/OFFSET($E$3,MATCH(X$11,$B$4:$B$656,0),$Z$3)</f>
        <v>#VALUE!</v>
      </c>
      <c r="Y39" s="87" t="e">
        <f ca="1">戦略の決定!$R$10*OFFSET($E$3,MATCH(Y$11+$S39,$B$4:$B$656,0),$Z$3)/OFFSET($E$3,MATCH(Y$11,$B$4:$B$656,0),$Z$3)</f>
        <v>#VALUE!</v>
      </c>
      <c r="Z39" s="87" t="e">
        <f ca="1">戦略の決定!$R$10*OFFSET($E$3,MATCH(Z$11+$S39,$B$4:$B$656,0),$Z$3)/OFFSET($E$3,MATCH(Z$11,$B$4:$B$656,0),$Z$3)</f>
        <v>#VALUE!</v>
      </c>
      <c r="AA39" s="87" t="e">
        <f ca="1">戦略の決定!$R$10*OFFSET($E$3,MATCH(AA$11+$S39,$B$4:$B$656,0),$Z$3)/OFFSET($E$3,MATCH(AA$11,$B$4:$B$656,0),$Z$3)</f>
        <v>#VALUE!</v>
      </c>
      <c r="AB39" s="87" t="e">
        <f ca="1">戦略の決定!$R$10*OFFSET($E$3,MATCH(AB$11+$S39,$B$4:$B$656,0),$Z$3)/OFFSET($E$3,MATCH(AB$11,$B$4:$B$656,0),$Z$3)</f>
        <v>#VALUE!</v>
      </c>
      <c r="AC39" s="44" t="e">
        <f ca="1">戦略の決定!$R$10*OFFSET($E$3,MATCH(AC$11+$S39,$B$4:$B$656,0),$Z$3)/OFFSET($E$3,MATCH(AC$11,$B$4:$B$656,0),$Z$3)</f>
        <v>#VALUE!</v>
      </c>
      <c r="AE39" s="57">
        <f t="shared" si="5"/>
        <v>168</v>
      </c>
      <c r="AF39" s="87" t="e">
        <f ca="1">BarriarOptionPrice($T$9,$T$6,T39,($AE$67-$AE39)/(52*7),$T$7,$T$8,$AC$4:$AC$9)*$T$5</f>
        <v>#VALUE!</v>
      </c>
      <c r="AG39" s="87" t="e">
        <f ca="1">BarriarOptionPrice($T$9,$T$6,U39,($AE$67-$AE39)/(52*7),$T$7,$T$8,$AC$4:$AC$9)*$T$5</f>
        <v>#VALUE!</v>
      </c>
      <c r="AH39" s="87" t="e">
        <f ca="1">BarriarOptionPrice($T$9,$T$6,V39,($AE$67-$AE39)/(52*7),$T$7,$T$8,$AC$4:$AC$9)*$T$5</f>
        <v>#VALUE!</v>
      </c>
      <c r="AI39" s="87" t="e">
        <f ca="1">BarriarOptionPrice($T$9,$T$6,W39,($AE$67-$AE39)/(52*7),$T$7,$T$8,$AC$4:$AC$9)*$T$5</f>
        <v>#VALUE!</v>
      </c>
      <c r="AJ39" s="87" t="e">
        <f ca="1">BarriarOptionPrice($T$9,$T$6,X39,($AE$67-$AE39)/(52*7),$T$7,$T$8,$AC$4:$AC$9)*$T$5</f>
        <v>#VALUE!</v>
      </c>
      <c r="AK39" s="87" t="e">
        <f ca="1">BarriarOptionPrice($T$9,$T$6,Y39,($AE$67-$AE39)/(52*7),$T$7,$T$8,$AC$4:$AC$9)*$T$5</f>
        <v>#VALUE!</v>
      </c>
      <c r="AL39" s="87" t="e">
        <f ca="1">BarriarOptionPrice($T$9,$T$6,Z39,($AE$67-$AE39)/(52*7),$T$7,$T$8,$AC$4:$AC$9)*$T$5</f>
        <v>#VALUE!</v>
      </c>
      <c r="AM39" s="87" t="e">
        <f ca="1">BarriarOptionPrice($T$9,$T$6,AA39,($AE$67-$AE39)/(52*7),$T$7,$T$8,$AC$4:$AC$9)*$T$5</f>
        <v>#VALUE!</v>
      </c>
      <c r="AN39" s="87" t="e">
        <f ca="1">BarriarOptionPrice($T$9,$T$6,AB39,($AE$67-$AE39)/(52*7),$T$7,$T$8,$AC$4:$AC$9)*$T$5</f>
        <v>#VALUE!</v>
      </c>
      <c r="AO39" s="44" t="e">
        <f ca="1">BarriarOptionPrice($T$9,$T$6,AC39,($AE$67-$AE39)/(52*7),$T$7,$T$8,$AC$4:$AC$9)*$T$5</f>
        <v>#VALUE!</v>
      </c>
      <c r="AQ39" s="57">
        <f t="shared" si="6"/>
        <v>168</v>
      </c>
      <c r="AR39" s="87" t="e">
        <f ca="1">BarriarOptionPrice($U$9,$U$6,T39,($AQ$67-$AQ39)/(52*7),$U$7,$U$8,$AC$4:$AC$9)*$U$5</f>
        <v>#VALUE!</v>
      </c>
      <c r="AS39" s="87" t="e">
        <f ca="1">BarriarOptionPrice($U$9,$U$6,U39,($AQ$67-$AQ39)/(52*7),$U$7,$U$8,$AC$4:$AC$9)*$U$5</f>
        <v>#VALUE!</v>
      </c>
      <c r="AT39" s="87" t="e">
        <f ca="1">BarriarOptionPrice($U$9,$U$6,V39,($AQ$67-$AQ39)/(52*7),$U$7,$U$8,$AC$4:$AC$9)*$U$5</f>
        <v>#VALUE!</v>
      </c>
      <c r="AU39" s="87" t="e">
        <f ca="1">BarriarOptionPrice($U$9,$U$6,W39,($AQ$67-$AQ39)/(52*7),$U$7,$U$8,$AC$4:$AC$9)*$U$5</f>
        <v>#VALUE!</v>
      </c>
      <c r="AV39" s="87" t="e">
        <f ca="1">BarriarOptionPrice($U$9,$U$6,X39,($AQ$67-$AQ39)/(52*7),$U$7,$U$8,$AC$4:$AC$9)*$U$5</f>
        <v>#VALUE!</v>
      </c>
      <c r="AW39" s="87" t="e">
        <f ca="1">BarriarOptionPrice($U$9,$U$6,Y39,($AQ$67-$AQ39)/(52*7),$U$7,$U$8,$AC$4:$AC$9)*$U$5</f>
        <v>#VALUE!</v>
      </c>
      <c r="AX39" s="87" t="e">
        <f ca="1">BarriarOptionPrice($U$9,$U$6,Z39,($AQ$67-$AQ39)/(52*7),$U$7,$U$8,$AC$4:$AC$9)*$U$5</f>
        <v>#VALUE!</v>
      </c>
      <c r="AY39" s="87" t="e">
        <f ca="1">BarriarOptionPrice($U$9,$U$6,AA39,($AQ$67-$AQ39)/(52*7),$U$7,$U$8,$AC$4:$AC$9)*$U$5</f>
        <v>#VALUE!</v>
      </c>
      <c r="AZ39" s="87" t="e">
        <f ca="1">BarriarOptionPrice($U$9,$U$6,AB39,($AQ$67-$AQ39)/(52*7),$U$7,$U$8,$AC$4:$AC$9)*$U$5</f>
        <v>#VALUE!</v>
      </c>
      <c r="BA39" s="44" t="e">
        <f ca="1">BarriarOptionPrice($U$9,$U$6,AC39,($AQ$67-$AQ39)/(52*7),$U$7,$U$8,$AC$4:$AC$9)*$U$5</f>
        <v>#VALUE!</v>
      </c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</row>
    <row r="40" spans="2:77" x14ac:dyDescent="0.15">
      <c r="B40" s="16">
        <v>40095</v>
      </c>
      <c r="C40" s="29">
        <f t="array" ref="C40">SUMPRODUCT('ファンドデータ(変更不要)'!K40:P40,TRANSPOSE(戦略の決定!$D$13:$D$18))</f>
        <v>7.3426430394112705E-3</v>
      </c>
      <c r="D40" s="29">
        <f t="array" ref="D40">SUMPRODUCT('ファンドデータ(変更不要)'!K40:P40,TRANSPOSE(戦略の決定!$E$13:$E$18))</f>
        <v>8.8860506264235063E-3</v>
      </c>
      <c r="E40" s="29">
        <f t="array" ref="E40">SUMPRODUCT('ファンドデータ(変更不要)'!K40:P40,TRANSPOSE(戦略の決定!$F$13:$F$18))</f>
        <v>8.8860506264235063E-3</v>
      </c>
      <c r="F40" s="183">
        <f t="shared" si="7"/>
        <v>1.1261861938576394</v>
      </c>
      <c r="G40" s="183">
        <f t="shared" si="8"/>
        <v>1.1573790448157333</v>
      </c>
      <c r="H40" s="75">
        <f t="shared" si="9"/>
        <v>1.1573790448157333</v>
      </c>
      <c r="J40" s="46">
        <f t="shared" si="3"/>
        <v>43693</v>
      </c>
      <c r="K40" s="87">
        <f ca="1">IF(K39=0,0,BarriarOptionPrice(K$9,K$6,戦略の決定!$F$51*OFFSET($F$3,MATCH($J40,$B$4:$B$656,0),0)/OFFSET($F$3,MATCH($J$12,$B$4:$B$656,0),0),($J$64-$J40)/(52*7),K$7,K$8,戦略の決定!$D$13:$D$18)*K$5)</f>
        <v>0</v>
      </c>
      <c r="L40" s="87">
        <f ca="1">IF(L39=0,0,BarriarOptionPrice(L$9,L$6,戦略の決定!$F$51*OFFSET($F$3,MATCH($J40,$B$4:$B$656,0),0)/OFFSET($F$3,MATCH($J$12,$B$4:$B$656,0),0),($J$64-$J40)/(52*7),L$7,L$8,戦略の決定!$D$13:$D$18)*L$5)</f>
        <v>0</v>
      </c>
      <c r="M40" s="87">
        <f ca="1">IF(M39=0,0,BarriarOptionPrice(M$9,M$6,戦略の決定!$F$52*OFFSET($G$3,MATCH($J40,$B$4:$B$656,0),0)/OFFSET($G$3,MATCH($J$12,$B$4:$B$656,0),0),($J$64-$J40)/(52*7),M$7,M$8,戦略の決定!$E$13:$E$18)*M$5)</f>
        <v>47.309354851945443</v>
      </c>
      <c r="N40" s="87">
        <f ca="1">IF(N39=0,0,BarriarOptionPrice(N$9,N$6,戦略の決定!$F$52*OFFSET($G$3,MATCH($J40,$B$4:$B$656,0),0)/OFFSET($G$3,MATCH($J$12,$B$4:$B$656,0),0),($J$64-$J40)/(52*7),N$7,N$8,戦略の決定!$E$13:$E$18)*N$5)</f>
        <v>0</v>
      </c>
      <c r="O40" s="87">
        <f ca="1">IF(O39=0,0,BarriarOptionPrice(O$9,O$6,戦略の決定!$F$53*OFFSET($H$3,MATCH($J40,$B$4:$B$656,0),0)/OFFSET($H$3,MATCH($J$12,$B$4:$B$656,0),0),($J$64-$J40)/(52*7),O$7,O$8,戦略の決定!$F$13:$F$18)*O$5)</f>
        <v>0</v>
      </c>
      <c r="P40" s="44">
        <f ca="1">IF(P39=0,0,BarriarOptionPrice(P$9,P$6,戦略の決定!$F$53*OFFSET($H$3,MATCH($J40,$B$4:$B$656,0),0)/OFFSET($H$3,MATCH($J$12,$B$4:$B$656,0),0),($J$64-$J40)/(52*7),P$7,P$8,戦略の決定!$F$13:$F$18)*P$5)</f>
        <v>0</v>
      </c>
      <c r="S40" s="57">
        <f t="shared" si="4"/>
        <v>175</v>
      </c>
      <c r="T40" s="87" t="e">
        <f ca="1">戦略の決定!$R$10*OFFSET($E$3,MATCH(T$11+$S40,$B$4:$B$656,0),$Z$3)/OFFSET($E$3,MATCH(T$11,$B$4:$B$656,0),$Z$3)</f>
        <v>#VALUE!</v>
      </c>
      <c r="U40" s="87" t="e">
        <f ca="1">戦略の決定!$R$10*OFFSET($E$3,MATCH(U$11+$S40,$B$4:$B$656,0),$Z$3)/OFFSET($E$3,MATCH(U$11,$B$4:$B$656,0),$Z$3)</f>
        <v>#VALUE!</v>
      </c>
      <c r="V40" s="87" t="e">
        <f ca="1">戦略の決定!$R$10*OFFSET($E$3,MATCH(V$11+$S40,$B$4:$B$656,0),$Z$3)/OFFSET($E$3,MATCH(V$11,$B$4:$B$656,0),$Z$3)</f>
        <v>#VALUE!</v>
      </c>
      <c r="W40" s="87" t="e">
        <f ca="1">戦略の決定!$R$10*OFFSET($E$3,MATCH(W$11+$S40,$B$4:$B$656,0),$Z$3)/OFFSET($E$3,MATCH(W$11,$B$4:$B$656,0),$Z$3)</f>
        <v>#VALUE!</v>
      </c>
      <c r="X40" s="87" t="e">
        <f ca="1">戦略の決定!$R$10*OFFSET($E$3,MATCH(X$11+$S40,$B$4:$B$656,0),$Z$3)/OFFSET($E$3,MATCH(X$11,$B$4:$B$656,0),$Z$3)</f>
        <v>#VALUE!</v>
      </c>
      <c r="Y40" s="87" t="e">
        <f ca="1">戦略の決定!$R$10*OFFSET($E$3,MATCH(Y$11+$S40,$B$4:$B$656,0),$Z$3)/OFFSET($E$3,MATCH(Y$11,$B$4:$B$656,0),$Z$3)</f>
        <v>#VALUE!</v>
      </c>
      <c r="Z40" s="87" t="e">
        <f ca="1">戦略の決定!$R$10*OFFSET($E$3,MATCH(Z$11+$S40,$B$4:$B$656,0),$Z$3)/OFFSET($E$3,MATCH(Z$11,$B$4:$B$656,0),$Z$3)</f>
        <v>#VALUE!</v>
      </c>
      <c r="AA40" s="87" t="e">
        <f ca="1">戦略の決定!$R$10*OFFSET($E$3,MATCH(AA$11+$S40,$B$4:$B$656,0),$Z$3)/OFFSET($E$3,MATCH(AA$11,$B$4:$B$656,0),$Z$3)</f>
        <v>#VALUE!</v>
      </c>
      <c r="AB40" s="87" t="e">
        <f ca="1">戦略の決定!$R$10*OFFSET($E$3,MATCH(AB$11+$S40,$B$4:$B$656,0),$Z$3)/OFFSET($E$3,MATCH(AB$11,$B$4:$B$656,0),$Z$3)</f>
        <v>#VALUE!</v>
      </c>
      <c r="AC40" s="44" t="e">
        <f ca="1">戦略の決定!$R$10*OFFSET($E$3,MATCH(AC$11+$S40,$B$4:$B$656,0),$Z$3)/OFFSET($E$3,MATCH(AC$11,$B$4:$B$656,0),$Z$3)</f>
        <v>#VALUE!</v>
      </c>
      <c r="AE40" s="57">
        <f t="shared" si="5"/>
        <v>175</v>
      </c>
      <c r="AF40" s="87" t="e">
        <f ca="1">BarriarOptionPrice($T$9,$T$6,T40,($AE$67-$AE40)/(52*7),$T$7,$T$8,$AC$4:$AC$9)*$T$5</f>
        <v>#VALUE!</v>
      </c>
      <c r="AG40" s="87" t="e">
        <f ca="1">BarriarOptionPrice($T$9,$T$6,U40,($AE$67-$AE40)/(52*7),$T$7,$T$8,$AC$4:$AC$9)*$T$5</f>
        <v>#VALUE!</v>
      </c>
      <c r="AH40" s="87" t="e">
        <f ca="1">BarriarOptionPrice($T$9,$T$6,V40,($AE$67-$AE40)/(52*7),$T$7,$T$8,$AC$4:$AC$9)*$T$5</f>
        <v>#VALUE!</v>
      </c>
      <c r="AI40" s="87" t="e">
        <f ca="1">BarriarOptionPrice($T$9,$T$6,W40,($AE$67-$AE40)/(52*7),$T$7,$T$8,$AC$4:$AC$9)*$T$5</f>
        <v>#VALUE!</v>
      </c>
      <c r="AJ40" s="87" t="e">
        <f ca="1">BarriarOptionPrice($T$9,$T$6,X40,($AE$67-$AE40)/(52*7),$T$7,$T$8,$AC$4:$AC$9)*$T$5</f>
        <v>#VALUE!</v>
      </c>
      <c r="AK40" s="87" t="e">
        <f ca="1">BarriarOptionPrice($T$9,$T$6,Y40,($AE$67-$AE40)/(52*7),$T$7,$T$8,$AC$4:$AC$9)*$T$5</f>
        <v>#VALUE!</v>
      </c>
      <c r="AL40" s="87" t="e">
        <f ca="1">BarriarOptionPrice($T$9,$T$6,Z40,($AE$67-$AE40)/(52*7),$T$7,$T$8,$AC$4:$AC$9)*$T$5</f>
        <v>#VALUE!</v>
      </c>
      <c r="AM40" s="87" t="e">
        <f ca="1">BarriarOptionPrice($T$9,$T$6,AA40,($AE$67-$AE40)/(52*7),$T$7,$T$8,$AC$4:$AC$9)*$T$5</f>
        <v>#VALUE!</v>
      </c>
      <c r="AN40" s="87" t="e">
        <f ca="1">BarriarOptionPrice($T$9,$T$6,AB40,($AE$67-$AE40)/(52*7),$T$7,$T$8,$AC$4:$AC$9)*$T$5</f>
        <v>#VALUE!</v>
      </c>
      <c r="AO40" s="44" t="e">
        <f ca="1">BarriarOptionPrice($T$9,$T$6,AC40,($AE$67-$AE40)/(52*7),$T$7,$T$8,$AC$4:$AC$9)*$T$5</f>
        <v>#VALUE!</v>
      </c>
      <c r="AQ40" s="57">
        <f t="shared" si="6"/>
        <v>175</v>
      </c>
      <c r="AR40" s="87" t="e">
        <f ca="1">BarriarOptionPrice($U$9,$U$6,T40,($AQ$67-$AQ40)/(52*7),$U$7,$U$8,$AC$4:$AC$9)*$U$5</f>
        <v>#VALUE!</v>
      </c>
      <c r="AS40" s="87" t="e">
        <f ca="1">BarriarOptionPrice($U$9,$U$6,U40,($AQ$67-$AQ40)/(52*7),$U$7,$U$8,$AC$4:$AC$9)*$U$5</f>
        <v>#VALUE!</v>
      </c>
      <c r="AT40" s="87" t="e">
        <f ca="1">BarriarOptionPrice($U$9,$U$6,V40,($AQ$67-$AQ40)/(52*7),$U$7,$U$8,$AC$4:$AC$9)*$U$5</f>
        <v>#VALUE!</v>
      </c>
      <c r="AU40" s="87" t="e">
        <f ca="1">BarriarOptionPrice($U$9,$U$6,W40,($AQ$67-$AQ40)/(52*7),$U$7,$U$8,$AC$4:$AC$9)*$U$5</f>
        <v>#VALUE!</v>
      </c>
      <c r="AV40" s="87" t="e">
        <f ca="1">BarriarOptionPrice($U$9,$U$6,X40,($AQ$67-$AQ40)/(52*7),$U$7,$U$8,$AC$4:$AC$9)*$U$5</f>
        <v>#VALUE!</v>
      </c>
      <c r="AW40" s="87" t="e">
        <f ca="1">BarriarOptionPrice($U$9,$U$6,Y40,($AQ$67-$AQ40)/(52*7),$U$7,$U$8,$AC$4:$AC$9)*$U$5</f>
        <v>#VALUE!</v>
      </c>
      <c r="AX40" s="87" t="e">
        <f ca="1">BarriarOptionPrice($U$9,$U$6,Z40,($AQ$67-$AQ40)/(52*7),$U$7,$U$8,$AC$4:$AC$9)*$U$5</f>
        <v>#VALUE!</v>
      </c>
      <c r="AY40" s="87" t="e">
        <f ca="1">BarriarOptionPrice($U$9,$U$6,AA40,($AQ$67-$AQ40)/(52*7),$U$7,$U$8,$AC$4:$AC$9)*$U$5</f>
        <v>#VALUE!</v>
      </c>
      <c r="AZ40" s="87" t="e">
        <f ca="1">BarriarOptionPrice($U$9,$U$6,AB40,($AQ$67-$AQ40)/(52*7),$U$7,$U$8,$AC$4:$AC$9)*$U$5</f>
        <v>#VALUE!</v>
      </c>
      <c r="BA40" s="44" t="e">
        <f ca="1">BarriarOptionPrice($U$9,$U$6,AC40,($AQ$67-$AQ40)/(52*7),$U$7,$U$8,$AC$4:$AC$9)*$U$5</f>
        <v>#VALUE!</v>
      </c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</row>
    <row r="41" spans="2:77" x14ac:dyDescent="0.15">
      <c r="B41" s="16">
        <v>40102</v>
      </c>
      <c r="C41" s="29">
        <f t="array" ref="C41">SUMPRODUCT('ファンドデータ(変更不要)'!K41:P41,TRANSPOSE(戦略の決定!$D$13:$D$18))</f>
        <v>6.8504312723907243E-3</v>
      </c>
      <c r="D41" s="29">
        <f t="array" ref="D41">SUMPRODUCT('ファンドデータ(変更不要)'!K41:P41,TRANSPOSE(戦略の決定!$E$13:$E$18))</f>
        <v>4.6424111024313793E-3</v>
      </c>
      <c r="E41" s="29">
        <f t="array" ref="E41">SUMPRODUCT('ファンドデータ(変更不要)'!K41:P41,TRANSPOSE(戦略の決定!$F$13:$F$18))</f>
        <v>4.6424111024313793E-3</v>
      </c>
      <c r="F41" s="183">
        <f t="shared" si="7"/>
        <v>1.1339010549785764</v>
      </c>
      <c r="G41" s="183">
        <f t="shared" si="8"/>
        <v>1.1627520741431074</v>
      </c>
      <c r="H41" s="75">
        <f t="shared" si="9"/>
        <v>1.1627520741431074</v>
      </c>
      <c r="J41" s="46">
        <f t="shared" si="3"/>
        <v>43700</v>
      </c>
      <c r="K41" s="87">
        <f ca="1">IF(K40=0,0,BarriarOptionPrice(K$9,K$6,戦略の決定!$F$51*OFFSET($F$3,MATCH($J41,$B$4:$B$656,0),0)/OFFSET($F$3,MATCH($J$12,$B$4:$B$656,0),0),($J$64-$J41)/(52*7),K$7,K$8,戦略の決定!$D$13:$D$18)*K$5)</f>
        <v>0</v>
      </c>
      <c r="L41" s="87">
        <f ca="1">IF(L40=0,0,BarriarOptionPrice(L$9,L$6,戦略の決定!$F$51*OFFSET($F$3,MATCH($J41,$B$4:$B$656,0),0)/OFFSET($F$3,MATCH($J$12,$B$4:$B$656,0),0),($J$64-$J41)/(52*7),L$7,L$8,戦略の決定!$D$13:$D$18)*L$5)</f>
        <v>0</v>
      </c>
      <c r="M41" s="87">
        <f ca="1">IF(M40=0,0,BarriarOptionPrice(M$9,M$6,戦略の決定!$F$52*OFFSET($G$3,MATCH($J41,$B$4:$B$656,0),0)/OFFSET($G$3,MATCH($J$12,$B$4:$B$656,0),0),($J$64-$J41)/(52*7),M$7,M$8,戦略の決定!$E$13:$E$18)*M$5)</f>
        <v>43.786071970754222</v>
      </c>
      <c r="N41" s="87">
        <f ca="1">IF(N40=0,0,BarriarOptionPrice(N$9,N$6,戦略の決定!$F$52*OFFSET($G$3,MATCH($J41,$B$4:$B$656,0),0)/OFFSET($G$3,MATCH($J$12,$B$4:$B$656,0),0),($J$64-$J41)/(52*7),N$7,N$8,戦略の決定!$E$13:$E$18)*N$5)</f>
        <v>0</v>
      </c>
      <c r="O41" s="87">
        <f ca="1">IF(O40=0,0,BarriarOptionPrice(O$9,O$6,戦略の決定!$F$53*OFFSET($H$3,MATCH($J41,$B$4:$B$656,0),0)/OFFSET($H$3,MATCH($J$12,$B$4:$B$656,0),0),($J$64-$J41)/(52*7),O$7,O$8,戦略の決定!$F$13:$F$18)*O$5)</f>
        <v>0</v>
      </c>
      <c r="P41" s="44">
        <f ca="1">IF(P40=0,0,BarriarOptionPrice(P$9,P$6,戦略の決定!$F$53*OFFSET($H$3,MATCH($J41,$B$4:$B$656,0),0)/OFFSET($H$3,MATCH($J$12,$B$4:$B$656,0),0),($J$64-$J41)/(52*7),P$7,P$8,戦略の決定!$F$13:$F$18)*P$5)</f>
        <v>0</v>
      </c>
      <c r="S41" s="57">
        <f t="shared" si="4"/>
        <v>182</v>
      </c>
      <c r="T41" s="87" t="e">
        <f ca="1">戦略の決定!$R$10*OFFSET($E$3,MATCH(T$11+$S41,$B$4:$B$656,0),$Z$3)/OFFSET($E$3,MATCH(T$11,$B$4:$B$656,0),$Z$3)</f>
        <v>#VALUE!</v>
      </c>
      <c r="U41" s="87" t="e">
        <f ca="1">戦略の決定!$R$10*OFFSET($E$3,MATCH(U$11+$S41,$B$4:$B$656,0),$Z$3)/OFFSET($E$3,MATCH(U$11,$B$4:$B$656,0),$Z$3)</f>
        <v>#VALUE!</v>
      </c>
      <c r="V41" s="87" t="e">
        <f ca="1">戦略の決定!$R$10*OFFSET($E$3,MATCH(V$11+$S41,$B$4:$B$656,0),$Z$3)/OFFSET($E$3,MATCH(V$11,$B$4:$B$656,0),$Z$3)</f>
        <v>#VALUE!</v>
      </c>
      <c r="W41" s="87" t="e">
        <f ca="1">戦略の決定!$R$10*OFFSET($E$3,MATCH(W$11+$S41,$B$4:$B$656,0),$Z$3)/OFFSET($E$3,MATCH(W$11,$B$4:$B$656,0),$Z$3)</f>
        <v>#VALUE!</v>
      </c>
      <c r="X41" s="87" t="e">
        <f ca="1">戦略の決定!$R$10*OFFSET($E$3,MATCH(X$11+$S41,$B$4:$B$656,0),$Z$3)/OFFSET($E$3,MATCH(X$11,$B$4:$B$656,0),$Z$3)</f>
        <v>#VALUE!</v>
      </c>
      <c r="Y41" s="87" t="e">
        <f ca="1">戦略の決定!$R$10*OFFSET($E$3,MATCH(Y$11+$S41,$B$4:$B$656,0),$Z$3)/OFFSET($E$3,MATCH(Y$11,$B$4:$B$656,0),$Z$3)</f>
        <v>#VALUE!</v>
      </c>
      <c r="Z41" s="87" t="e">
        <f ca="1">戦略の決定!$R$10*OFFSET($E$3,MATCH(Z$11+$S41,$B$4:$B$656,0),$Z$3)/OFFSET($E$3,MATCH(Z$11,$B$4:$B$656,0),$Z$3)</f>
        <v>#VALUE!</v>
      </c>
      <c r="AA41" s="87" t="e">
        <f ca="1">戦略の決定!$R$10*OFFSET($E$3,MATCH(AA$11+$S41,$B$4:$B$656,0),$Z$3)/OFFSET($E$3,MATCH(AA$11,$B$4:$B$656,0),$Z$3)</f>
        <v>#VALUE!</v>
      </c>
      <c r="AB41" s="87" t="e">
        <f ca="1">戦略の決定!$R$10*OFFSET($E$3,MATCH(AB$11+$S41,$B$4:$B$656,0),$Z$3)/OFFSET($E$3,MATCH(AB$11,$B$4:$B$656,0),$Z$3)</f>
        <v>#VALUE!</v>
      </c>
      <c r="AC41" s="44" t="e">
        <f ca="1">戦略の決定!$R$10*OFFSET($E$3,MATCH(AC$11+$S41,$B$4:$B$656,0),$Z$3)/OFFSET($E$3,MATCH(AC$11,$B$4:$B$656,0),$Z$3)</f>
        <v>#VALUE!</v>
      </c>
      <c r="AE41" s="57">
        <f t="shared" si="5"/>
        <v>182</v>
      </c>
      <c r="AF41" s="87" t="e">
        <f ca="1">BarriarOptionPrice($T$9,$T$6,T41,($AE$67-$AE41)/(52*7),$T$7,$T$8,$AC$4:$AC$9)*$T$5</f>
        <v>#VALUE!</v>
      </c>
      <c r="AG41" s="87" t="e">
        <f ca="1">BarriarOptionPrice($T$9,$T$6,U41,($AE$67-$AE41)/(52*7),$T$7,$T$8,$AC$4:$AC$9)*$T$5</f>
        <v>#VALUE!</v>
      </c>
      <c r="AH41" s="87" t="e">
        <f ca="1">BarriarOptionPrice($T$9,$T$6,V41,($AE$67-$AE41)/(52*7),$T$7,$T$8,$AC$4:$AC$9)*$T$5</f>
        <v>#VALUE!</v>
      </c>
      <c r="AI41" s="87" t="e">
        <f ca="1">BarriarOptionPrice($T$9,$T$6,W41,($AE$67-$AE41)/(52*7),$T$7,$T$8,$AC$4:$AC$9)*$T$5</f>
        <v>#VALUE!</v>
      </c>
      <c r="AJ41" s="87" t="e">
        <f ca="1">BarriarOptionPrice($T$9,$T$6,X41,($AE$67-$AE41)/(52*7),$T$7,$T$8,$AC$4:$AC$9)*$T$5</f>
        <v>#VALUE!</v>
      </c>
      <c r="AK41" s="87" t="e">
        <f ca="1">BarriarOptionPrice($T$9,$T$6,Y41,($AE$67-$AE41)/(52*7),$T$7,$T$8,$AC$4:$AC$9)*$T$5</f>
        <v>#VALUE!</v>
      </c>
      <c r="AL41" s="87" t="e">
        <f ca="1">BarriarOptionPrice($T$9,$T$6,Z41,($AE$67-$AE41)/(52*7),$T$7,$T$8,$AC$4:$AC$9)*$T$5</f>
        <v>#VALUE!</v>
      </c>
      <c r="AM41" s="87" t="e">
        <f ca="1">BarriarOptionPrice($T$9,$T$6,AA41,($AE$67-$AE41)/(52*7),$T$7,$T$8,$AC$4:$AC$9)*$T$5</f>
        <v>#VALUE!</v>
      </c>
      <c r="AN41" s="87" t="e">
        <f ca="1">BarriarOptionPrice($T$9,$T$6,AB41,($AE$67-$AE41)/(52*7),$T$7,$T$8,$AC$4:$AC$9)*$T$5</f>
        <v>#VALUE!</v>
      </c>
      <c r="AO41" s="44" t="e">
        <f ca="1">BarriarOptionPrice($T$9,$T$6,AC41,($AE$67-$AE41)/(52*7),$T$7,$T$8,$AC$4:$AC$9)*$T$5</f>
        <v>#VALUE!</v>
      </c>
      <c r="AQ41" s="57">
        <f t="shared" si="6"/>
        <v>182</v>
      </c>
      <c r="AR41" s="87" t="e">
        <f ca="1">BarriarOptionPrice($U$9,$U$6,T41,($AQ$67-$AQ41)/(52*7),$U$7,$U$8,$AC$4:$AC$9)*$U$5</f>
        <v>#VALUE!</v>
      </c>
      <c r="AS41" s="87" t="e">
        <f ca="1">BarriarOptionPrice($U$9,$U$6,U41,($AQ$67-$AQ41)/(52*7),$U$7,$U$8,$AC$4:$AC$9)*$U$5</f>
        <v>#VALUE!</v>
      </c>
      <c r="AT41" s="87" t="e">
        <f ca="1">BarriarOptionPrice($U$9,$U$6,V41,($AQ$67-$AQ41)/(52*7),$U$7,$U$8,$AC$4:$AC$9)*$U$5</f>
        <v>#VALUE!</v>
      </c>
      <c r="AU41" s="87" t="e">
        <f ca="1">BarriarOptionPrice($U$9,$U$6,W41,($AQ$67-$AQ41)/(52*7),$U$7,$U$8,$AC$4:$AC$9)*$U$5</f>
        <v>#VALUE!</v>
      </c>
      <c r="AV41" s="87" t="e">
        <f ca="1">BarriarOptionPrice($U$9,$U$6,X41,($AQ$67-$AQ41)/(52*7),$U$7,$U$8,$AC$4:$AC$9)*$U$5</f>
        <v>#VALUE!</v>
      </c>
      <c r="AW41" s="87" t="e">
        <f ca="1">BarriarOptionPrice($U$9,$U$6,Y41,($AQ$67-$AQ41)/(52*7),$U$7,$U$8,$AC$4:$AC$9)*$U$5</f>
        <v>#VALUE!</v>
      </c>
      <c r="AX41" s="87" t="e">
        <f ca="1">BarriarOptionPrice($U$9,$U$6,Z41,($AQ$67-$AQ41)/(52*7),$U$7,$U$8,$AC$4:$AC$9)*$U$5</f>
        <v>#VALUE!</v>
      </c>
      <c r="AY41" s="87" t="e">
        <f ca="1">BarriarOptionPrice($U$9,$U$6,AA41,($AQ$67-$AQ41)/(52*7),$U$7,$U$8,$AC$4:$AC$9)*$U$5</f>
        <v>#VALUE!</v>
      </c>
      <c r="AZ41" s="87" t="e">
        <f ca="1">BarriarOptionPrice($U$9,$U$6,AB41,($AQ$67-$AQ41)/(52*7),$U$7,$U$8,$AC$4:$AC$9)*$U$5</f>
        <v>#VALUE!</v>
      </c>
      <c r="BA41" s="44" t="e">
        <f ca="1">BarriarOptionPrice($U$9,$U$6,AC41,($AQ$67-$AQ41)/(52*7),$U$7,$U$8,$AC$4:$AC$9)*$U$5</f>
        <v>#VALUE!</v>
      </c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</row>
    <row r="42" spans="2:77" x14ac:dyDescent="0.15">
      <c r="B42" s="16">
        <v>40109</v>
      </c>
      <c r="C42" s="29">
        <f t="array" ref="C42">SUMPRODUCT('ファンドデータ(変更不要)'!K42:P42,TRANSPOSE(戦略の決定!$D$13:$D$18))</f>
        <v>2.4473599593433787E-4</v>
      </c>
      <c r="D42" s="29">
        <f t="array" ref="D42">SUMPRODUCT('ファンドデータ(変更不要)'!K42:P42,TRANSPOSE(戦略の決定!$E$13:$E$18))</f>
        <v>-2.518216664381635E-3</v>
      </c>
      <c r="E42" s="29">
        <f t="array" ref="E42">SUMPRODUCT('ファンドデータ(変更不要)'!K42:P42,TRANSPOSE(戦略の決定!$F$13:$F$18))</f>
        <v>-2.518216664381635E-3</v>
      </c>
      <c r="F42" s="183">
        <f t="shared" si="7"/>
        <v>1.1341785613825577</v>
      </c>
      <c r="G42" s="183">
        <f t="shared" si="8"/>
        <v>1.159824012493456</v>
      </c>
      <c r="H42" s="75">
        <f t="shared" si="9"/>
        <v>1.159824012493456</v>
      </c>
      <c r="J42" s="46">
        <f t="shared" si="3"/>
        <v>43707</v>
      </c>
      <c r="K42" s="87">
        <f ca="1">IF(K41=0,0,BarriarOptionPrice(K$9,K$6,戦略の決定!$F$51*OFFSET($F$3,MATCH($J42,$B$4:$B$656,0),0)/OFFSET($F$3,MATCH($J$12,$B$4:$B$656,0),0),($J$64-$J42)/(52*7),K$7,K$8,戦略の決定!$D$13:$D$18)*K$5)</f>
        <v>0</v>
      </c>
      <c r="L42" s="87">
        <f ca="1">IF(L41=0,0,BarriarOptionPrice(L$9,L$6,戦略の決定!$F$51*OFFSET($F$3,MATCH($J42,$B$4:$B$656,0),0)/OFFSET($F$3,MATCH($J$12,$B$4:$B$656,0),0),($J$64-$J42)/(52*7),L$7,L$8,戦略の決定!$D$13:$D$18)*L$5)</f>
        <v>0</v>
      </c>
      <c r="M42" s="87">
        <f ca="1">IF(M41=0,0,BarriarOptionPrice(M$9,M$6,戦略の決定!$F$52*OFFSET($G$3,MATCH($J42,$B$4:$B$656,0),0)/OFFSET($G$3,MATCH($J$12,$B$4:$B$656,0),0),($J$64-$J42)/(52*7),M$7,M$8,戦略の決定!$E$13:$E$18)*M$5)</f>
        <v>41.483870929022657</v>
      </c>
      <c r="N42" s="87">
        <f ca="1">IF(N41=0,0,BarriarOptionPrice(N$9,N$6,戦略の決定!$F$52*OFFSET($G$3,MATCH($J42,$B$4:$B$656,0),0)/OFFSET($G$3,MATCH($J$12,$B$4:$B$656,0),0),($J$64-$J42)/(52*7),N$7,N$8,戦略の決定!$E$13:$E$18)*N$5)</f>
        <v>0</v>
      </c>
      <c r="O42" s="87">
        <f ca="1">IF(O41=0,0,BarriarOptionPrice(O$9,O$6,戦略の決定!$F$53*OFFSET($H$3,MATCH($J42,$B$4:$B$656,0),0)/OFFSET($H$3,MATCH($J$12,$B$4:$B$656,0),0),($J$64-$J42)/(52*7),O$7,O$8,戦略の決定!$F$13:$F$18)*O$5)</f>
        <v>0</v>
      </c>
      <c r="P42" s="44">
        <f ca="1">IF(P41=0,0,BarriarOptionPrice(P$9,P$6,戦略の決定!$F$53*OFFSET($H$3,MATCH($J42,$B$4:$B$656,0),0)/OFFSET($H$3,MATCH($J$12,$B$4:$B$656,0),0),($J$64-$J42)/(52*7),P$7,P$8,戦略の決定!$F$13:$F$18)*P$5)</f>
        <v>0</v>
      </c>
      <c r="S42" s="57">
        <f t="shared" si="4"/>
        <v>189</v>
      </c>
      <c r="T42" s="87" t="e">
        <f ca="1">戦略の決定!$R$10*OFFSET($E$3,MATCH(T$11+$S42,$B$4:$B$656,0),$Z$3)/OFFSET($E$3,MATCH(T$11,$B$4:$B$656,0),$Z$3)</f>
        <v>#VALUE!</v>
      </c>
      <c r="U42" s="87" t="e">
        <f ca="1">戦略の決定!$R$10*OFFSET($E$3,MATCH(U$11+$S42,$B$4:$B$656,0),$Z$3)/OFFSET($E$3,MATCH(U$11,$B$4:$B$656,0),$Z$3)</f>
        <v>#VALUE!</v>
      </c>
      <c r="V42" s="87" t="e">
        <f ca="1">戦略の決定!$R$10*OFFSET($E$3,MATCH(V$11+$S42,$B$4:$B$656,0),$Z$3)/OFFSET($E$3,MATCH(V$11,$B$4:$B$656,0),$Z$3)</f>
        <v>#VALUE!</v>
      </c>
      <c r="W42" s="87" t="e">
        <f ca="1">戦略の決定!$R$10*OFFSET($E$3,MATCH(W$11+$S42,$B$4:$B$656,0),$Z$3)/OFFSET($E$3,MATCH(W$11,$B$4:$B$656,0),$Z$3)</f>
        <v>#VALUE!</v>
      </c>
      <c r="X42" s="87" t="e">
        <f ca="1">戦略の決定!$R$10*OFFSET($E$3,MATCH(X$11+$S42,$B$4:$B$656,0),$Z$3)/OFFSET($E$3,MATCH(X$11,$B$4:$B$656,0),$Z$3)</f>
        <v>#VALUE!</v>
      </c>
      <c r="Y42" s="87" t="e">
        <f ca="1">戦略の決定!$R$10*OFFSET($E$3,MATCH(Y$11+$S42,$B$4:$B$656,0),$Z$3)/OFFSET($E$3,MATCH(Y$11,$B$4:$B$656,0),$Z$3)</f>
        <v>#VALUE!</v>
      </c>
      <c r="Z42" s="87" t="e">
        <f ca="1">戦略の決定!$R$10*OFFSET($E$3,MATCH(Z$11+$S42,$B$4:$B$656,0),$Z$3)/OFFSET($E$3,MATCH(Z$11,$B$4:$B$656,0),$Z$3)</f>
        <v>#VALUE!</v>
      </c>
      <c r="AA42" s="87" t="e">
        <f ca="1">戦略の決定!$R$10*OFFSET($E$3,MATCH(AA$11+$S42,$B$4:$B$656,0),$Z$3)/OFFSET($E$3,MATCH(AA$11,$B$4:$B$656,0),$Z$3)</f>
        <v>#VALUE!</v>
      </c>
      <c r="AB42" s="87" t="e">
        <f ca="1">戦略の決定!$R$10*OFFSET($E$3,MATCH(AB$11+$S42,$B$4:$B$656,0),$Z$3)/OFFSET($E$3,MATCH(AB$11,$B$4:$B$656,0),$Z$3)</f>
        <v>#VALUE!</v>
      </c>
      <c r="AC42" s="44" t="e">
        <f ca="1">戦略の決定!$R$10*OFFSET($E$3,MATCH(AC$11+$S42,$B$4:$B$656,0),$Z$3)/OFFSET($E$3,MATCH(AC$11,$B$4:$B$656,0),$Z$3)</f>
        <v>#VALUE!</v>
      </c>
      <c r="AE42" s="57">
        <f t="shared" si="5"/>
        <v>189</v>
      </c>
      <c r="AF42" s="87" t="e">
        <f ca="1">BarriarOptionPrice($T$9,$T$6,T42,($AE$67-$AE42)/(52*7),$T$7,$T$8,$AC$4:$AC$9)*$T$5</f>
        <v>#VALUE!</v>
      </c>
      <c r="AG42" s="87" t="e">
        <f ca="1">BarriarOptionPrice($T$9,$T$6,U42,($AE$67-$AE42)/(52*7),$T$7,$T$8,$AC$4:$AC$9)*$T$5</f>
        <v>#VALUE!</v>
      </c>
      <c r="AH42" s="87" t="e">
        <f ca="1">BarriarOptionPrice($T$9,$T$6,V42,($AE$67-$AE42)/(52*7),$T$7,$T$8,$AC$4:$AC$9)*$T$5</f>
        <v>#VALUE!</v>
      </c>
      <c r="AI42" s="87" t="e">
        <f ca="1">BarriarOptionPrice($T$9,$T$6,W42,($AE$67-$AE42)/(52*7),$T$7,$T$8,$AC$4:$AC$9)*$T$5</f>
        <v>#VALUE!</v>
      </c>
      <c r="AJ42" s="87" t="e">
        <f ca="1">BarriarOptionPrice($T$9,$T$6,X42,($AE$67-$AE42)/(52*7),$T$7,$T$8,$AC$4:$AC$9)*$T$5</f>
        <v>#VALUE!</v>
      </c>
      <c r="AK42" s="87" t="e">
        <f ca="1">BarriarOptionPrice($T$9,$T$6,Y42,($AE$67-$AE42)/(52*7),$T$7,$T$8,$AC$4:$AC$9)*$T$5</f>
        <v>#VALUE!</v>
      </c>
      <c r="AL42" s="87" t="e">
        <f ca="1">BarriarOptionPrice($T$9,$T$6,Z42,($AE$67-$AE42)/(52*7),$T$7,$T$8,$AC$4:$AC$9)*$T$5</f>
        <v>#VALUE!</v>
      </c>
      <c r="AM42" s="87" t="e">
        <f ca="1">BarriarOptionPrice($T$9,$T$6,AA42,($AE$67-$AE42)/(52*7),$T$7,$T$8,$AC$4:$AC$9)*$T$5</f>
        <v>#VALUE!</v>
      </c>
      <c r="AN42" s="87" t="e">
        <f ca="1">BarriarOptionPrice($T$9,$T$6,AB42,($AE$67-$AE42)/(52*7),$T$7,$T$8,$AC$4:$AC$9)*$T$5</f>
        <v>#VALUE!</v>
      </c>
      <c r="AO42" s="44" t="e">
        <f ca="1">BarriarOptionPrice($T$9,$T$6,AC42,($AE$67-$AE42)/(52*7),$T$7,$T$8,$AC$4:$AC$9)*$T$5</f>
        <v>#VALUE!</v>
      </c>
      <c r="AQ42" s="57">
        <f t="shared" si="6"/>
        <v>189</v>
      </c>
      <c r="AR42" s="87" t="e">
        <f ca="1">BarriarOptionPrice($U$9,$U$6,T42,($AQ$67-$AQ42)/(52*7),$U$7,$U$8,$AC$4:$AC$9)*$U$5</f>
        <v>#VALUE!</v>
      </c>
      <c r="AS42" s="87" t="e">
        <f ca="1">BarriarOptionPrice($U$9,$U$6,U42,($AQ$67-$AQ42)/(52*7),$U$7,$U$8,$AC$4:$AC$9)*$U$5</f>
        <v>#VALUE!</v>
      </c>
      <c r="AT42" s="87" t="e">
        <f ca="1">BarriarOptionPrice($U$9,$U$6,V42,($AQ$67-$AQ42)/(52*7),$U$7,$U$8,$AC$4:$AC$9)*$U$5</f>
        <v>#VALUE!</v>
      </c>
      <c r="AU42" s="87" t="e">
        <f ca="1">BarriarOptionPrice($U$9,$U$6,W42,($AQ$67-$AQ42)/(52*7),$U$7,$U$8,$AC$4:$AC$9)*$U$5</f>
        <v>#VALUE!</v>
      </c>
      <c r="AV42" s="87" t="e">
        <f ca="1">BarriarOptionPrice($U$9,$U$6,X42,($AQ$67-$AQ42)/(52*7),$U$7,$U$8,$AC$4:$AC$9)*$U$5</f>
        <v>#VALUE!</v>
      </c>
      <c r="AW42" s="87" t="e">
        <f ca="1">BarriarOptionPrice($U$9,$U$6,Y42,($AQ$67-$AQ42)/(52*7),$U$7,$U$8,$AC$4:$AC$9)*$U$5</f>
        <v>#VALUE!</v>
      </c>
      <c r="AX42" s="87" t="e">
        <f ca="1">BarriarOptionPrice($U$9,$U$6,Z42,($AQ$67-$AQ42)/(52*7),$U$7,$U$8,$AC$4:$AC$9)*$U$5</f>
        <v>#VALUE!</v>
      </c>
      <c r="AY42" s="87" t="e">
        <f ca="1">BarriarOptionPrice($U$9,$U$6,AA42,($AQ$67-$AQ42)/(52*7),$U$7,$U$8,$AC$4:$AC$9)*$U$5</f>
        <v>#VALUE!</v>
      </c>
      <c r="AZ42" s="87" t="e">
        <f ca="1">BarriarOptionPrice($U$9,$U$6,AB42,($AQ$67-$AQ42)/(52*7),$U$7,$U$8,$AC$4:$AC$9)*$U$5</f>
        <v>#VALUE!</v>
      </c>
      <c r="BA42" s="44" t="e">
        <f ca="1">BarriarOptionPrice($U$9,$U$6,AC42,($AQ$67-$AQ42)/(52*7),$U$7,$U$8,$AC$4:$AC$9)*$U$5</f>
        <v>#VALUE!</v>
      </c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</row>
    <row r="43" spans="2:77" x14ac:dyDescent="0.15">
      <c r="B43" s="16">
        <v>40116</v>
      </c>
      <c r="C43" s="29">
        <f t="array" ref="C43">SUMPRODUCT('ファンドデータ(変更不要)'!K43:P43,TRANSPOSE(戦略の決定!$D$13:$D$18))</f>
        <v>-6.3570304700066877E-3</v>
      </c>
      <c r="D43" s="29">
        <f t="array" ref="D43">SUMPRODUCT('ファンドデータ(変更不要)'!K43:P43,TRANSPOSE(戦略の決定!$E$13:$E$18))</f>
        <v>-5.4989976876708927E-3</v>
      </c>
      <c r="E43" s="29">
        <f t="array" ref="E43">SUMPRODUCT('ファンドデータ(変更不要)'!K43:P43,TRANSPOSE(戦略の決定!$F$13:$F$18))</f>
        <v>-5.4989976876708927E-3</v>
      </c>
      <c r="F43" s="183">
        <f t="shared" si="7"/>
        <v>1.1269685537094205</v>
      </c>
      <c r="G43" s="183">
        <f t="shared" si="8"/>
        <v>1.1534461429306493</v>
      </c>
      <c r="H43" s="75">
        <f t="shared" si="9"/>
        <v>1.1534461429306493</v>
      </c>
      <c r="J43" s="46">
        <f t="shared" si="3"/>
        <v>43714</v>
      </c>
      <c r="K43" s="87">
        <f ca="1">IF(K42=0,0,BarriarOptionPrice(K$9,K$6,戦略の決定!$F$51*OFFSET($F$3,MATCH($J43,$B$4:$B$656,0),0)/OFFSET($F$3,MATCH($J$12,$B$4:$B$656,0),0),($J$64-$J43)/(52*7),K$7,K$8,戦略の決定!$D$13:$D$18)*K$5)</f>
        <v>0</v>
      </c>
      <c r="L43" s="87">
        <f ca="1">IF(L42=0,0,BarriarOptionPrice(L$9,L$6,戦略の決定!$F$51*OFFSET($F$3,MATCH($J43,$B$4:$B$656,0),0)/OFFSET($F$3,MATCH($J$12,$B$4:$B$656,0),0),($J$64-$J43)/(52*7),L$7,L$8,戦略の決定!$D$13:$D$18)*L$5)</f>
        <v>0</v>
      </c>
      <c r="M43" s="87">
        <f ca="1">IF(M42=0,0,BarriarOptionPrice(M$9,M$6,戦略の決定!$F$52*OFFSET($G$3,MATCH($J43,$B$4:$B$656,0),0)/OFFSET($G$3,MATCH($J$12,$B$4:$B$656,0),0),($J$64-$J43)/(52*7),M$7,M$8,戦略の決定!$E$13:$E$18)*M$5)</f>
        <v>35.704384493607449</v>
      </c>
      <c r="N43" s="87">
        <f ca="1">IF(N42=0,0,BarriarOptionPrice(N$9,N$6,戦略の決定!$F$52*OFFSET($G$3,MATCH($J43,$B$4:$B$656,0),0)/OFFSET($G$3,MATCH($J$12,$B$4:$B$656,0),0),($J$64-$J43)/(52*7),N$7,N$8,戦略の決定!$E$13:$E$18)*N$5)</f>
        <v>0</v>
      </c>
      <c r="O43" s="87">
        <f ca="1">IF(O42=0,0,BarriarOptionPrice(O$9,O$6,戦略の決定!$F$53*OFFSET($H$3,MATCH($J43,$B$4:$B$656,0),0)/OFFSET($H$3,MATCH($J$12,$B$4:$B$656,0),0),($J$64-$J43)/(52*7),O$7,O$8,戦略の決定!$F$13:$F$18)*O$5)</f>
        <v>0</v>
      </c>
      <c r="P43" s="44">
        <f ca="1">IF(P42=0,0,BarriarOptionPrice(P$9,P$6,戦略の決定!$F$53*OFFSET($H$3,MATCH($J43,$B$4:$B$656,0),0)/OFFSET($H$3,MATCH($J$12,$B$4:$B$656,0),0),($J$64-$J43)/(52*7),P$7,P$8,戦略の決定!$F$13:$F$18)*P$5)</f>
        <v>0</v>
      </c>
      <c r="S43" s="57">
        <f t="shared" si="4"/>
        <v>196</v>
      </c>
      <c r="T43" s="87" t="e">
        <f ca="1">戦略の決定!$R$10*OFFSET($E$3,MATCH(T$11+$S43,$B$4:$B$656,0),$Z$3)/OFFSET($E$3,MATCH(T$11,$B$4:$B$656,0),$Z$3)</f>
        <v>#VALUE!</v>
      </c>
      <c r="U43" s="87" t="e">
        <f ca="1">戦略の決定!$R$10*OFFSET($E$3,MATCH(U$11+$S43,$B$4:$B$656,0),$Z$3)/OFFSET($E$3,MATCH(U$11,$B$4:$B$656,0),$Z$3)</f>
        <v>#VALUE!</v>
      </c>
      <c r="V43" s="87" t="e">
        <f ca="1">戦略の決定!$R$10*OFFSET($E$3,MATCH(V$11+$S43,$B$4:$B$656,0),$Z$3)/OFFSET($E$3,MATCH(V$11,$B$4:$B$656,0),$Z$3)</f>
        <v>#VALUE!</v>
      </c>
      <c r="W43" s="87" t="e">
        <f ca="1">戦略の決定!$R$10*OFFSET($E$3,MATCH(W$11+$S43,$B$4:$B$656,0),$Z$3)/OFFSET($E$3,MATCH(W$11,$B$4:$B$656,0),$Z$3)</f>
        <v>#VALUE!</v>
      </c>
      <c r="X43" s="87" t="e">
        <f ca="1">戦略の決定!$R$10*OFFSET($E$3,MATCH(X$11+$S43,$B$4:$B$656,0),$Z$3)/OFFSET($E$3,MATCH(X$11,$B$4:$B$656,0),$Z$3)</f>
        <v>#VALUE!</v>
      </c>
      <c r="Y43" s="87" t="e">
        <f ca="1">戦略の決定!$R$10*OFFSET($E$3,MATCH(Y$11+$S43,$B$4:$B$656,0),$Z$3)/OFFSET($E$3,MATCH(Y$11,$B$4:$B$656,0),$Z$3)</f>
        <v>#VALUE!</v>
      </c>
      <c r="Z43" s="87" t="e">
        <f ca="1">戦略の決定!$R$10*OFFSET($E$3,MATCH(Z$11+$S43,$B$4:$B$656,0),$Z$3)/OFFSET($E$3,MATCH(Z$11,$B$4:$B$656,0),$Z$3)</f>
        <v>#VALUE!</v>
      </c>
      <c r="AA43" s="87" t="e">
        <f ca="1">戦略の決定!$R$10*OFFSET($E$3,MATCH(AA$11+$S43,$B$4:$B$656,0),$Z$3)/OFFSET($E$3,MATCH(AA$11,$B$4:$B$656,0),$Z$3)</f>
        <v>#VALUE!</v>
      </c>
      <c r="AB43" s="87" t="e">
        <f ca="1">戦略の決定!$R$10*OFFSET($E$3,MATCH(AB$11+$S43,$B$4:$B$656,0),$Z$3)/OFFSET($E$3,MATCH(AB$11,$B$4:$B$656,0),$Z$3)</f>
        <v>#VALUE!</v>
      </c>
      <c r="AC43" s="44" t="e">
        <f ca="1">戦略の決定!$R$10*OFFSET($E$3,MATCH(AC$11+$S43,$B$4:$B$656,0),$Z$3)/OFFSET($E$3,MATCH(AC$11,$B$4:$B$656,0),$Z$3)</f>
        <v>#VALUE!</v>
      </c>
      <c r="AE43" s="57">
        <f t="shared" si="5"/>
        <v>196</v>
      </c>
      <c r="AF43" s="87" t="e">
        <f ca="1">BarriarOptionPrice($T$9,$T$6,T43,($AE$67-$AE43)/(52*7),$T$7,$T$8,$AC$4:$AC$9)*$T$5</f>
        <v>#VALUE!</v>
      </c>
      <c r="AG43" s="87" t="e">
        <f ca="1">BarriarOptionPrice($T$9,$T$6,U43,($AE$67-$AE43)/(52*7),$T$7,$T$8,$AC$4:$AC$9)*$T$5</f>
        <v>#VALUE!</v>
      </c>
      <c r="AH43" s="87" t="e">
        <f ca="1">BarriarOptionPrice($T$9,$T$6,V43,($AE$67-$AE43)/(52*7),$T$7,$T$8,$AC$4:$AC$9)*$T$5</f>
        <v>#VALUE!</v>
      </c>
      <c r="AI43" s="87" t="e">
        <f ca="1">BarriarOptionPrice($T$9,$T$6,W43,($AE$67-$AE43)/(52*7),$T$7,$T$8,$AC$4:$AC$9)*$T$5</f>
        <v>#VALUE!</v>
      </c>
      <c r="AJ43" s="87" t="e">
        <f ca="1">BarriarOptionPrice($T$9,$T$6,X43,($AE$67-$AE43)/(52*7),$T$7,$T$8,$AC$4:$AC$9)*$T$5</f>
        <v>#VALUE!</v>
      </c>
      <c r="AK43" s="87" t="e">
        <f ca="1">BarriarOptionPrice($T$9,$T$6,Y43,($AE$67-$AE43)/(52*7),$T$7,$T$8,$AC$4:$AC$9)*$T$5</f>
        <v>#VALUE!</v>
      </c>
      <c r="AL43" s="87" t="e">
        <f ca="1">BarriarOptionPrice($T$9,$T$6,Z43,($AE$67-$AE43)/(52*7),$T$7,$T$8,$AC$4:$AC$9)*$T$5</f>
        <v>#VALUE!</v>
      </c>
      <c r="AM43" s="87" t="e">
        <f ca="1">BarriarOptionPrice($T$9,$T$6,AA43,($AE$67-$AE43)/(52*7),$T$7,$T$8,$AC$4:$AC$9)*$T$5</f>
        <v>#VALUE!</v>
      </c>
      <c r="AN43" s="87" t="e">
        <f ca="1">BarriarOptionPrice($T$9,$T$6,AB43,($AE$67-$AE43)/(52*7),$T$7,$T$8,$AC$4:$AC$9)*$T$5</f>
        <v>#VALUE!</v>
      </c>
      <c r="AO43" s="44" t="e">
        <f ca="1">BarriarOptionPrice($T$9,$T$6,AC43,($AE$67-$AE43)/(52*7),$T$7,$T$8,$AC$4:$AC$9)*$T$5</f>
        <v>#VALUE!</v>
      </c>
      <c r="AQ43" s="57">
        <f t="shared" si="6"/>
        <v>196</v>
      </c>
      <c r="AR43" s="87" t="e">
        <f ca="1">BarriarOptionPrice($U$9,$U$6,T43,($AQ$67-$AQ43)/(52*7),$U$7,$U$8,$AC$4:$AC$9)*$U$5</f>
        <v>#VALUE!</v>
      </c>
      <c r="AS43" s="87" t="e">
        <f ca="1">BarriarOptionPrice($U$9,$U$6,U43,($AQ$67-$AQ43)/(52*7),$U$7,$U$8,$AC$4:$AC$9)*$U$5</f>
        <v>#VALUE!</v>
      </c>
      <c r="AT43" s="87" t="e">
        <f ca="1">BarriarOptionPrice($U$9,$U$6,V43,($AQ$67-$AQ43)/(52*7),$U$7,$U$8,$AC$4:$AC$9)*$U$5</f>
        <v>#VALUE!</v>
      </c>
      <c r="AU43" s="87" t="e">
        <f ca="1">BarriarOptionPrice($U$9,$U$6,W43,($AQ$67-$AQ43)/(52*7),$U$7,$U$8,$AC$4:$AC$9)*$U$5</f>
        <v>#VALUE!</v>
      </c>
      <c r="AV43" s="87" t="e">
        <f ca="1">BarriarOptionPrice($U$9,$U$6,X43,($AQ$67-$AQ43)/(52*7),$U$7,$U$8,$AC$4:$AC$9)*$U$5</f>
        <v>#VALUE!</v>
      </c>
      <c r="AW43" s="87" t="e">
        <f ca="1">BarriarOptionPrice($U$9,$U$6,Y43,($AQ$67-$AQ43)/(52*7),$U$7,$U$8,$AC$4:$AC$9)*$U$5</f>
        <v>#VALUE!</v>
      </c>
      <c r="AX43" s="87" t="e">
        <f ca="1">BarriarOptionPrice($U$9,$U$6,Z43,($AQ$67-$AQ43)/(52*7),$U$7,$U$8,$AC$4:$AC$9)*$U$5</f>
        <v>#VALUE!</v>
      </c>
      <c r="AY43" s="87" t="e">
        <f ca="1">BarriarOptionPrice($U$9,$U$6,AA43,($AQ$67-$AQ43)/(52*7),$U$7,$U$8,$AC$4:$AC$9)*$U$5</f>
        <v>#VALUE!</v>
      </c>
      <c r="AZ43" s="87" t="e">
        <f ca="1">BarriarOptionPrice($U$9,$U$6,AB43,($AQ$67-$AQ43)/(52*7),$U$7,$U$8,$AC$4:$AC$9)*$U$5</f>
        <v>#VALUE!</v>
      </c>
      <c r="BA43" s="44" t="e">
        <f ca="1">BarriarOptionPrice($U$9,$U$6,AC43,($AQ$67-$AQ43)/(52*7),$U$7,$U$8,$AC$4:$AC$9)*$U$5</f>
        <v>#VALUE!</v>
      </c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</row>
    <row r="44" spans="2:77" x14ac:dyDescent="0.15">
      <c r="B44" s="16">
        <v>40123</v>
      </c>
      <c r="C44" s="29">
        <f t="array" ref="C44">SUMPRODUCT('ファンドデータ(変更不要)'!K44:P44,TRANSPOSE(戦略の決定!$D$13:$D$18))</f>
        <v>-9.7119133995134058E-3</v>
      </c>
      <c r="D44" s="29">
        <f t="array" ref="D44">SUMPRODUCT('ファンドデータ(変更不要)'!K44:P44,TRANSPOSE(戦略の決定!$E$13:$E$18))</f>
        <v>-1.0991475131940247E-2</v>
      </c>
      <c r="E44" s="29">
        <f t="array" ref="E44">SUMPRODUCT('ファンドデータ(変更不要)'!K44:P44,TRANSPOSE(戦略の決定!$F$13:$F$18))</f>
        <v>-1.0991475131940247E-2</v>
      </c>
      <c r="F44" s="183">
        <f t="shared" si="7"/>
        <v>1.1160235327118198</v>
      </c>
      <c r="G44" s="183">
        <f t="shared" si="8"/>
        <v>1.1407680683345947</v>
      </c>
      <c r="H44" s="75">
        <f t="shared" si="9"/>
        <v>1.1407680683345947</v>
      </c>
      <c r="J44" s="46">
        <f t="shared" si="3"/>
        <v>43721</v>
      </c>
      <c r="K44" s="87">
        <f ca="1">IF(K43=0,0,BarriarOptionPrice(K$9,K$6,戦略の決定!$F$51*OFFSET($F$3,MATCH($J44,$B$4:$B$656,0),0)/OFFSET($F$3,MATCH($J$12,$B$4:$B$656,0),0),($J$64-$J44)/(52*7),K$7,K$8,戦略の決定!$D$13:$D$18)*K$5)</f>
        <v>0</v>
      </c>
      <c r="L44" s="87">
        <f ca="1">IF(L43=0,0,BarriarOptionPrice(L$9,L$6,戦略の決定!$F$51*OFFSET($F$3,MATCH($J44,$B$4:$B$656,0),0)/OFFSET($F$3,MATCH($J$12,$B$4:$B$656,0),0),($J$64-$J44)/(52*7),L$7,L$8,戦略の決定!$D$13:$D$18)*L$5)</f>
        <v>0</v>
      </c>
      <c r="M44" s="87">
        <f ca="1">IF(M43=0,0,BarriarOptionPrice(M$9,M$6,戦略の決定!$F$52*OFFSET($G$3,MATCH($J44,$B$4:$B$656,0),0)/OFFSET($G$3,MATCH($J$12,$B$4:$B$656,0),0),($J$64-$J44)/(52*7),M$7,M$8,戦略の決定!$E$13:$E$18)*M$5)</f>
        <v>32.877161875313917</v>
      </c>
      <c r="N44" s="87">
        <f ca="1">IF(N43=0,0,BarriarOptionPrice(N$9,N$6,戦略の決定!$F$52*OFFSET($G$3,MATCH($J44,$B$4:$B$656,0),0)/OFFSET($G$3,MATCH($J$12,$B$4:$B$656,0),0),($J$64-$J44)/(52*7),N$7,N$8,戦略の決定!$E$13:$E$18)*N$5)</f>
        <v>0</v>
      </c>
      <c r="O44" s="87">
        <f ca="1">IF(O43=0,0,BarriarOptionPrice(O$9,O$6,戦略の決定!$F$53*OFFSET($H$3,MATCH($J44,$B$4:$B$656,0),0)/OFFSET($H$3,MATCH($J$12,$B$4:$B$656,0),0),($J$64-$J44)/(52*7),O$7,O$8,戦略の決定!$F$13:$F$18)*O$5)</f>
        <v>0</v>
      </c>
      <c r="P44" s="44">
        <f ca="1">IF(P43=0,0,BarriarOptionPrice(P$9,P$6,戦略の決定!$F$53*OFFSET($H$3,MATCH($J44,$B$4:$B$656,0),0)/OFFSET($H$3,MATCH($J$12,$B$4:$B$656,0),0),($J$64-$J44)/(52*7),P$7,P$8,戦略の決定!$F$13:$F$18)*P$5)</f>
        <v>0</v>
      </c>
      <c r="S44" s="57">
        <f t="shared" si="4"/>
        <v>203</v>
      </c>
      <c r="T44" s="87" t="e">
        <f ca="1">戦略の決定!$R$10*OFFSET($E$3,MATCH(T$11+$S44,$B$4:$B$656,0),$Z$3)/OFFSET($E$3,MATCH(T$11,$B$4:$B$656,0),$Z$3)</f>
        <v>#VALUE!</v>
      </c>
      <c r="U44" s="87" t="e">
        <f ca="1">戦略の決定!$R$10*OFFSET($E$3,MATCH(U$11+$S44,$B$4:$B$656,0),$Z$3)/OFFSET($E$3,MATCH(U$11,$B$4:$B$656,0),$Z$3)</f>
        <v>#VALUE!</v>
      </c>
      <c r="V44" s="87" t="e">
        <f ca="1">戦略の決定!$R$10*OFFSET($E$3,MATCH(V$11+$S44,$B$4:$B$656,0),$Z$3)/OFFSET($E$3,MATCH(V$11,$B$4:$B$656,0),$Z$3)</f>
        <v>#VALUE!</v>
      </c>
      <c r="W44" s="87" t="e">
        <f ca="1">戦略の決定!$R$10*OFFSET($E$3,MATCH(W$11+$S44,$B$4:$B$656,0),$Z$3)/OFFSET($E$3,MATCH(W$11,$B$4:$B$656,0),$Z$3)</f>
        <v>#VALUE!</v>
      </c>
      <c r="X44" s="87" t="e">
        <f ca="1">戦略の決定!$R$10*OFFSET($E$3,MATCH(X$11+$S44,$B$4:$B$656,0),$Z$3)/OFFSET($E$3,MATCH(X$11,$B$4:$B$656,0),$Z$3)</f>
        <v>#VALUE!</v>
      </c>
      <c r="Y44" s="87" t="e">
        <f ca="1">戦略の決定!$R$10*OFFSET($E$3,MATCH(Y$11+$S44,$B$4:$B$656,0),$Z$3)/OFFSET($E$3,MATCH(Y$11,$B$4:$B$656,0),$Z$3)</f>
        <v>#VALUE!</v>
      </c>
      <c r="Z44" s="87" t="e">
        <f ca="1">戦略の決定!$R$10*OFFSET($E$3,MATCH(Z$11+$S44,$B$4:$B$656,0),$Z$3)/OFFSET($E$3,MATCH(Z$11,$B$4:$B$656,0),$Z$3)</f>
        <v>#VALUE!</v>
      </c>
      <c r="AA44" s="87" t="e">
        <f ca="1">戦略の決定!$R$10*OFFSET($E$3,MATCH(AA$11+$S44,$B$4:$B$656,0),$Z$3)/OFFSET($E$3,MATCH(AA$11,$B$4:$B$656,0),$Z$3)</f>
        <v>#VALUE!</v>
      </c>
      <c r="AB44" s="87" t="e">
        <f ca="1">戦略の決定!$R$10*OFFSET($E$3,MATCH(AB$11+$S44,$B$4:$B$656,0),$Z$3)/OFFSET($E$3,MATCH(AB$11,$B$4:$B$656,0),$Z$3)</f>
        <v>#VALUE!</v>
      </c>
      <c r="AC44" s="44" t="e">
        <f ca="1">戦略の決定!$R$10*OFFSET($E$3,MATCH(AC$11+$S44,$B$4:$B$656,0),$Z$3)/OFFSET($E$3,MATCH(AC$11,$B$4:$B$656,0),$Z$3)</f>
        <v>#VALUE!</v>
      </c>
      <c r="AE44" s="57">
        <f t="shared" si="5"/>
        <v>203</v>
      </c>
      <c r="AF44" s="87" t="e">
        <f ca="1">BarriarOptionPrice($T$9,$T$6,T44,($AE$67-$AE44)/(52*7),$T$7,$T$8,$AC$4:$AC$9)*$T$5</f>
        <v>#VALUE!</v>
      </c>
      <c r="AG44" s="87" t="e">
        <f ca="1">BarriarOptionPrice($T$9,$T$6,U44,($AE$67-$AE44)/(52*7),$T$7,$T$8,$AC$4:$AC$9)*$T$5</f>
        <v>#VALUE!</v>
      </c>
      <c r="AH44" s="87" t="e">
        <f ca="1">BarriarOptionPrice($T$9,$T$6,V44,($AE$67-$AE44)/(52*7),$T$7,$T$8,$AC$4:$AC$9)*$T$5</f>
        <v>#VALUE!</v>
      </c>
      <c r="AI44" s="87" t="e">
        <f ca="1">BarriarOptionPrice($T$9,$T$6,W44,($AE$67-$AE44)/(52*7),$T$7,$T$8,$AC$4:$AC$9)*$T$5</f>
        <v>#VALUE!</v>
      </c>
      <c r="AJ44" s="87" t="e">
        <f ca="1">BarriarOptionPrice($T$9,$T$6,X44,($AE$67-$AE44)/(52*7),$T$7,$T$8,$AC$4:$AC$9)*$T$5</f>
        <v>#VALUE!</v>
      </c>
      <c r="AK44" s="87" t="e">
        <f ca="1">BarriarOptionPrice($T$9,$T$6,Y44,($AE$67-$AE44)/(52*7),$T$7,$T$8,$AC$4:$AC$9)*$T$5</f>
        <v>#VALUE!</v>
      </c>
      <c r="AL44" s="87" t="e">
        <f ca="1">BarriarOptionPrice($T$9,$T$6,Z44,($AE$67-$AE44)/(52*7),$T$7,$T$8,$AC$4:$AC$9)*$T$5</f>
        <v>#VALUE!</v>
      </c>
      <c r="AM44" s="87" t="e">
        <f ca="1">BarriarOptionPrice($T$9,$T$6,AA44,($AE$67-$AE44)/(52*7),$T$7,$T$8,$AC$4:$AC$9)*$T$5</f>
        <v>#VALUE!</v>
      </c>
      <c r="AN44" s="87" t="e">
        <f ca="1">BarriarOptionPrice($T$9,$T$6,AB44,($AE$67-$AE44)/(52*7),$T$7,$T$8,$AC$4:$AC$9)*$T$5</f>
        <v>#VALUE!</v>
      </c>
      <c r="AO44" s="44" t="e">
        <f ca="1">BarriarOptionPrice($T$9,$T$6,AC44,($AE$67-$AE44)/(52*7),$T$7,$T$8,$AC$4:$AC$9)*$T$5</f>
        <v>#VALUE!</v>
      </c>
      <c r="AQ44" s="57">
        <f t="shared" si="6"/>
        <v>203</v>
      </c>
      <c r="AR44" s="87" t="e">
        <f ca="1">BarriarOptionPrice($U$9,$U$6,T44,($AQ$67-$AQ44)/(52*7),$U$7,$U$8,$AC$4:$AC$9)*$U$5</f>
        <v>#VALUE!</v>
      </c>
      <c r="AS44" s="87" t="e">
        <f ca="1">BarriarOptionPrice($U$9,$U$6,U44,($AQ$67-$AQ44)/(52*7),$U$7,$U$8,$AC$4:$AC$9)*$U$5</f>
        <v>#VALUE!</v>
      </c>
      <c r="AT44" s="87" t="e">
        <f ca="1">BarriarOptionPrice($U$9,$U$6,V44,($AQ$67-$AQ44)/(52*7),$U$7,$U$8,$AC$4:$AC$9)*$U$5</f>
        <v>#VALUE!</v>
      </c>
      <c r="AU44" s="87" t="e">
        <f ca="1">BarriarOptionPrice($U$9,$U$6,W44,($AQ$67-$AQ44)/(52*7),$U$7,$U$8,$AC$4:$AC$9)*$U$5</f>
        <v>#VALUE!</v>
      </c>
      <c r="AV44" s="87" t="e">
        <f ca="1">BarriarOptionPrice($U$9,$U$6,X44,($AQ$67-$AQ44)/(52*7),$U$7,$U$8,$AC$4:$AC$9)*$U$5</f>
        <v>#VALUE!</v>
      </c>
      <c r="AW44" s="87" t="e">
        <f ca="1">BarriarOptionPrice($U$9,$U$6,Y44,($AQ$67-$AQ44)/(52*7),$U$7,$U$8,$AC$4:$AC$9)*$U$5</f>
        <v>#VALUE!</v>
      </c>
      <c r="AX44" s="87" t="e">
        <f ca="1">BarriarOptionPrice($U$9,$U$6,Z44,($AQ$67-$AQ44)/(52*7),$U$7,$U$8,$AC$4:$AC$9)*$U$5</f>
        <v>#VALUE!</v>
      </c>
      <c r="AY44" s="87" t="e">
        <f ca="1">BarriarOptionPrice($U$9,$U$6,AA44,($AQ$67-$AQ44)/(52*7),$U$7,$U$8,$AC$4:$AC$9)*$U$5</f>
        <v>#VALUE!</v>
      </c>
      <c r="AZ44" s="87" t="e">
        <f ca="1">BarriarOptionPrice($U$9,$U$6,AB44,($AQ$67-$AQ44)/(52*7),$U$7,$U$8,$AC$4:$AC$9)*$U$5</f>
        <v>#VALUE!</v>
      </c>
      <c r="BA44" s="44" t="e">
        <f ca="1">BarriarOptionPrice($U$9,$U$6,AC44,($AQ$67-$AQ44)/(52*7),$U$7,$U$8,$AC$4:$AC$9)*$U$5</f>
        <v>#VALUE!</v>
      </c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</row>
    <row r="45" spans="2:77" x14ac:dyDescent="0.15">
      <c r="B45" s="16">
        <v>40130</v>
      </c>
      <c r="C45" s="29">
        <f t="array" ref="C45">SUMPRODUCT('ファンドデータ(変更不要)'!K45:P45,TRANSPOSE(戦略の決定!$D$13:$D$18))</f>
        <v>-1.5020182805124591E-3</v>
      </c>
      <c r="D45" s="29">
        <f t="array" ref="D45">SUMPRODUCT('ファンドデータ(変更不要)'!K45:P45,TRANSPOSE(戦略の決定!$E$13:$E$18))</f>
        <v>-4.2808264031410394E-3</v>
      </c>
      <c r="E45" s="29">
        <f t="array" ref="E45">SUMPRODUCT('ファンドデータ(変更不要)'!K45:P45,TRANSPOSE(戦略の決定!$F$13:$F$18))</f>
        <v>-4.2808264031410394E-3</v>
      </c>
      <c r="F45" s="183">
        <f t="shared" si="7"/>
        <v>1.1143472449642045</v>
      </c>
      <c r="G45" s="183">
        <f t="shared" si="8"/>
        <v>1.1358846382678076</v>
      </c>
      <c r="H45" s="75">
        <f t="shared" si="9"/>
        <v>1.1358846382678076</v>
      </c>
      <c r="J45" s="46">
        <f t="shared" ref="J45:J64" si="10">J44+7</f>
        <v>43728</v>
      </c>
      <c r="K45" s="87">
        <f ca="1">IF(K44=0,0,BarriarOptionPrice(K$9,K$6,戦略の決定!$F$51*OFFSET($F$3,MATCH($J45,$B$4:$B$656,0),0)/OFFSET($F$3,MATCH($J$12,$B$4:$B$656,0),0),($J$64-$J45)/(52*7),K$7,K$8,戦略の決定!$D$13:$D$18)*K$5)</f>
        <v>0</v>
      </c>
      <c r="L45" s="87">
        <f ca="1">IF(L44=0,0,BarriarOptionPrice(L$9,L$6,戦略の決定!$F$51*OFFSET($F$3,MATCH($J45,$B$4:$B$656,0),0)/OFFSET($F$3,MATCH($J$12,$B$4:$B$656,0),0),($J$64-$J45)/(52*7),L$7,L$8,戦略の決定!$D$13:$D$18)*L$5)</f>
        <v>0</v>
      </c>
      <c r="M45" s="87">
        <f ca="1">IF(M44=0,0,BarriarOptionPrice(M$9,M$6,戦略の決定!$F$52*OFFSET($G$3,MATCH($J45,$B$4:$B$656,0),0)/OFFSET($G$3,MATCH($J$12,$B$4:$B$656,0),0),($J$64-$J45)/(52*7),M$7,M$8,戦略の決定!$E$13:$E$18)*M$5)</f>
        <v>31.287015497260501</v>
      </c>
      <c r="N45" s="87">
        <f ca="1">IF(N44=0,0,BarriarOptionPrice(N$9,N$6,戦略の決定!$F$52*OFFSET($G$3,MATCH($J45,$B$4:$B$656,0),0)/OFFSET($G$3,MATCH($J$12,$B$4:$B$656,0),0),($J$64-$J45)/(52*7),N$7,N$8,戦略の決定!$E$13:$E$18)*N$5)</f>
        <v>0</v>
      </c>
      <c r="O45" s="87">
        <f ca="1">IF(O44=0,0,BarriarOptionPrice(O$9,O$6,戦略の決定!$F$53*OFFSET($H$3,MATCH($J45,$B$4:$B$656,0),0)/OFFSET($H$3,MATCH($J$12,$B$4:$B$656,0),0),($J$64-$J45)/(52*7),O$7,O$8,戦略の決定!$F$13:$F$18)*O$5)</f>
        <v>0</v>
      </c>
      <c r="P45" s="44">
        <f ca="1">IF(P44=0,0,BarriarOptionPrice(P$9,P$6,戦略の決定!$F$53*OFFSET($H$3,MATCH($J45,$B$4:$B$656,0),0)/OFFSET($H$3,MATCH($J$12,$B$4:$B$656,0),0),($J$64-$J45)/(52*7),P$7,P$8,戦略の決定!$F$13:$F$18)*P$5)</f>
        <v>0</v>
      </c>
      <c r="S45" s="57">
        <f t="shared" si="4"/>
        <v>210</v>
      </c>
      <c r="T45" s="87" t="e">
        <f ca="1">戦略の決定!$R$10*OFFSET($E$3,MATCH(T$11+$S45,$B$4:$B$656,0),$Z$3)/OFFSET($E$3,MATCH(T$11,$B$4:$B$656,0),$Z$3)</f>
        <v>#VALUE!</v>
      </c>
      <c r="U45" s="87" t="e">
        <f ca="1">戦略の決定!$R$10*OFFSET($E$3,MATCH(U$11+$S45,$B$4:$B$656,0),$Z$3)/OFFSET($E$3,MATCH(U$11,$B$4:$B$656,0),$Z$3)</f>
        <v>#VALUE!</v>
      </c>
      <c r="V45" s="87" t="e">
        <f ca="1">戦略の決定!$R$10*OFFSET($E$3,MATCH(V$11+$S45,$B$4:$B$656,0),$Z$3)/OFFSET($E$3,MATCH(V$11,$B$4:$B$656,0),$Z$3)</f>
        <v>#VALUE!</v>
      </c>
      <c r="W45" s="87" t="e">
        <f ca="1">戦略の決定!$R$10*OFFSET($E$3,MATCH(W$11+$S45,$B$4:$B$656,0),$Z$3)/OFFSET($E$3,MATCH(W$11,$B$4:$B$656,0),$Z$3)</f>
        <v>#VALUE!</v>
      </c>
      <c r="X45" s="87" t="e">
        <f ca="1">戦略の決定!$R$10*OFFSET($E$3,MATCH(X$11+$S45,$B$4:$B$656,0),$Z$3)/OFFSET($E$3,MATCH(X$11,$B$4:$B$656,0),$Z$3)</f>
        <v>#VALUE!</v>
      </c>
      <c r="Y45" s="87" t="e">
        <f ca="1">戦略の決定!$R$10*OFFSET($E$3,MATCH(Y$11+$S45,$B$4:$B$656,0),$Z$3)/OFFSET($E$3,MATCH(Y$11,$B$4:$B$656,0),$Z$3)</f>
        <v>#VALUE!</v>
      </c>
      <c r="Z45" s="87" t="e">
        <f ca="1">戦略の決定!$R$10*OFFSET($E$3,MATCH(Z$11+$S45,$B$4:$B$656,0),$Z$3)/OFFSET($E$3,MATCH(Z$11,$B$4:$B$656,0),$Z$3)</f>
        <v>#VALUE!</v>
      </c>
      <c r="AA45" s="87" t="e">
        <f ca="1">戦略の決定!$R$10*OFFSET($E$3,MATCH(AA$11+$S45,$B$4:$B$656,0),$Z$3)/OFFSET($E$3,MATCH(AA$11,$B$4:$B$656,0),$Z$3)</f>
        <v>#VALUE!</v>
      </c>
      <c r="AB45" s="87" t="e">
        <f ca="1">戦略の決定!$R$10*OFFSET($E$3,MATCH(AB$11+$S45,$B$4:$B$656,0),$Z$3)/OFFSET($E$3,MATCH(AB$11,$B$4:$B$656,0),$Z$3)</f>
        <v>#VALUE!</v>
      </c>
      <c r="AC45" s="44" t="e">
        <f ca="1">戦略の決定!$R$10*OFFSET($E$3,MATCH(AC$11+$S45,$B$4:$B$656,0),$Z$3)/OFFSET($E$3,MATCH(AC$11,$B$4:$B$656,0),$Z$3)</f>
        <v>#VALUE!</v>
      </c>
      <c r="AE45" s="57">
        <f t="shared" si="5"/>
        <v>210</v>
      </c>
      <c r="AF45" s="87" t="e">
        <f ca="1">BarriarOptionPrice($T$9,$T$6,T45,($AE$67-$AE45)/(52*7),$T$7,$T$8,$AC$4:$AC$9)*$T$5</f>
        <v>#VALUE!</v>
      </c>
      <c r="AG45" s="87" t="e">
        <f ca="1">BarriarOptionPrice($T$9,$T$6,U45,($AE$67-$AE45)/(52*7),$T$7,$T$8,$AC$4:$AC$9)*$T$5</f>
        <v>#VALUE!</v>
      </c>
      <c r="AH45" s="87" t="e">
        <f ca="1">BarriarOptionPrice($T$9,$T$6,V45,($AE$67-$AE45)/(52*7),$T$7,$T$8,$AC$4:$AC$9)*$T$5</f>
        <v>#VALUE!</v>
      </c>
      <c r="AI45" s="87" t="e">
        <f ca="1">BarriarOptionPrice($T$9,$T$6,W45,($AE$67-$AE45)/(52*7),$T$7,$T$8,$AC$4:$AC$9)*$T$5</f>
        <v>#VALUE!</v>
      </c>
      <c r="AJ45" s="87" t="e">
        <f ca="1">BarriarOptionPrice($T$9,$T$6,X45,($AE$67-$AE45)/(52*7),$T$7,$T$8,$AC$4:$AC$9)*$T$5</f>
        <v>#VALUE!</v>
      </c>
      <c r="AK45" s="87" t="e">
        <f ca="1">BarriarOptionPrice($T$9,$T$6,Y45,($AE$67-$AE45)/(52*7),$T$7,$T$8,$AC$4:$AC$9)*$T$5</f>
        <v>#VALUE!</v>
      </c>
      <c r="AL45" s="87" t="e">
        <f ca="1">BarriarOptionPrice($T$9,$T$6,Z45,($AE$67-$AE45)/(52*7),$T$7,$T$8,$AC$4:$AC$9)*$T$5</f>
        <v>#VALUE!</v>
      </c>
      <c r="AM45" s="87" t="e">
        <f ca="1">BarriarOptionPrice($T$9,$T$6,AA45,($AE$67-$AE45)/(52*7),$T$7,$T$8,$AC$4:$AC$9)*$T$5</f>
        <v>#VALUE!</v>
      </c>
      <c r="AN45" s="87" t="e">
        <f ca="1">BarriarOptionPrice($T$9,$T$6,AB45,($AE$67-$AE45)/(52*7),$T$7,$T$8,$AC$4:$AC$9)*$T$5</f>
        <v>#VALUE!</v>
      </c>
      <c r="AO45" s="44" t="e">
        <f ca="1">BarriarOptionPrice($T$9,$T$6,AC45,($AE$67-$AE45)/(52*7),$T$7,$T$8,$AC$4:$AC$9)*$T$5</f>
        <v>#VALUE!</v>
      </c>
      <c r="AQ45" s="57">
        <f t="shared" si="6"/>
        <v>210</v>
      </c>
      <c r="AR45" s="87" t="e">
        <f ca="1">BarriarOptionPrice($U$9,$U$6,T45,($AQ$67-$AQ45)/(52*7),$U$7,$U$8,$AC$4:$AC$9)*$U$5</f>
        <v>#VALUE!</v>
      </c>
      <c r="AS45" s="87" t="e">
        <f ca="1">BarriarOptionPrice($U$9,$U$6,U45,($AQ$67-$AQ45)/(52*7),$U$7,$U$8,$AC$4:$AC$9)*$U$5</f>
        <v>#VALUE!</v>
      </c>
      <c r="AT45" s="87" t="e">
        <f ca="1">BarriarOptionPrice($U$9,$U$6,V45,($AQ$67-$AQ45)/(52*7),$U$7,$U$8,$AC$4:$AC$9)*$U$5</f>
        <v>#VALUE!</v>
      </c>
      <c r="AU45" s="87" t="e">
        <f ca="1">BarriarOptionPrice($U$9,$U$6,W45,($AQ$67-$AQ45)/(52*7),$U$7,$U$8,$AC$4:$AC$9)*$U$5</f>
        <v>#VALUE!</v>
      </c>
      <c r="AV45" s="87" t="e">
        <f ca="1">BarriarOptionPrice($U$9,$U$6,X45,($AQ$67-$AQ45)/(52*7),$U$7,$U$8,$AC$4:$AC$9)*$U$5</f>
        <v>#VALUE!</v>
      </c>
      <c r="AW45" s="87" t="e">
        <f ca="1">BarriarOptionPrice($U$9,$U$6,Y45,($AQ$67-$AQ45)/(52*7),$U$7,$U$8,$AC$4:$AC$9)*$U$5</f>
        <v>#VALUE!</v>
      </c>
      <c r="AX45" s="87" t="e">
        <f ca="1">BarriarOptionPrice($U$9,$U$6,Z45,($AQ$67-$AQ45)/(52*7),$U$7,$U$8,$AC$4:$AC$9)*$U$5</f>
        <v>#VALUE!</v>
      </c>
      <c r="AY45" s="87" t="e">
        <f ca="1">BarriarOptionPrice($U$9,$U$6,AA45,($AQ$67-$AQ45)/(52*7),$U$7,$U$8,$AC$4:$AC$9)*$U$5</f>
        <v>#VALUE!</v>
      </c>
      <c r="AZ45" s="87" t="e">
        <f ca="1">BarriarOptionPrice($U$9,$U$6,AB45,($AQ$67-$AQ45)/(52*7),$U$7,$U$8,$AC$4:$AC$9)*$U$5</f>
        <v>#VALUE!</v>
      </c>
      <c r="BA45" s="44" t="e">
        <f ca="1">BarriarOptionPrice($U$9,$U$6,AC45,($AQ$67-$AQ45)/(52*7),$U$7,$U$8,$AC$4:$AC$9)*$U$5</f>
        <v>#VALUE!</v>
      </c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</row>
    <row r="46" spans="2:77" x14ac:dyDescent="0.15">
      <c r="B46" s="16">
        <v>40137</v>
      </c>
      <c r="C46" s="29">
        <f t="array" ref="C46">SUMPRODUCT('ファンドデータ(変更不要)'!K46:P46,TRANSPOSE(戦略の決定!$D$13:$D$18))</f>
        <v>-1.5616486254221115E-2</v>
      </c>
      <c r="D46" s="29">
        <f t="array" ref="D46">SUMPRODUCT('ファンドデータ(変更不要)'!K46:P46,TRANSPOSE(戦略の決定!$E$13:$E$18))</f>
        <v>-2.3109103859586044E-2</v>
      </c>
      <c r="E46" s="29">
        <f t="array" ref="E46">SUMPRODUCT('ファンドデータ(変更不要)'!K46:P46,TRANSPOSE(戦略の決定!$F$13:$F$18))</f>
        <v>-2.3109103859586044E-2</v>
      </c>
      <c r="F46" s="183">
        <f t="shared" si="7"/>
        <v>1.0969450565307919</v>
      </c>
      <c r="G46" s="183">
        <f t="shared" si="8"/>
        <v>1.1096353621895685</v>
      </c>
      <c r="H46" s="75">
        <f t="shared" si="9"/>
        <v>1.1096353621895685</v>
      </c>
      <c r="J46" s="46">
        <f t="shared" si="10"/>
        <v>43735</v>
      </c>
      <c r="K46" s="87">
        <f ca="1">IF(K45=0,0,BarriarOptionPrice(K$9,K$6,戦略の決定!$F$51*OFFSET($F$3,MATCH($J46,$B$4:$B$656,0),0)/OFFSET($F$3,MATCH($J$12,$B$4:$B$656,0),0),($J$64-$J46)/(52*7),K$7,K$8,戦略の決定!$D$13:$D$18)*K$5)</f>
        <v>0</v>
      </c>
      <c r="L46" s="87">
        <f ca="1">IF(L45=0,0,BarriarOptionPrice(L$9,L$6,戦略の決定!$F$51*OFFSET($F$3,MATCH($J46,$B$4:$B$656,0),0)/OFFSET($F$3,MATCH($J$12,$B$4:$B$656,0),0),($J$64-$J46)/(52*7),L$7,L$8,戦略の決定!$D$13:$D$18)*L$5)</f>
        <v>0</v>
      </c>
      <c r="M46" s="87">
        <f ca="1">IF(M45=0,0,BarriarOptionPrice(M$9,M$6,戦略の決定!$F$52*OFFSET($G$3,MATCH($J46,$B$4:$B$656,0),0)/OFFSET($G$3,MATCH($J$12,$B$4:$B$656,0),0),($J$64-$J46)/(52*7),M$7,M$8,戦略の決定!$E$13:$E$18)*M$5)</f>
        <v>27.532434688857183</v>
      </c>
      <c r="N46" s="87">
        <f ca="1">IF(N45=0,0,BarriarOptionPrice(N$9,N$6,戦略の決定!$F$52*OFFSET($G$3,MATCH($J46,$B$4:$B$656,0),0)/OFFSET($G$3,MATCH($J$12,$B$4:$B$656,0),0),($J$64-$J46)/(52*7),N$7,N$8,戦略の決定!$E$13:$E$18)*N$5)</f>
        <v>0</v>
      </c>
      <c r="O46" s="87">
        <f ca="1">IF(O45=0,0,BarriarOptionPrice(O$9,O$6,戦略の決定!$F$53*OFFSET($H$3,MATCH($J46,$B$4:$B$656,0),0)/OFFSET($H$3,MATCH($J$12,$B$4:$B$656,0),0),($J$64-$J46)/(52*7),O$7,O$8,戦略の決定!$F$13:$F$18)*O$5)</f>
        <v>0</v>
      </c>
      <c r="P46" s="44">
        <f ca="1">IF(P45=0,0,BarriarOptionPrice(P$9,P$6,戦略の決定!$F$53*OFFSET($H$3,MATCH($J46,$B$4:$B$656,0),0)/OFFSET($H$3,MATCH($J$12,$B$4:$B$656,0),0),($J$64-$J46)/(52*7),P$7,P$8,戦略の決定!$F$13:$F$18)*P$5)</f>
        <v>0</v>
      </c>
      <c r="S46" s="57">
        <f t="shared" si="4"/>
        <v>217</v>
      </c>
      <c r="T46" s="87" t="e">
        <f ca="1">戦略の決定!$R$10*OFFSET($E$3,MATCH(T$11+$S46,$B$4:$B$656,0),$Z$3)/OFFSET($E$3,MATCH(T$11,$B$4:$B$656,0),$Z$3)</f>
        <v>#VALUE!</v>
      </c>
      <c r="U46" s="87" t="e">
        <f ca="1">戦略の決定!$R$10*OFFSET($E$3,MATCH(U$11+$S46,$B$4:$B$656,0),$Z$3)/OFFSET($E$3,MATCH(U$11,$B$4:$B$656,0),$Z$3)</f>
        <v>#VALUE!</v>
      </c>
      <c r="V46" s="87" t="e">
        <f ca="1">戦略の決定!$R$10*OFFSET($E$3,MATCH(V$11+$S46,$B$4:$B$656,0),$Z$3)/OFFSET($E$3,MATCH(V$11,$B$4:$B$656,0),$Z$3)</f>
        <v>#VALUE!</v>
      </c>
      <c r="W46" s="87" t="e">
        <f ca="1">戦略の決定!$R$10*OFFSET($E$3,MATCH(W$11+$S46,$B$4:$B$656,0),$Z$3)/OFFSET($E$3,MATCH(W$11,$B$4:$B$656,0),$Z$3)</f>
        <v>#VALUE!</v>
      </c>
      <c r="X46" s="87" t="e">
        <f ca="1">戦略の決定!$R$10*OFFSET($E$3,MATCH(X$11+$S46,$B$4:$B$656,0),$Z$3)/OFFSET($E$3,MATCH(X$11,$B$4:$B$656,0),$Z$3)</f>
        <v>#VALUE!</v>
      </c>
      <c r="Y46" s="87" t="e">
        <f ca="1">戦略の決定!$R$10*OFFSET($E$3,MATCH(Y$11+$S46,$B$4:$B$656,0),$Z$3)/OFFSET($E$3,MATCH(Y$11,$B$4:$B$656,0),$Z$3)</f>
        <v>#VALUE!</v>
      </c>
      <c r="Z46" s="87" t="e">
        <f ca="1">戦略の決定!$R$10*OFFSET($E$3,MATCH(Z$11+$S46,$B$4:$B$656,0),$Z$3)/OFFSET($E$3,MATCH(Z$11,$B$4:$B$656,0),$Z$3)</f>
        <v>#VALUE!</v>
      </c>
      <c r="AA46" s="87" t="e">
        <f ca="1">戦略の決定!$R$10*OFFSET($E$3,MATCH(AA$11+$S46,$B$4:$B$656,0),$Z$3)/OFFSET($E$3,MATCH(AA$11,$B$4:$B$656,0),$Z$3)</f>
        <v>#VALUE!</v>
      </c>
      <c r="AB46" s="87" t="e">
        <f ca="1">戦略の決定!$R$10*OFFSET($E$3,MATCH(AB$11+$S46,$B$4:$B$656,0),$Z$3)/OFFSET($E$3,MATCH(AB$11,$B$4:$B$656,0),$Z$3)</f>
        <v>#VALUE!</v>
      </c>
      <c r="AC46" s="44" t="e">
        <f ca="1">戦略の決定!$R$10*OFFSET($E$3,MATCH(AC$11+$S46,$B$4:$B$656,0),$Z$3)/OFFSET($E$3,MATCH(AC$11,$B$4:$B$656,0),$Z$3)</f>
        <v>#VALUE!</v>
      </c>
      <c r="AE46" s="57">
        <f t="shared" si="5"/>
        <v>217</v>
      </c>
      <c r="AF46" s="87" t="e">
        <f ca="1">BarriarOptionPrice($T$9,$T$6,T46,($AE$67-$AE46)/(52*7),$T$7,$T$8,$AC$4:$AC$9)*$T$5</f>
        <v>#VALUE!</v>
      </c>
      <c r="AG46" s="87" t="e">
        <f ca="1">BarriarOptionPrice($T$9,$T$6,U46,($AE$67-$AE46)/(52*7),$T$7,$T$8,$AC$4:$AC$9)*$T$5</f>
        <v>#VALUE!</v>
      </c>
      <c r="AH46" s="87" t="e">
        <f ca="1">BarriarOptionPrice($T$9,$T$6,V46,($AE$67-$AE46)/(52*7),$T$7,$T$8,$AC$4:$AC$9)*$T$5</f>
        <v>#VALUE!</v>
      </c>
      <c r="AI46" s="87" t="e">
        <f ca="1">BarriarOptionPrice($T$9,$T$6,W46,($AE$67-$AE46)/(52*7),$T$7,$T$8,$AC$4:$AC$9)*$T$5</f>
        <v>#VALUE!</v>
      </c>
      <c r="AJ46" s="87" t="e">
        <f ca="1">BarriarOptionPrice($T$9,$T$6,X46,($AE$67-$AE46)/(52*7),$T$7,$T$8,$AC$4:$AC$9)*$T$5</f>
        <v>#VALUE!</v>
      </c>
      <c r="AK46" s="87" t="e">
        <f ca="1">BarriarOptionPrice($T$9,$T$6,Y46,($AE$67-$AE46)/(52*7),$T$7,$T$8,$AC$4:$AC$9)*$T$5</f>
        <v>#VALUE!</v>
      </c>
      <c r="AL46" s="87" t="e">
        <f ca="1">BarriarOptionPrice($T$9,$T$6,Z46,($AE$67-$AE46)/(52*7),$T$7,$T$8,$AC$4:$AC$9)*$T$5</f>
        <v>#VALUE!</v>
      </c>
      <c r="AM46" s="87" t="e">
        <f ca="1">BarriarOptionPrice($T$9,$T$6,AA46,($AE$67-$AE46)/(52*7),$T$7,$T$8,$AC$4:$AC$9)*$T$5</f>
        <v>#VALUE!</v>
      </c>
      <c r="AN46" s="87" t="e">
        <f ca="1">BarriarOptionPrice($T$9,$T$6,AB46,($AE$67-$AE46)/(52*7),$T$7,$T$8,$AC$4:$AC$9)*$T$5</f>
        <v>#VALUE!</v>
      </c>
      <c r="AO46" s="44" t="e">
        <f ca="1">BarriarOptionPrice($T$9,$T$6,AC46,($AE$67-$AE46)/(52*7),$T$7,$T$8,$AC$4:$AC$9)*$T$5</f>
        <v>#VALUE!</v>
      </c>
      <c r="AQ46" s="57">
        <f t="shared" si="6"/>
        <v>217</v>
      </c>
      <c r="AR46" s="87" t="e">
        <f ca="1">BarriarOptionPrice($U$9,$U$6,T46,($AQ$67-$AQ46)/(52*7),$U$7,$U$8,$AC$4:$AC$9)*$U$5</f>
        <v>#VALUE!</v>
      </c>
      <c r="AS46" s="87" t="e">
        <f ca="1">BarriarOptionPrice($U$9,$U$6,U46,($AQ$67-$AQ46)/(52*7),$U$7,$U$8,$AC$4:$AC$9)*$U$5</f>
        <v>#VALUE!</v>
      </c>
      <c r="AT46" s="87" t="e">
        <f ca="1">BarriarOptionPrice($U$9,$U$6,V46,($AQ$67-$AQ46)/(52*7),$U$7,$U$8,$AC$4:$AC$9)*$U$5</f>
        <v>#VALUE!</v>
      </c>
      <c r="AU46" s="87" t="e">
        <f ca="1">BarriarOptionPrice($U$9,$U$6,W46,($AQ$67-$AQ46)/(52*7),$U$7,$U$8,$AC$4:$AC$9)*$U$5</f>
        <v>#VALUE!</v>
      </c>
      <c r="AV46" s="87" t="e">
        <f ca="1">BarriarOptionPrice($U$9,$U$6,X46,($AQ$67-$AQ46)/(52*7),$U$7,$U$8,$AC$4:$AC$9)*$U$5</f>
        <v>#VALUE!</v>
      </c>
      <c r="AW46" s="87" t="e">
        <f ca="1">BarriarOptionPrice($U$9,$U$6,Y46,($AQ$67-$AQ46)/(52*7),$U$7,$U$8,$AC$4:$AC$9)*$U$5</f>
        <v>#VALUE!</v>
      </c>
      <c r="AX46" s="87" t="e">
        <f ca="1">BarriarOptionPrice($U$9,$U$6,Z46,($AQ$67-$AQ46)/(52*7),$U$7,$U$8,$AC$4:$AC$9)*$U$5</f>
        <v>#VALUE!</v>
      </c>
      <c r="AY46" s="87" t="e">
        <f ca="1">BarriarOptionPrice($U$9,$U$6,AA46,($AQ$67-$AQ46)/(52*7),$U$7,$U$8,$AC$4:$AC$9)*$U$5</f>
        <v>#VALUE!</v>
      </c>
      <c r="AZ46" s="87" t="e">
        <f ca="1">BarriarOptionPrice($U$9,$U$6,AB46,($AQ$67-$AQ46)/(52*7),$U$7,$U$8,$AC$4:$AC$9)*$U$5</f>
        <v>#VALUE!</v>
      </c>
      <c r="BA46" s="44" t="e">
        <f ca="1">BarriarOptionPrice($U$9,$U$6,AC46,($AQ$67-$AQ46)/(52*7),$U$7,$U$8,$AC$4:$AC$9)*$U$5</f>
        <v>#VALUE!</v>
      </c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</row>
    <row r="47" spans="2:77" x14ac:dyDescent="0.15">
      <c r="B47" s="16">
        <v>40144</v>
      </c>
      <c r="C47" s="29">
        <f t="array" ref="C47">SUMPRODUCT('ファンドデータ(変更不要)'!K47:P47,TRANSPOSE(戦略の決定!$D$13:$D$18))</f>
        <v>-2.4452064140478791E-2</v>
      </c>
      <c r="D47" s="29">
        <f t="array" ref="D47">SUMPRODUCT('ファンドデータ(変更不要)'!K47:P47,TRANSPOSE(戦略の決定!$E$13:$E$18))</f>
        <v>-3.1714845388761105E-2</v>
      </c>
      <c r="E47" s="29">
        <f t="array" ref="E47">SUMPRODUCT('ファンドデータ(変更不要)'!K47:P47,TRANSPOSE(戦略の決定!$F$13:$F$18))</f>
        <v>-3.1714845388761105E-2</v>
      </c>
      <c r="F47" s="183">
        <f t="shared" si="7"/>
        <v>1.0701224856499199</v>
      </c>
      <c r="G47" s="183">
        <f t="shared" si="8"/>
        <v>1.0744434482398244</v>
      </c>
      <c r="H47" s="75">
        <f t="shared" si="9"/>
        <v>1.0744434482398244</v>
      </c>
      <c r="J47" s="46">
        <f t="shared" si="10"/>
        <v>43742</v>
      </c>
      <c r="K47" s="87">
        <f ca="1">IF(K46=0,0,BarriarOptionPrice(K$9,K$6,戦略の決定!$F$51*OFFSET($F$3,MATCH($J47,$B$4:$B$656,0),0)/OFFSET($F$3,MATCH($J$12,$B$4:$B$656,0),0),($J$64-$J47)/(52*7),K$7,K$8,戦略の決定!$D$13:$D$18)*K$5)</f>
        <v>0</v>
      </c>
      <c r="L47" s="87">
        <f ca="1">IF(L46=0,0,BarriarOptionPrice(L$9,L$6,戦略の決定!$F$51*OFFSET($F$3,MATCH($J47,$B$4:$B$656,0),0)/OFFSET($F$3,MATCH($J$12,$B$4:$B$656,0),0),($J$64-$J47)/(52*7),L$7,L$8,戦略の決定!$D$13:$D$18)*L$5)</f>
        <v>0</v>
      </c>
      <c r="M47" s="87">
        <f ca="1">IF(M46=0,0,BarriarOptionPrice(M$9,M$6,戦略の決定!$F$52*OFFSET($G$3,MATCH($J47,$B$4:$B$656,0),0)/OFFSET($G$3,MATCH($J$12,$B$4:$B$656,0),0),($J$64-$J47)/(52*7),M$7,M$8,戦略の決定!$E$13:$E$18)*M$5)</f>
        <v>27.549399882329595</v>
      </c>
      <c r="N47" s="87">
        <f ca="1">IF(N46=0,0,BarriarOptionPrice(N$9,N$6,戦略の決定!$F$52*OFFSET($G$3,MATCH($J47,$B$4:$B$656,0),0)/OFFSET($G$3,MATCH($J$12,$B$4:$B$656,0),0),($J$64-$J47)/(52*7),N$7,N$8,戦略の決定!$E$13:$E$18)*N$5)</f>
        <v>0</v>
      </c>
      <c r="O47" s="87">
        <f ca="1">IF(O46=0,0,BarriarOptionPrice(O$9,O$6,戦略の決定!$F$53*OFFSET($H$3,MATCH($J47,$B$4:$B$656,0),0)/OFFSET($H$3,MATCH($J$12,$B$4:$B$656,0),0),($J$64-$J47)/(52*7),O$7,O$8,戦略の決定!$F$13:$F$18)*O$5)</f>
        <v>0</v>
      </c>
      <c r="P47" s="44">
        <f ca="1">IF(P46=0,0,BarriarOptionPrice(P$9,P$6,戦略の決定!$F$53*OFFSET($H$3,MATCH($J47,$B$4:$B$656,0),0)/OFFSET($H$3,MATCH($J$12,$B$4:$B$656,0),0),($J$64-$J47)/(52*7),P$7,P$8,戦略の決定!$F$13:$F$18)*P$5)</f>
        <v>0</v>
      </c>
      <c r="S47" s="57">
        <f t="shared" si="4"/>
        <v>224</v>
      </c>
      <c r="T47" s="87" t="e">
        <f ca="1">戦略の決定!$R$10*OFFSET($E$3,MATCH(T$11+$S47,$B$4:$B$656,0),$Z$3)/OFFSET($E$3,MATCH(T$11,$B$4:$B$656,0),$Z$3)</f>
        <v>#VALUE!</v>
      </c>
      <c r="U47" s="87" t="e">
        <f ca="1">戦略の決定!$R$10*OFFSET($E$3,MATCH(U$11+$S47,$B$4:$B$656,0),$Z$3)/OFFSET($E$3,MATCH(U$11,$B$4:$B$656,0),$Z$3)</f>
        <v>#VALUE!</v>
      </c>
      <c r="V47" s="87" t="e">
        <f ca="1">戦略の決定!$R$10*OFFSET($E$3,MATCH(V$11+$S47,$B$4:$B$656,0),$Z$3)/OFFSET($E$3,MATCH(V$11,$B$4:$B$656,0),$Z$3)</f>
        <v>#VALUE!</v>
      </c>
      <c r="W47" s="87" t="e">
        <f ca="1">戦略の決定!$R$10*OFFSET($E$3,MATCH(W$11+$S47,$B$4:$B$656,0),$Z$3)/OFFSET($E$3,MATCH(W$11,$B$4:$B$656,0),$Z$3)</f>
        <v>#VALUE!</v>
      </c>
      <c r="X47" s="87" t="e">
        <f ca="1">戦略の決定!$R$10*OFFSET($E$3,MATCH(X$11+$S47,$B$4:$B$656,0),$Z$3)/OFFSET($E$3,MATCH(X$11,$B$4:$B$656,0),$Z$3)</f>
        <v>#VALUE!</v>
      </c>
      <c r="Y47" s="87" t="e">
        <f ca="1">戦略の決定!$R$10*OFFSET($E$3,MATCH(Y$11+$S47,$B$4:$B$656,0),$Z$3)/OFFSET($E$3,MATCH(Y$11,$B$4:$B$656,0),$Z$3)</f>
        <v>#VALUE!</v>
      </c>
      <c r="Z47" s="87" t="e">
        <f ca="1">戦略の決定!$R$10*OFFSET($E$3,MATCH(Z$11+$S47,$B$4:$B$656,0),$Z$3)/OFFSET($E$3,MATCH(Z$11,$B$4:$B$656,0),$Z$3)</f>
        <v>#VALUE!</v>
      </c>
      <c r="AA47" s="87" t="e">
        <f ca="1">戦略の決定!$R$10*OFFSET($E$3,MATCH(AA$11+$S47,$B$4:$B$656,0),$Z$3)/OFFSET($E$3,MATCH(AA$11,$B$4:$B$656,0),$Z$3)</f>
        <v>#VALUE!</v>
      </c>
      <c r="AB47" s="87" t="e">
        <f ca="1">戦略の決定!$R$10*OFFSET($E$3,MATCH(AB$11+$S47,$B$4:$B$656,0),$Z$3)/OFFSET($E$3,MATCH(AB$11,$B$4:$B$656,0),$Z$3)</f>
        <v>#VALUE!</v>
      </c>
      <c r="AC47" s="44" t="e">
        <f ca="1">戦略の決定!$R$10*OFFSET($E$3,MATCH(AC$11+$S47,$B$4:$B$656,0),$Z$3)/OFFSET($E$3,MATCH(AC$11,$B$4:$B$656,0),$Z$3)</f>
        <v>#VALUE!</v>
      </c>
      <c r="AE47" s="57">
        <f t="shared" si="5"/>
        <v>224</v>
      </c>
      <c r="AF47" s="87" t="e">
        <f ca="1">BarriarOptionPrice($T$9,$T$6,T47,($AE$67-$AE47)/(52*7),$T$7,$T$8,$AC$4:$AC$9)*$T$5</f>
        <v>#VALUE!</v>
      </c>
      <c r="AG47" s="87" t="e">
        <f ca="1">BarriarOptionPrice($T$9,$T$6,U47,($AE$67-$AE47)/(52*7),$T$7,$T$8,$AC$4:$AC$9)*$T$5</f>
        <v>#VALUE!</v>
      </c>
      <c r="AH47" s="87" t="e">
        <f ca="1">BarriarOptionPrice($T$9,$T$6,V47,($AE$67-$AE47)/(52*7),$T$7,$T$8,$AC$4:$AC$9)*$T$5</f>
        <v>#VALUE!</v>
      </c>
      <c r="AI47" s="87" t="e">
        <f ca="1">BarriarOptionPrice($T$9,$T$6,W47,($AE$67-$AE47)/(52*7),$T$7,$T$8,$AC$4:$AC$9)*$T$5</f>
        <v>#VALUE!</v>
      </c>
      <c r="AJ47" s="87" t="e">
        <f ca="1">BarriarOptionPrice($T$9,$T$6,X47,($AE$67-$AE47)/(52*7),$T$7,$T$8,$AC$4:$AC$9)*$T$5</f>
        <v>#VALUE!</v>
      </c>
      <c r="AK47" s="87" t="e">
        <f ca="1">BarriarOptionPrice($T$9,$T$6,Y47,($AE$67-$AE47)/(52*7),$T$7,$T$8,$AC$4:$AC$9)*$T$5</f>
        <v>#VALUE!</v>
      </c>
      <c r="AL47" s="87" t="e">
        <f ca="1">BarriarOptionPrice($T$9,$T$6,Z47,($AE$67-$AE47)/(52*7),$T$7,$T$8,$AC$4:$AC$9)*$T$5</f>
        <v>#VALUE!</v>
      </c>
      <c r="AM47" s="87" t="e">
        <f ca="1">BarriarOptionPrice($T$9,$T$6,AA47,($AE$67-$AE47)/(52*7),$T$7,$T$8,$AC$4:$AC$9)*$T$5</f>
        <v>#VALUE!</v>
      </c>
      <c r="AN47" s="87" t="e">
        <f ca="1">BarriarOptionPrice($T$9,$T$6,AB47,($AE$67-$AE47)/(52*7),$T$7,$T$8,$AC$4:$AC$9)*$T$5</f>
        <v>#VALUE!</v>
      </c>
      <c r="AO47" s="44" t="e">
        <f ca="1">BarriarOptionPrice($T$9,$T$6,AC47,($AE$67-$AE47)/(52*7),$T$7,$T$8,$AC$4:$AC$9)*$T$5</f>
        <v>#VALUE!</v>
      </c>
      <c r="AQ47" s="57">
        <f t="shared" si="6"/>
        <v>224</v>
      </c>
      <c r="AR47" s="87" t="e">
        <f ca="1">BarriarOptionPrice($U$9,$U$6,T47,($AQ$67-$AQ47)/(52*7),$U$7,$U$8,$AC$4:$AC$9)*$U$5</f>
        <v>#VALUE!</v>
      </c>
      <c r="AS47" s="87" t="e">
        <f ca="1">BarriarOptionPrice($U$9,$U$6,U47,($AQ$67-$AQ47)/(52*7),$U$7,$U$8,$AC$4:$AC$9)*$U$5</f>
        <v>#VALUE!</v>
      </c>
      <c r="AT47" s="87" t="e">
        <f ca="1">BarriarOptionPrice($U$9,$U$6,V47,($AQ$67-$AQ47)/(52*7),$U$7,$U$8,$AC$4:$AC$9)*$U$5</f>
        <v>#VALUE!</v>
      </c>
      <c r="AU47" s="87" t="e">
        <f ca="1">BarriarOptionPrice($U$9,$U$6,W47,($AQ$67-$AQ47)/(52*7),$U$7,$U$8,$AC$4:$AC$9)*$U$5</f>
        <v>#VALUE!</v>
      </c>
      <c r="AV47" s="87" t="e">
        <f ca="1">BarriarOptionPrice($U$9,$U$6,X47,($AQ$67-$AQ47)/(52*7),$U$7,$U$8,$AC$4:$AC$9)*$U$5</f>
        <v>#VALUE!</v>
      </c>
      <c r="AW47" s="87" t="e">
        <f ca="1">BarriarOptionPrice($U$9,$U$6,Y47,($AQ$67-$AQ47)/(52*7),$U$7,$U$8,$AC$4:$AC$9)*$U$5</f>
        <v>#VALUE!</v>
      </c>
      <c r="AX47" s="87" t="e">
        <f ca="1">BarriarOptionPrice($U$9,$U$6,Z47,($AQ$67-$AQ47)/(52*7),$U$7,$U$8,$AC$4:$AC$9)*$U$5</f>
        <v>#VALUE!</v>
      </c>
      <c r="AY47" s="87" t="e">
        <f ca="1">BarriarOptionPrice($U$9,$U$6,AA47,($AQ$67-$AQ47)/(52*7),$U$7,$U$8,$AC$4:$AC$9)*$U$5</f>
        <v>#VALUE!</v>
      </c>
      <c r="AZ47" s="87" t="e">
        <f ca="1">BarriarOptionPrice($U$9,$U$6,AB47,($AQ$67-$AQ47)/(52*7),$U$7,$U$8,$AC$4:$AC$9)*$U$5</f>
        <v>#VALUE!</v>
      </c>
      <c r="BA47" s="44" t="e">
        <f ca="1">BarriarOptionPrice($U$9,$U$6,AC47,($AQ$67-$AQ47)/(52*7),$U$7,$U$8,$AC$4:$AC$9)*$U$5</f>
        <v>#VALUE!</v>
      </c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</row>
    <row r="48" spans="2:77" x14ac:dyDescent="0.15">
      <c r="B48" s="16">
        <v>40151</v>
      </c>
      <c r="C48" s="29">
        <f t="array" ref="C48">SUMPRODUCT('ファンドデータ(変更不要)'!K48:P48,TRANSPOSE(戦略の決定!$D$13:$D$18))</f>
        <v>3.9436653431566424E-2</v>
      </c>
      <c r="D48" s="29">
        <f t="array" ref="D48">SUMPRODUCT('ファンドデータ(変更不要)'!K48:P48,TRANSPOSE(戦略の決定!$E$13:$E$18))</f>
        <v>4.9402577934872641E-2</v>
      </c>
      <c r="E48" s="29">
        <f t="array" ref="E48">SUMPRODUCT('ファンドデータ(変更不要)'!K48:P48,TRANSPOSE(戦略の決定!$F$13:$F$18))</f>
        <v>4.9402577934872641E-2</v>
      </c>
      <c r="F48" s="183">
        <f t="shared" si="7"/>
        <v>1.1123245352458222</v>
      </c>
      <c r="G48" s="183">
        <f t="shared" si="8"/>
        <v>1.1275237244281056</v>
      </c>
      <c r="H48" s="75">
        <f t="shared" si="9"/>
        <v>1.1275237244281056</v>
      </c>
      <c r="J48" s="46">
        <f t="shared" si="10"/>
        <v>43749</v>
      </c>
      <c r="K48" s="87">
        <f ca="1">IF(K47=0,0,BarriarOptionPrice(K$9,K$6,戦略の決定!$F$51*OFFSET($F$3,MATCH($J48,$B$4:$B$656,0),0)/OFFSET($F$3,MATCH($J$12,$B$4:$B$656,0),0),($J$64-$J48)/(52*7),K$7,K$8,戦略の決定!$D$13:$D$18)*K$5)</f>
        <v>0</v>
      </c>
      <c r="L48" s="87">
        <f ca="1">IF(L47=0,0,BarriarOptionPrice(L$9,L$6,戦略の決定!$F$51*OFFSET($F$3,MATCH($J48,$B$4:$B$656,0),0)/OFFSET($F$3,MATCH($J$12,$B$4:$B$656,0),0),($J$64-$J48)/(52*7),L$7,L$8,戦略の決定!$D$13:$D$18)*L$5)</f>
        <v>0</v>
      </c>
      <c r="M48" s="87">
        <f ca="1">IF(M47=0,0,BarriarOptionPrice(M$9,M$6,戦略の決定!$F$52*OFFSET($G$3,MATCH($J48,$B$4:$B$656,0),0)/OFFSET($G$3,MATCH($J$12,$B$4:$B$656,0),0),($J$64-$J48)/(52*7),M$7,M$8,戦略の決定!$E$13:$E$18)*M$5)</f>
        <v>23.083816998783043</v>
      </c>
      <c r="N48" s="87">
        <f ca="1">IF(N47=0,0,BarriarOptionPrice(N$9,N$6,戦略の決定!$F$52*OFFSET($G$3,MATCH($J48,$B$4:$B$656,0),0)/OFFSET($G$3,MATCH($J$12,$B$4:$B$656,0),0),($J$64-$J48)/(52*7),N$7,N$8,戦略の決定!$E$13:$E$18)*N$5)</f>
        <v>0</v>
      </c>
      <c r="O48" s="87">
        <f ca="1">IF(O47=0,0,BarriarOptionPrice(O$9,O$6,戦略の決定!$F$53*OFFSET($H$3,MATCH($J48,$B$4:$B$656,0),0)/OFFSET($H$3,MATCH($J$12,$B$4:$B$656,0),0),($J$64-$J48)/(52*7),O$7,O$8,戦略の決定!$F$13:$F$18)*O$5)</f>
        <v>0</v>
      </c>
      <c r="P48" s="44">
        <f ca="1">IF(P47=0,0,BarriarOptionPrice(P$9,P$6,戦略の決定!$F$53*OFFSET($H$3,MATCH($J48,$B$4:$B$656,0),0)/OFFSET($H$3,MATCH($J$12,$B$4:$B$656,0),0),($J$64-$J48)/(52*7),P$7,P$8,戦略の決定!$F$13:$F$18)*P$5)</f>
        <v>0</v>
      </c>
      <c r="S48" s="57">
        <f t="shared" si="4"/>
        <v>231</v>
      </c>
      <c r="T48" s="87" t="e">
        <f ca="1">戦略の決定!$R$10*OFFSET($E$3,MATCH(T$11+$S48,$B$4:$B$656,0),$Z$3)/OFFSET($E$3,MATCH(T$11,$B$4:$B$656,0),$Z$3)</f>
        <v>#VALUE!</v>
      </c>
      <c r="U48" s="87" t="e">
        <f ca="1">戦略の決定!$R$10*OFFSET($E$3,MATCH(U$11+$S48,$B$4:$B$656,0),$Z$3)/OFFSET($E$3,MATCH(U$11,$B$4:$B$656,0),$Z$3)</f>
        <v>#VALUE!</v>
      </c>
      <c r="V48" s="87" t="e">
        <f ca="1">戦略の決定!$R$10*OFFSET($E$3,MATCH(V$11+$S48,$B$4:$B$656,0),$Z$3)/OFFSET($E$3,MATCH(V$11,$B$4:$B$656,0),$Z$3)</f>
        <v>#VALUE!</v>
      </c>
      <c r="W48" s="87" t="e">
        <f ca="1">戦略の決定!$R$10*OFFSET($E$3,MATCH(W$11+$S48,$B$4:$B$656,0),$Z$3)/OFFSET($E$3,MATCH(W$11,$B$4:$B$656,0),$Z$3)</f>
        <v>#VALUE!</v>
      </c>
      <c r="X48" s="87" t="e">
        <f ca="1">戦略の決定!$R$10*OFFSET($E$3,MATCH(X$11+$S48,$B$4:$B$656,0),$Z$3)/OFFSET($E$3,MATCH(X$11,$B$4:$B$656,0),$Z$3)</f>
        <v>#VALUE!</v>
      </c>
      <c r="Y48" s="87" t="e">
        <f ca="1">戦略の決定!$R$10*OFFSET($E$3,MATCH(Y$11+$S48,$B$4:$B$656,0),$Z$3)/OFFSET($E$3,MATCH(Y$11,$B$4:$B$656,0),$Z$3)</f>
        <v>#VALUE!</v>
      </c>
      <c r="Z48" s="87" t="e">
        <f ca="1">戦略の決定!$R$10*OFFSET($E$3,MATCH(Z$11+$S48,$B$4:$B$656,0),$Z$3)/OFFSET($E$3,MATCH(Z$11,$B$4:$B$656,0),$Z$3)</f>
        <v>#VALUE!</v>
      </c>
      <c r="AA48" s="87" t="e">
        <f ca="1">戦略の決定!$R$10*OFFSET($E$3,MATCH(AA$11+$S48,$B$4:$B$656,0),$Z$3)/OFFSET($E$3,MATCH(AA$11,$B$4:$B$656,0),$Z$3)</f>
        <v>#VALUE!</v>
      </c>
      <c r="AB48" s="87" t="e">
        <f ca="1">戦略の決定!$R$10*OFFSET($E$3,MATCH(AB$11+$S48,$B$4:$B$656,0),$Z$3)/OFFSET($E$3,MATCH(AB$11,$B$4:$B$656,0),$Z$3)</f>
        <v>#VALUE!</v>
      </c>
      <c r="AC48" s="44" t="e">
        <f ca="1">戦略の決定!$R$10*OFFSET($E$3,MATCH(AC$11+$S48,$B$4:$B$656,0),$Z$3)/OFFSET($E$3,MATCH(AC$11,$B$4:$B$656,0),$Z$3)</f>
        <v>#VALUE!</v>
      </c>
      <c r="AE48" s="57">
        <f t="shared" si="5"/>
        <v>231</v>
      </c>
      <c r="AF48" s="87" t="e">
        <f ca="1">BarriarOptionPrice($T$9,$T$6,T48,($AE$67-$AE48)/(52*7),$T$7,$T$8,$AC$4:$AC$9)*$T$5</f>
        <v>#VALUE!</v>
      </c>
      <c r="AG48" s="87" t="e">
        <f ca="1">BarriarOptionPrice($T$9,$T$6,U48,($AE$67-$AE48)/(52*7),$T$7,$T$8,$AC$4:$AC$9)*$T$5</f>
        <v>#VALUE!</v>
      </c>
      <c r="AH48" s="87" t="e">
        <f ca="1">BarriarOptionPrice($T$9,$T$6,V48,($AE$67-$AE48)/(52*7),$T$7,$T$8,$AC$4:$AC$9)*$T$5</f>
        <v>#VALUE!</v>
      </c>
      <c r="AI48" s="87" t="e">
        <f ca="1">BarriarOptionPrice($T$9,$T$6,W48,($AE$67-$AE48)/(52*7),$T$7,$T$8,$AC$4:$AC$9)*$T$5</f>
        <v>#VALUE!</v>
      </c>
      <c r="AJ48" s="87" t="e">
        <f ca="1">BarriarOptionPrice($T$9,$T$6,X48,($AE$67-$AE48)/(52*7),$T$7,$T$8,$AC$4:$AC$9)*$T$5</f>
        <v>#VALUE!</v>
      </c>
      <c r="AK48" s="87" t="e">
        <f ca="1">BarriarOptionPrice($T$9,$T$6,Y48,($AE$67-$AE48)/(52*7),$T$7,$T$8,$AC$4:$AC$9)*$T$5</f>
        <v>#VALUE!</v>
      </c>
      <c r="AL48" s="87" t="e">
        <f ca="1">BarriarOptionPrice($T$9,$T$6,Z48,($AE$67-$AE48)/(52*7),$T$7,$T$8,$AC$4:$AC$9)*$T$5</f>
        <v>#VALUE!</v>
      </c>
      <c r="AM48" s="87" t="e">
        <f ca="1">BarriarOptionPrice($T$9,$T$6,AA48,($AE$67-$AE48)/(52*7),$T$7,$T$8,$AC$4:$AC$9)*$T$5</f>
        <v>#VALUE!</v>
      </c>
      <c r="AN48" s="87" t="e">
        <f ca="1">BarriarOptionPrice($T$9,$T$6,AB48,($AE$67-$AE48)/(52*7),$T$7,$T$8,$AC$4:$AC$9)*$T$5</f>
        <v>#VALUE!</v>
      </c>
      <c r="AO48" s="44" t="e">
        <f ca="1">BarriarOptionPrice($T$9,$T$6,AC48,($AE$67-$AE48)/(52*7),$T$7,$T$8,$AC$4:$AC$9)*$T$5</f>
        <v>#VALUE!</v>
      </c>
      <c r="AQ48" s="57">
        <f t="shared" si="6"/>
        <v>231</v>
      </c>
      <c r="AR48" s="87" t="e">
        <f ca="1">BarriarOptionPrice($U$9,$U$6,T48,($AQ$67-$AQ48)/(52*7),$U$7,$U$8,$AC$4:$AC$9)*$U$5</f>
        <v>#VALUE!</v>
      </c>
      <c r="AS48" s="87" t="e">
        <f ca="1">BarriarOptionPrice($U$9,$U$6,U48,($AQ$67-$AQ48)/(52*7),$U$7,$U$8,$AC$4:$AC$9)*$U$5</f>
        <v>#VALUE!</v>
      </c>
      <c r="AT48" s="87" t="e">
        <f ca="1">BarriarOptionPrice($U$9,$U$6,V48,($AQ$67-$AQ48)/(52*7),$U$7,$U$8,$AC$4:$AC$9)*$U$5</f>
        <v>#VALUE!</v>
      </c>
      <c r="AU48" s="87" t="e">
        <f ca="1">BarriarOptionPrice($U$9,$U$6,W48,($AQ$67-$AQ48)/(52*7),$U$7,$U$8,$AC$4:$AC$9)*$U$5</f>
        <v>#VALUE!</v>
      </c>
      <c r="AV48" s="87" t="e">
        <f ca="1">BarriarOptionPrice($U$9,$U$6,X48,($AQ$67-$AQ48)/(52*7),$U$7,$U$8,$AC$4:$AC$9)*$U$5</f>
        <v>#VALUE!</v>
      </c>
      <c r="AW48" s="87" t="e">
        <f ca="1">BarriarOptionPrice($U$9,$U$6,Y48,($AQ$67-$AQ48)/(52*7),$U$7,$U$8,$AC$4:$AC$9)*$U$5</f>
        <v>#VALUE!</v>
      </c>
      <c r="AX48" s="87" t="e">
        <f ca="1">BarriarOptionPrice($U$9,$U$6,Z48,($AQ$67-$AQ48)/(52*7),$U$7,$U$8,$AC$4:$AC$9)*$U$5</f>
        <v>#VALUE!</v>
      </c>
      <c r="AY48" s="87" t="e">
        <f ca="1">BarriarOptionPrice($U$9,$U$6,AA48,($AQ$67-$AQ48)/(52*7),$U$7,$U$8,$AC$4:$AC$9)*$U$5</f>
        <v>#VALUE!</v>
      </c>
      <c r="AZ48" s="87" t="e">
        <f ca="1">BarriarOptionPrice($U$9,$U$6,AB48,($AQ$67-$AQ48)/(52*7),$U$7,$U$8,$AC$4:$AC$9)*$U$5</f>
        <v>#VALUE!</v>
      </c>
      <c r="BA48" s="44" t="e">
        <f ca="1">BarriarOptionPrice($U$9,$U$6,AC48,($AQ$67-$AQ48)/(52*7),$U$7,$U$8,$AC$4:$AC$9)*$U$5</f>
        <v>#VALUE!</v>
      </c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</row>
    <row r="49" spans="2:77" x14ac:dyDescent="0.15">
      <c r="B49" s="16">
        <v>40158</v>
      </c>
      <c r="C49" s="29">
        <f t="array" ref="C49">SUMPRODUCT('ファンドデータ(変更不要)'!K49:P49,TRANSPOSE(戦略の決定!$D$13:$D$18))</f>
        <v>-1.0683339021631382E-2</v>
      </c>
      <c r="D49" s="29">
        <f t="array" ref="D49">SUMPRODUCT('ファンドデータ(変更不要)'!K49:P49,TRANSPOSE(戦略の決定!$E$13:$E$18))</f>
        <v>-1.7213990718002049E-2</v>
      </c>
      <c r="E49" s="29">
        <f t="array" ref="E49">SUMPRODUCT('ファンドデータ(変更不要)'!K49:P49,TRANSPOSE(戦略の決定!$F$13:$F$18))</f>
        <v>-1.7213990718002049E-2</v>
      </c>
      <c r="F49" s="183">
        <f t="shared" si="7"/>
        <v>1.1004411951337125</v>
      </c>
      <c r="G49" s="183">
        <f t="shared" si="8"/>
        <v>1.108114541501473</v>
      </c>
      <c r="H49" s="75">
        <f t="shared" si="9"/>
        <v>1.108114541501473</v>
      </c>
      <c r="J49" s="46">
        <f t="shared" si="10"/>
        <v>43756</v>
      </c>
      <c r="K49" s="87">
        <f ca="1">IF(K48=0,0,BarriarOptionPrice(K$9,K$6,戦略の決定!$F$51*OFFSET($F$3,MATCH($J49,$B$4:$B$656,0),0)/OFFSET($F$3,MATCH($J$12,$B$4:$B$656,0),0),($J$64-$J49)/(52*7),K$7,K$8,戦略の決定!$D$13:$D$18)*K$5)</f>
        <v>0</v>
      </c>
      <c r="L49" s="87">
        <f ca="1">IF(L48=0,0,BarriarOptionPrice(L$9,L$6,戦略の決定!$F$51*OFFSET($F$3,MATCH($J49,$B$4:$B$656,0),0)/OFFSET($F$3,MATCH($J$12,$B$4:$B$656,0),0),($J$64-$J49)/(52*7),L$7,L$8,戦略の決定!$D$13:$D$18)*L$5)</f>
        <v>0</v>
      </c>
      <c r="M49" s="87">
        <f ca="1">IF(M48=0,0,BarriarOptionPrice(M$9,M$6,戦略の決定!$F$52*OFFSET($G$3,MATCH($J49,$B$4:$B$656,0),0)/OFFSET($G$3,MATCH($J$12,$B$4:$B$656,0),0),($J$64-$J49)/(52*7),M$7,M$8,戦略の決定!$E$13:$E$18)*M$5)</f>
        <v>19.55614890555524</v>
      </c>
      <c r="N49" s="87">
        <f ca="1">IF(N48=0,0,BarriarOptionPrice(N$9,N$6,戦略の決定!$F$52*OFFSET($G$3,MATCH($J49,$B$4:$B$656,0),0)/OFFSET($G$3,MATCH($J$12,$B$4:$B$656,0),0),($J$64-$J49)/(52*7),N$7,N$8,戦略の決定!$E$13:$E$18)*N$5)</f>
        <v>0</v>
      </c>
      <c r="O49" s="87">
        <f ca="1">IF(O48=0,0,BarriarOptionPrice(O$9,O$6,戦略の決定!$F$53*OFFSET($H$3,MATCH($J49,$B$4:$B$656,0),0)/OFFSET($H$3,MATCH($J$12,$B$4:$B$656,0),0),($J$64-$J49)/(52*7),O$7,O$8,戦略の決定!$F$13:$F$18)*O$5)</f>
        <v>0</v>
      </c>
      <c r="P49" s="44">
        <f ca="1">IF(P48=0,0,BarriarOptionPrice(P$9,P$6,戦略の決定!$F$53*OFFSET($H$3,MATCH($J49,$B$4:$B$656,0),0)/OFFSET($H$3,MATCH($J$12,$B$4:$B$656,0),0),($J$64-$J49)/(52*7),P$7,P$8,戦略の決定!$F$13:$F$18)*P$5)</f>
        <v>0</v>
      </c>
      <c r="S49" s="57">
        <f t="shared" si="4"/>
        <v>238</v>
      </c>
      <c r="T49" s="87" t="e">
        <f ca="1">戦略の決定!$R$10*OFFSET($E$3,MATCH(T$11+$S49,$B$4:$B$656,0),$Z$3)/OFFSET($E$3,MATCH(T$11,$B$4:$B$656,0),$Z$3)</f>
        <v>#VALUE!</v>
      </c>
      <c r="U49" s="87" t="e">
        <f ca="1">戦略の決定!$R$10*OFFSET($E$3,MATCH(U$11+$S49,$B$4:$B$656,0),$Z$3)/OFFSET($E$3,MATCH(U$11,$B$4:$B$656,0),$Z$3)</f>
        <v>#VALUE!</v>
      </c>
      <c r="V49" s="87" t="e">
        <f ca="1">戦略の決定!$R$10*OFFSET($E$3,MATCH(V$11+$S49,$B$4:$B$656,0),$Z$3)/OFFSET($E$3,MATCH(V$11,$B$4:$B$656,0),$Z$3)</f>
        <v>#VALUE!</v>
      </c>
      <c r="W49" s="87" t="e">
        <f ca="1">戦略の決定!$R$10*OFFSET($E$3,MATCH(W$11+$S49,$B$4:$B$656,0),$Z$3)/OFFSET($E$3,MATCH(W$11,$B$4:$B$656,0),$Z$3)</f>
        <v>#VALUE!</v>
      </c>
      <c r="X49" s="87" t="e">
        <f ca="1">戦略の決定!$R$10*OFFSET($E$3,MATCH(X$11+$S49,$B$4:$B$656,0),$Z$3)/OFFSET($E$3,MATCH(X$11,$B$4:$B$656,0),$Z$3)</f>
        <v>#VALUE!</v>
      </c>
      <c r="Y49" s="87" t="e">
        <f ca="1">戦略の決定!$R$10*OFFSET($E$3,MATCH(Y$11+$S49,$B$4:$B$656,0),$Z$3)/OFFSET($E$3,MATCH(Y$11,$B$4:$B$656,0),$Z$3)</f>
        <v>#VALUE!</v>
      </c>
      <c r="Z49" s="87" t="e">
        <f ca="1">戦略の決定!$R$10*OFFSET($E$3,MATCH(Z$11+$S49,$B$4:$B$656,0),$Z$3)/OFFSET($E$3,MATCH(Z$11,$B$4:$B$656,0),$Z$3)</f>
        <v>#VALUE!</v>
      </c>
      <c r="AA49" s="87" t="e">
        <f ca="1">戦略の決定!$R$10*OFFSET($E$3,MATCH(AA$11+$S49,$B$4:$B$656,0),$Z$3)/OFFSET($E$3,MATCH(AA$11,$B$4:$B$656,0),$Z$3)</f>
        <v>#VALUE!</v>
      </c>
      <c r="AB49" s="87" t="e">
        <f ca="1">戦略の決定!$R$10*OFFSET($E$3,MATCH(AB$11+$S49,$B$4:$B$656,0),$Z$3)/OFFSET($E$3,MATCH(AB$11,$B$4:$B$656,0),$Z$3)</f>
        <v>#VALUE!</v>
      </c>
      <c r="AC49" s="44" t="e">
        <f ca="1">戦略の決定!$R$10*OFFSET($E$3,MATCH(AC$11+$S49,$B$4:$B$656,0),$Z$3)/OFFSET($E$3,MATCH(AC$11,$B$4:$B$656,0),$Z$3)</f>
        <v>#VALUE!</v>
      </c>
      <c r="AE49" s="57">
        <f t="shared" si="5"/>
        <v>238</v>
      </c>
      <c r="AF49" s="87" t="e">
        <f ca="1">BarriarOptionPrice($T$9,$T$6,T49,($AE$67-$AE49)/(52*7),$T$7,$T$8,$AC$4:$AC$9)*$T$5</f>
        <v>#VALUE!</v>
      </c>
      <c r="AG49" s="87" t="e">
        <f ca="1">BarriarOptionPrice($T$9,$T$6,U49,($AE$67-$AE49)/(52*7),$T$7,$T$8,$AC$4:$AC$9)*$T$5</f>
        <v>#VALUE!</v>
      </c>
      <c r="AH49" s="87" t="e">
        <f ca="1">BarriarOptionPrice($T$9,$T$6,V49,($AE$67-$AE49)/(52*7),$T$7,$T$8,$AC$4:$AC$9)*$T$5</f>
        <v>#VALUE!</v>
      </c>
      <c r="AI49" s="87" t="e">
        <f ca="1">BarriarOptionPrice($T$9,$T$6,W49,($AE$67-$AE49)/(52*7),$T$7,$T$8,$AC$4:$AC$9)*$T$5</f>
        <v>#VALUE!</v>
      </c>
      <c r="AJ49" s="87" t="e">
        <f ca="1">BarriarOptionPrice($T$9,$T$6,X49,($AE$67-$AE49)/(52*7),$T$7,$T$8,$AC$4:$AC$9)*$T$5</f>
        <v>#VALUE!</v>
      </c>
      <c r="AK49" s="87" t="e">
        <f ca="1">BarriarOptionPrice($T$9,$T$6,Y49,($AE$67-$AE49)/(52*7),$T$7,$T$8,$AC$4:$AC$9)*$T$5</f>
        <v>#VALUE!</v>
      </c>
      <c r="AL49" s="87" t="e">
        <f ca="1">BarriarOptionPrice($T$9,$T$6,Z49,($AE$67-$AE49)/(52*7),$T$7,$T$8,$AC$4:$AC$9)*$T$5</f>
        <v>#VALUE!</v>
      </c>
      <c r="AM49" s="87" t="e">
        <f ca="1">BarriarOptionPrice($T$9,$T$6,AA49,($AE$67-$AE49)/(52*7),$T$7,$T$8,$AC$4:$AC$9)*$T$5</f>
        <v>#VALUE!</v>
      </c>
      <c r="AN49" s="87" t="e">
        <f ca="1">BarriarOptionPrice($T$9,$T$6,AB49,($AE$67-$AE49)/(52*7),$T$7,$T$8,$AC$4:$AC$9)*$T$5</f>
        <v>#VALUE!</v>
      </c>
      <c r="AO49" s="44" t="e">
        <f ca="1">BarriarOptionPrice($T$9,$T$6,AC49,($AE$67-$AE49)/(52*7),$T$7,$T$8,$AC$4:$AC$9)*$T$5</f>
        <v>#VALUE!</v>
      </c>
      <c r="AQ49" s="57">
        <f t="shared" si="6"/>
        <v>238</v>
      </c>
      <c r="AR49" s="87" t="e">
        <f ca="1">BarriarOptionPrice($U$9,$U$6,T49,($AQ$67-$AQ49)/(52*7),$U$7,$U$8,$AC$4:$AC$9)*$U$5</f>
        <v>#VALUE!</v>
      </c>
      <c r="AS49" s="87" t="e">
        <f ca="1">BarriarOptionPrice($U$9,$U$6,U49,($AQ$67-$AQ49)/(52*7),$U$7,$U$8,$AC$4:$AC$9)*$U$5</f>
        <v>#VALUE!</v>
      </c>
      <c r="AT49" s="87" t="e">
        <f ca="1">BarriarOptionPrice($U$9,$U$6,V49,($AQ$67-$AQ49)/(52*7),$U$7,$U$8,$AC$4:$AC$9)*$U$5</f>
        <v>#VALUE!</v>
      </c>
      <c r="AU49" s="87" t="e">
        <f ca="1">BarriarOptionPrice($U$9,$U$6,W49,($AQ$67-$AQ49)/(52*7),$U$7,$U$8,$AC$4:$AC$9)*$U$5</f>
        <v>#VALUE!</v>
      </c>
      <c r="AV49" s="87" t="e">
        <f ca="1">BarriarOptionPrice($U$9,$U$6,X49,($AQ$67-$AQ49)/(52*7),$U$7,$U$8,$AC$4:$AC$9)*$U$5</f>
        <v>#VALUE!</v>
      </c>
      <c r="AW49" s="87" t="e">
        <f ca="1">BarriarOptionPrice($U$9,$U$6,Y49,($AQ$67-$AQ49)/(52*7),$U$7,$U$8,$AC$4:$AC$9)*$U$5</f>
        <v>#VALUE!</v>
      </c>
      <c r="AX49" s="87" t="e">
        <f ca="1">BarriarOptionPrice($U$9,$U$6,Z49,($AQ$67-$AQ49)/(52*7),$U$7,$U$8,$AC$4:$AC$9)*$U$5</f>
        <v>#VALUE!</v>
      </c>
      <c r="AY49" s="87" t="e">
        <f ca="1">BarriarOptionPrice($U$9,$U$6,AA49,($AQ$67-$AQ49)/(52*7),$U$7,$U$8,$AC$4:$AC$9)*$U$5</f>
        <v>#VALUE!</v>
      </c>
      <c r="AZ49" s="87" t="e">
        <f ca="1">BarriarOptionPrice($U$9,$U$6,AB49,($AQ$67-$AQ49)/(52*7),$U$7,$U$8,$AC$4:$AC$9)*$U$5</f>
        <v>#VALUE!</v>
      </c>
      <c r="BA49" s="44" t="e">
        <f ca="1">BarriarOptionPrice($U$9,$U$6,AC49,($AQ$67-$AQ49)/(52*7),$U$7,$U$8,$AC$4:$AC$9)*$U$5</f>
        <v>#VALUE!</v>
      </c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</row>
    <row r="50" spans="2:77" x14ac:dyDescent="0.15">
      <c r="B50" s="16">
        <v>40165</v>
      </c>
      <c r="C50" s="29">
        <f t="array" ref="C50">SUMPRODUCT('ファンドデータ(変更不要)'!K50:P50,TRANSPOSE(戦略の決定!$D$13:$D$18))</f>
        <v>5.4339345825660679E-5</v>
      </c>
      <c r="D50" s="29">
        <f t="array" ref="D50">SUMPRODUCT('ファンドデータ(変更不要)'!K50:P50,TRANSPOSE(戦略の決定!$E$13:$E$18))</f>
        <v>2.4070839013330984E-5</v>
      </c>
      <c r="E50" s="29">
        <f t="array" ref="E50">SUMPRODUCT('ファンドデータ(変更不要)'!K50:P50,TRANSPOSE(戦略の決定!$F$13:$F$18))</f>
        <v>2.4070839013330984E-5</v>
      </c>
      <c r="F50" s="183">
        <f t="shared" si="7"/>
        <v>1.1005009923883757</v>
      </c>
      <c r="G50" s="183">
        <f t="shared" si="8"/>
        <v>1.1081412147482099</v>
      </c>
      <c r="H50" s="75">
        <f t="shared" si="9"/>
        <v>1.1081412147482099</v>
      </c>
      <c r="J50" s="46">
        <f t="shared" si="10"/>
        <v>43763</v>
      </c>
      <c r="K50" s="87">
        <f ca="1">IF(K49=0,0,BarriarOptionPrice(K$9,K$6,戦略の決定!$F$51*OFFSET($F$3,MATCH($J50,$B$4:$B$656,0),0)/OFFSET($F$3,MATCH($J$12,$B$4:$B$656,0),0),($J$64-$J50)/(52*7),K$7,K$8,戦略の決定!$D$13:$D$18)*K$5)</f>
        <v>0</v>
      </c>
      <c r="L50" s="87">
        <f ca="1">IF(L49=0,0,BarriarOptionPrice(L$9,L$6,戦略の決定!$F$51*OFFSET($F$3,MATCH($J50,$B$4:$B$656,0),0)/OFFSET($F$3,MATCH($J$12,$B$4:$B$656,0),0),($J$64-$J50)/(52*7),L$7,L$8,戦略の決定!$D$13:$D$18)*L$5)</f>
        <v>0</v>
      </c>
      <c r="M50" s="87">
        <f ca="1">IF(M49=0,0,BarriarOptionPrice(M$9,M$6,戦略の決定!$F$52*OFFSET($G$3,MATCH($J50,$B$4:$B$656,0),0)/OFFSET($G$3,MATCH($J$12,$B$4:$B$656,0),0),($J$64-$J50)/(52*7),M$7,M$8,戦略の決定!$E$13:$E$18)*M$5)</f>
        <v>17.705458377835235</v>
      </c>
      <c r="N50" s="87">
        <f ca="1">IF(N49=0,0,BarriarOptionPrice(N$9,N$6,戦略の決定!$F$52*OFFSET($G$3,MATCH($J50,$B$4:$B$656,0),0)/OFFSET($G$3,MATCH($J$12,$B$4:$B$656,0),0),($J$64-$J50)/(52*7),N$7,N$8,戦略の決定!$E$13:$E$18)*N$5)</f>
        <v>0</v>
      </c>
      <c r="O50" s="87">
        <f ca="1">IF(O49=0,0,BarriarOptionPrice(O$9,O$6,戦略の決定!$F$53*OFFSET($H$3,MATCH($J50,$B$4:$B$656,0),0)/OFFSET($H$3,MATCH($J$12,$B$4:$B$656,0),0),($J$64-$J50)/(52*7),O$7,O$8,戦略の決定!$F$13:$F$18)*O$5)</f>
        <v>0</v>
      </c>
      <c r="P50" s="44">
        <f ca="1">IF(P49=0,0,BarriarOptionPrice(P$9,P$6,戦略の決定!$F$53*OFFSET($H$3,MATCH($J50,$B$4:$B$656,0),0)/OFFSET($H$3,MATCH($J$12,$B$4:$B$656,0),0),($J$64-$J50)/(52*7),P$7,P$8,戦略の決定!$F$13:$F$18)*P$5)</f>
        <v>0</v>
      </c>
      <c r="S50" s="57">
        <f t="shared" si="4"/>
        <v>245</v>
      </c>
      <c r="T50" s="87" t="e">
        <f ca="1">戦略の決定!$R$10*OFFSET($E$3,MATCH(T$11+$S50,$B$4:$B$656,0),$Z$3)/OFFSET($E$3,MATCH(T$11,$B$4:$B$656,0),$Z$3)</f>
        <v>#VALUE!</v>
      </c>
      <c r="U50" s="87" t="e">
        <f ca="1">戦略の決定!$R$10*OFFSET($E$3,MATCH(U$11+$S50,$B$4:$B$656,0),$Z$3)/OFFSET($E$3,MATCH(U$11,$B$4:$B$656,0),$Z$3)</f>
        <v>#VALUE!</v>
      </c>
      <c r="V50" s="87" t="e">
        <f ca="1">戦略の決定!$R$10*OFFSET($E$3,MATCH(V$11+$S50,$B$4:$B$656,0),$Z$3)/OFFSET($E$3,MATCH(V$11,$B$4:$B$656,0),$Z$3)</f>
        <v>#VALUE!</v>
      </c>
      <c r="W50" s="87" t="e">
        <f ca="1">戦略の決定!$R$10*OFFSET($E$3,MATCH(W$11+$S50,$B$4:$B$656,0),$Z$3)/OFFSET($E$3,MATCH(W$11,$B$4:$B$656,0),$Z$3)</f>
        <v>#VALUE!</v>
      </c>
      <c r="X50" s="87" t="e">
        <f ca="1">戦略の決定!$R$10*OFFSET($E$3,MATCH(X$11+$S50,$B$4:$B$656,0),$Z$3)/OFFSET($E$3,MATCH(X$11,$B$4:$B$656,0),$Z$3)</f>
        <v>#VALUE!</v>
      </c>
      <c r="Y50" s="87" t="e">
        <f ca="1">戦略の決定!$R$10*OFFSET($E$3,MATCH(Y$11+$S50,$B$4:$B$656,0),$Z$3)/OFFSET($E$3,MATCH(Y$11,$B$4:$B$656,0),$Z$3)</f>
        <v>#VALUE!</v>
      </c>
      <c r="Z50" s="87" t="e">
        <f ca="1">戦略の決定!$R$10*OFFSET($E$3,MATCH(Z$11+$S50,$B$4:$B$656,0),$Z$3)/OFFSET($E$3,MATCH(Z$11,$B$4:$B$656,0),$Z$3)</f>
        <v>#VALUE!</v>
      </c>
      <c r="AA50" s="87" t="e">
        <f ca="1">戦略の決定!$R$10*OFFSET($E$3,MATCH(AA$11+$S50,$B$4:$B$656,0),$Z$3)/OFFSET($E$3,MATCH(AA$11,$B$4:$B$656,0),$Z$3)</f>
        <v>#VALUE!</v>
      </c>
      <c r="AB50" s="87" t="e">
        <f ca="1">戦略の決定!$R$10*OFFSET($E$3,MATCH(AB$11+$S50,$B$4:$B$656,0),$Z$3)/OFFSET($E$3,MATCH(AB$11,$B$4:$B$656,0),$Z$3)</f>
        <v>#VALUE!</v>
      </c>
      <c r="AC50" s="44" t="e">
        <f ca="1">戦略の決定!$R$10*OFFSET($E$3,MATCH(AC$11+$S50,$B$4:$B$656,0),$Z$3)/OFFSET($E$3,MATCH(AC$11,$B$4:$B$656,0),$Z$3)</f>
        <v>#VALUE!</v>
      </c>
      <c r="AE50" s="57">
        <f t="shared" si="5"/>
        <v>245</v>
      </c>
      <c r="AF50" s="87" t="e">
        <f ca="1">BarriarOptionPrice($T$9,$T$6,T50,($AE$67-$AE50)/(52*7),$T$7,$T$8,$AC$4:$AC$9)*$T$5</f>
        <v>#VALUE!</v>
      </c>
      <c r="AG50" s="87" t="e">
        <f ca="1">BarriarOptionPrice($T$9,$T$6,U50,($AE$67-$AE50)/(52*7),$T$7,$T$8,$AC$4:$AC$9)*$T$5</f>
        <v>#VALUE!</v>
      </c>
      <c r="AH50" s="87" t="e">
        <f ca="1">BarriarOptionPrice($T$9,$T$6,V50,($AE$67-$AE50)/(52*7),$T$7,$T$8,$AC$4:$AC$9)*$T$5</f>
        <v>#VALUE!</v>
      </c>
      <c r="AI50" s="87" t="e">
        <f ca="1">BarriarOptionPrice($T$9,$T$6,W50,($AE$67-$AE50)/(52*7),$T$7,$T$8,$AC$4:$AC$9)*$T$5</f>
        <v>#VALUE!</v>
      </c>
      <c r="AJ50" s="87" t="e">
        <f ca="1">BarriarOptionPrice($T$9,$T$6,X50,($AE$67-$AE50)/(52*7),$T$7,$T$8,$AC$4:$AC$9)*$T$5</f>
        <v>#VALUE!</v>
      </c>
      <c r="AK50" s="87" t="e">
        <f ca="1">BarriarOptionPrice($T$9,$T$6,Y50,($AE$67-$AE50)/(52*7),$T$7,$T$8,$AC$4:$AC$9)*$T$5</f>
        <v>#VALUE!</v>
      </c>
      <c r="AL50" s="87" t="e">
        <f ca="1">BarriarOptionPrice($T$9,$T$6,Z50,($AE$67-$AE50)/(52*7),$T$7,$T$8,$AC$4:$AC$9)*$T$5</f>
        <v>#VALUE!</v>
      </c>
      <c r="AM50" s="87" t="e">
        <f ca="1">BarriarOptionPrice($T$9,$T$6,AA50,($AE$67-$AE50)/(52*7),$T$7,$T$8,$AC$4:$AC$9)*$T$5</f>
        <v>#VALUE!</v>
      </c>
      <c r="AN50" s="87" t="e">
        <f ca="1">BarriarOptionPrice($T$9,$T$6,AB50,($AE$67-$AE50)/(52*7),$T$7,$T$8,$AC$4:$AC$9)*$T$5</f>
        <v>#VALUE!</v>
      </c>
      <c r="AO50" s="44" t="e">
        <f ca="1">BarriarOptionPrice($T$9,$T$6,AC50,($AE$67-$AE50)/(52*7),$T$7,$T$8,$AC$4:$AC$9)*$T$5</f>
        <v>#VALUE!</v>
      </c>
      <c r="AQ50" s="57">
        <f t="shared" si="6"/>
        <v>245</v>
      </c>
      <c r="AR50" s="87" t="e">
        <f ca="1">BarriarOptionPrice($U$9,$U$6,T50,($AQ$67-$AQ50)/(52*7),$U$7,$U$8,$AC$4:$AC$9)*$U$5</f>
        <v>#VALUE!</v>
      </c>
      <c r="AS50" s="87" t="e">
        <f ca="1">BarriarOptionPrice($U$9,$U$6,U50,($AQ$67-$AQ50)/(52*7),$U$7,$U$8,$AC$4:$AC$9)*$U$5</f>
        <v>#VALUE!</v>
      </c>
      <c r="AT50" s="87" t="e">
        <f ca="1">BarriarOptionPrice($U$9,$U$6,V50,($AQ$67-$AQ50)/(52*7),$U$7,$U$8,$AC$4:$AC$9)*$U$5</f>
        <v>#VALUE!</v>
      </c>
      <c r="AU50" s="87" t="e">
        <f ca="1">BarriarOptionPrice($U$9,$U$6,W50,($AQ$67-$AQ50)/(52*7),$U$7,$U$8,$AC$4:$AC$9)*$U$5</f>
        <v>#VALUE!</v>
      </c>
      <c r="AV50" s="87" t="e">
        <f ca="1">BarriarOptionPrice($U$9,$U$6,X50,($AQ$67-$AQ50)/(52*7),$U$7,$U$8,$AC$4:$AC$9)*$U$5</f>
        <v>#VALUE!</v>
      </c>
      <c r="AW50" s="87" t="e">
        <f ca="1">BarriarOptionPrice($U$9,$U$6,Y50,($AQ$67-$AQ50)/(52*7),$U$7,$U$8,$AC$4:$AC$9)*$U$5</f>
        <v>#VALUE!</v>
      </c>
      <c r="AX50" s="87" t="e">
        <f ca="1">BarriarOptionPrice($U$9,$U$6,Z50,($AQ$67-$AQ50)/(52*7),$U$7,$U$8,$AC$4:$AC$9)*$U$5</f>
        <v>#VALUE!</v>
      </c>
      <c r="AY50" s="87" t="e">
        <f ca="1">BarriarOptionPrice($U$9,$U$6,AA50,($AQ$67-$AQ50)/(52*7),$U$7,$U$8,$AC$4:$AC$9)*$U$5</f>
        <v>#VALUE!</v>
      </c>
      <c r="AZ50" s="87" t="e">
        <f ca="1">BarriarOptionPrice($U$9,$U$6,AB50,($AQ$67-$AQ50)/(52*7),$U$7,$U$8,$AC$4:$AC$9)*$U$5</f>
        <v>#VALUE!</v>
      </c>
      <c r="BA50" s="44" t="e">
        <f ca="1">BarriarOptionPrice($U$9,$U$6,AC50,($AQ$67-$AQ50)/(52*7),$U$7,$U$8,$AC$4:$AC$9)*$U$5</f>
        <v>#VALUE!</v>
      </c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</row>
    <row r="51" spans="2:77" x14ac:dyDescent="0.15">
      <c r="B51" s="16">
        <v>40172</v>
      </c>
      <c r="C51" s="29">
        <f t="array" ref="C51">SUMPRODUCT('ファンドデータ(変更不要)'!K51:P51,TRANSPOSE(戦略の決定!$D$13:$D$18))</f>
        <v>1.48490630617794E-2</v>
      </c>
      <c r="D51" s="29">
        <f t="array" ref="D51">SUMPRODUCT('ファンドデータ(変更不要)'!K51:P51,TRANSPOSE(戦略の決定!$E$13:$E$18))</f>
        <v>1.8608840821739758E-2</v>
      </c>
      <c r="E51" s="29">
        <f t="array" ref="E51">SUMPRODUCT('ファンドデータ(変更不要)'!K51:P51,TRANSPOSE(戦略の決定!$F$13:$F$18))</f>
        <v>1.8608840821739758E-2</v>
      </c>
      <c r="F51" s="183">
        <f t="shared" si="7"/>
        <v>1.1168424010239015</v>
      </c>
      <c r="G51" s="183">
        <f t="shared" si="8"/>
        <v>1.1287624382214687</v>
      </c>
      <c r="H51" s="75">
        <f t="shared" si="9"/>
        <v>1.1287624382214687</v>
      </c>
      <c r="J51" s="46">
        <f t="shared" si="10"/>
        <v>43770</v>
      </c>
      <c r="K51" s="87">
        <f ca="1">IF(K50=0,0,BarriarOptionPrice(K$9,K$6,戦略の決定!$F$51*OFFSET($F$3,MATCH($J51,$B$4:$B$656,0),0)/OFFSET($F$3,MATCH($J$12,$B$4:$B$656,0),0),($J$64-$J51)/(52*7),K$7,K$8,戦略の決定!$D$13:$D$18)*K$5)</f>
        <v>0</v>
      </c>
      <c r="L51" s="87">
        <f ca="1">IF(L50=0,0,BarriarOptionPrice(L$9,L$6,戦略の決定!$F$51*OFFSET($F$3,MATCH($J51,$B$4:$B$656,0),0)/OFFSET($F$3,MATCH($J$12,$B$4:$B$656,0),0),($J$64-$J51)/(52*7),L$7,L$8,戦略の決定!$D$13:$D$18)*L$5)</f>
        <v>0</v>
      </c>
      <c r="M51" s="87">
        <f ca="1">IF(M50=0,0,BarriarOptionPrice(M$9,M$6,戦略の決定!$F$52*OFFSET($G$3,MATCH($J51,$B$4:$B$656,0),0)/OFFSET($G$3,MATCH($J$12,$B$4:$B$656,0),0),($J$64-$J51)/(52*7),M$7,M$8,戦略の決定!$E$13:$E$18)*M$5)</f>
        <v>15.86270048194072</v>
      </c>
      <c r="N51" s="87">
        <f ca="1">IF(N50=0,0,BarriarOptionPrice(N$9,N$6,戦略の決定!$F$52*OFFSET($G$3,MATCH($J51,$B$4:$B$656,0),0)/OFFSET($G$3,MATCH($J$12,$B$4:$B$656,0),0),($J$64-$J51)/(52*7),N$7,N$8,戦略の決定!$E$13:$E$18)*N$5)</f>
        <v>0</v>
      </c>
      <c r="O51" s="87">
        <f ca="1">IF(O50=0,0,BarriarOptionPrice(O$9,O$6,戦略の決定!$F$53*OFFSET($H$3,MATCH($J51,$B$4:$B$656,0),0)/OFFSET($H$3,MATCH($J$12,$B$4:$B$656,0),0),($J$64-$J51)/(52*7),O$7,O$8,戦略の決定!$F$13:$F$18)*O$5)</f>
        <v>0</v>
      </c>
      <c r="P51" s="44">
        <f ca="1">IF(P50=0,0,BarriarOptionPrice(P$9,P$6,戦略の決定!$F$53*OFFSET($H$3,MATCH($J51,$B$4:$B$656,0),0)/OFFSET($H$3,MATCH($J$12,$B$4:$B$656,0),0),($J$64-$J51)/(52*7),P$7,P$8,戦略の決定!$F$13:$F$18)*P$5)</f>
        <v>0</v>
      </c>
      <c r="S51" s="57">
        <f t="shared" si="4"/>
        <v>252</v>
      </c>
      <c r="T51" s="87" t="e">
        <f ca="1">戦略の決定!$R$10*OFFSET($E$3,MATCH(T$11+$S51,$B$4:$B$656,0),$Z$3)/OFFSET($E$3,MATCH(T$11,$B$4:$B$656,0),$Z$3)</f>
        <v>#VALUE!</v>
      </c>
      <c r="U51" s="87" t="e">
        <f ca="1">戦略の決定!$R$10*OFFSET($E$3,MATCH(U$11+$S51,$B$4:$B$656,0),$Z$3)/OFFSET($E$3,MATCH(U$11,$B$4:$B$656,0),$Z$3)</f>
        <v>#VALUE!</v>
      </c>
      <c r="V51" s="87" t="e">
        <f ca="1">戦略の決定!$R$10*OFFSET($E$3,MATCH(V$11+$S51,$B$4:$B$656,0),$Z$3)/OFFSET($E$3,MATCH(V$11,$B$4:$B$656,0),$Z$3)</f>
        <v>#VALUE!</v>
      </c>
      <c r="W51" s="87" t="e">
        <f ca="1">戦略の決定!$R$10*OFFSET($E$3,MATCH(W$11+$S51,$B$4:$B$656,0),$Z$3)/OFFSET($E$3,MATCH(W$11,$B$4:$B$656,0),$Z$3)</f>
        <v>#VALUE!</v>
      </c>
      <c r="X51" s="87" t="e">
        <f ca="1">戦略の決定!$R$10*OFFSET($E$3,MATCH(X$11+$S51,$B$4:$B$656,0),$Z$3)/OFFSET($E$3,MATCH(X$11,$B$4:$B$656,0),$Z$3)</f>
        <v>#VALUE!</v>
      </c>
      <c r="Y51" s="87" t="e">
        <f ca="1">戦略の決定!$R$10*OFFSET($E$3,MATCH(Y$11+$S51,$B$4:$B$656,0),$Z$3)/OFFSET($E$3,MATCH(Y$11,$B$4:$B$656,0),$Z$3)</f>
        <v>#VALUE!</v>
      </c>
      <c r="Z51" s="87" t="e">
        <f ca="1">戦略の決定!$R$10*OFFSET($E$3,MATCH(Z$11+$S51,$B$4:$B$656,0),$Z$3)/OFFSET($E$3,MATCH(Z$11,$B$4:$B$656,0),$Z$3)</f>
        <v>#VALUE!</v>
      </c>
      <c r="AA51" s="87" t="e">
        <f ca="1">戦略の決定!$R$10*OFFSET($E$3,MATCH(AA$11+$S51,$B$4:$B$656,0),$Z$3)/OFFSET($E$3,MATCH(AA$11,$B$4:$B$656,0),$Z$3)</f>
        <v>#VALUE!</v>
      </c>
      <c r="AB51" s="87" t="e">
        <f ca="1">戦略の決定!$R$10*OFFSET($E$3,MATCH(AB$11+$S51,$B$4:$B$656,0),$Z$3)/OFFSET($E$3,MATCH(AB$11,$B$4:$B$656,0),$Z$3)</f>
        <v>#VALUE!</v>
      </c>
      <c r="AC51" s="44" t="e">
        <f ca="1">戦略の決定!$R$10*OFFSET($E$3,MATCH(AC$11+$S51,$B$4:$B$656,0),$Z$3)/OFFSET($E$3,MATCH(AC$11,$B$4:$B$656,0),$Z$3)</f>
        <v>#VALUE!</v>
      </c>
      <c r="AE51" s="57">
        <f t="shared" si="5"/>
        <v>252</v>
      </c>
      <c r="AF51" s="87" t="e">
        <f ca="1">BarriarOptionPrice($T$9,$T$6,T51,($AE$67-$AE51)/(52*7),$T$7,$T$8,$AC$4:$AC$9)*$T$5</f>
        <v>#VALUE!</v>
      </c>
      <c r="AG51" s="87" t="e">
        <f ca="1">BarriarOptionPrice($T$9,$T$6,U51,($AE$67-$AE51)/(52*7),$T$7,$T$8,$AC$4:$AC$9)*$T$5</f>
        <v>#VALUE!</v>
      </c>
      <c r="AH51" s="87" t="e">
        <f ca="1">BarriarOptionPrice($T$9,$T$6,V51,($AE$67-$AE51)/(52*7),$T$7,$T$8,$AC$4:$AC$9)*$T$5</f>
        <v>#VALUE!</v>
      </c>
      <c r="AI51" s="87" t="e">
        <f ca="1">BarriarOptionPrice($T$9,$T$6,W51,($AE$67-$AE51)/(52*7),$T$7,$T$8,$AC$4:$AC$9)*$T$5</f>
        <v>#VALUE!</v>
      </c>
      <c r="AJ51" s="87" t="e">
        <f ca="1">BarriarOptionPrice($T$9,$T$6,X51,($AE$67-$AE51)/(52*7),$T$7,$T$8,$AC$4:$AC$9)*$T$5</f>
        <v>#VALUE!</v>
      </c>
      <c r="AK51" s="87" t="e">
        <f ca="1">BarriarOptionPrice($T$9,$T$6,Y51,($AE$67-$AE51)/(52*7),$T$7,$T$8,$AC$4:$AC$9)*$T$5</f>
        <v>#VALUE!</v>
      </c>
      <c r="AL51" s="87" t="e">
        <f ca="1">BarriarOptionPrice($T$9,$T$6,Z51,($AE$67-$AE51)/(52*7),$T$7,$T$8,$AC$4:$AC$9)*$T$5</f>
        <v>#VALUE!</v>
      </c>
      <c r="AM51" s="87" t="e">
        <f ca="1">BarriarOptionPrice($T$9,$T$6,AA51,($AE$67-$AE51)/(52*7),$T$7,$T$8,$AC$4:$AC$9)*$T$5</f>
        <v>#VALUE!</v>
      </c>
      <c r="AN51" s="87" t="e">
        <f ca="1">BarriarOptionPrice($T$9,$T$6,AB51,($AE$67-$AE51)/(52*7),$T$7,$T$8,$AC$4:$AC$9)*$T$5</f>
        <v>#VALUE!</v>
      </c>
      <c r="AO51" s="44" t="e">
        <f ca="1">BarriarOptionPrice($T$9,$T$6,AC51,($AE$67-$AE51)/(52*7),$T$7,$T$8,$AC$4:$AC$9)*$T$5</f>
        <v>#VALUE!</v>
      </c>
      <c r="AQ51" s="57">
        <f t="shared" si="6"/>
        <v>252</v>
      </c>
      <c r="AR51" s="87" t="e">
        <f ca="1">BarriarOptionPrice($U$9,$U$6,T51,($AQ$67-$AQ51)/(52*7),$U$7,$U$8,$AC$4:$AC$9)*$U$5</f>
        <v>#VALUE!</v>
      </c>
      <c r="AS51" s="87" t="e">
        <f ca="1">BarriarOptionPrice($U$9,$U$6,U51,($AQ$67-$AQ51)/(52*7),$U$7,$U$8,$AC$4:$AC$9)*$U$5</f>
        <v>#VALUE!</v>
      </c>
      <c r="AT51" s="87" t="e">
        <f ca="1">BarriarOptionPrice($U$9,$U$6,V51,($AQ$67-$AQ51)/(52*7),$U$7,$U$8,$AC$4:$AC$9)*$U$5</f>
        <v>#VALUE!</v>
      </c>
      <c r="AU51" s="87" t="e">
        <f ca="1">BarriarOptionPrice($U$9,$U$6,W51,($AQ$67-$AQ51)/(52*7),$U$7,$U$8,$AC$4:$AC$9)*$U$5</f>
        <v>#VALUE!</v>
      </c>
      <c r="AV51" s="87" t="e">
        <f ca="1">BarriarOptionPrice($U$9,$U$6,X51,($AQ$67-$AQ51)/(52*7),$U$7,$U$8,$AC$4:$AC$9)*$U$5</f>
        <v>#VALUE!</v>
      </c>
      <c r="AW51" s="87" t="e">
        <f ca="1">BarriarOptionPrice($U$9,$U$6,Y51,($AQ$67-$AQ51)/(52*7),$U$7,$U$8,$AC$4:$AC$9)*$U$5</f>
        <v>#VALUE!</v>
      </c>
      <c r="AX51" s="87" t="e">
        <f ca="1">BarriarOptionPrice($U$9,$U$6,Z51,($AQ$67-$AQ51)/(52*7),$U$7,$U$8,$AC$4:$AC$9)*$U$5</f>
        <v>#VALUE!</v>
      </c>
      <c r="AY51" s="87" t="e">
        <f ca="1">BarriarOptionPrice($U$9,$U$6,AA51,($AQ$67-$AQ51)/(52*7),$U$7,$U$8,$AC$4:$AC$9)*$U$5</f>
        <v>#VALUE!</v>
      </c>
      <c r="AZ51" s="87" t="e">
        <f ca="1">BarriarOptionPrice($U$9,$U$6,AB51,($AQ$67-$AQ51)/(52*7),$U$7,$U$8,$AC$4:$AC$9)*$U$5</f>
        <v>#VALUE!</v>
      </c>
      <c r="BA51" s="44" t="e">
        <f ca="1">BarriarOptionPrice($U$9,$U$6,AC51,($AQ$67-$AQ51)/(52*7),$U$7,$U$8,$AC$4:$AC$9)*$U$5</f>
        <v>#VALUE!</v>
      </c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</row>
    <row r="52" spans="2:77" x14ac:dyDescent="0.15">
      <c r="B52" s="16">
        <v>40179</v>
      </c>
      <c r="C52" s="29">
        <f t="array" ref="C52">SUMPRODUCT('ファンドデータ(変更不要)'!K52:P52,TRANSPOSE(戦略の決定!$D$13:$D$18))</f>
        <v>8.6912956540891161E-3</v>
      </c>
      <c r="D52" s="29">
        <f t="array" ref="D52">SUMPRODUCT('ファンドデータ(変更不要)'!K52:P52,TRANSPOSE(戦略の決定!$E$13:$E$18))</f>
        <v>1.4694721841316875E-2</v>
      </c>
      <c r="E52" s="29">
        <f t="array" ref="E52">SUMPRODUCT('ファンドデータ(変更不要)'!K52:P52,TRANSPOSE(戦略の決定!$F$13:$F$18))</f>
        <v>1.4694721841316875E-2</v>
      </c>
      <c r="F52" s="183">
        <f t="shared" si="7"/>
        <v>1.1265492085302231</v>
      </c>
      <c r="G52" s="183">
        <f t="shared" si="8"/>
        <v>1.1453492882760599</v>
      </c>
      <c r="H52" s="75">
        <f t="shared" si="9"/>
        <v>1.1453492882760599</v>
      </c>
      <c r="J52" s="46">
        <f t="shared" si="10"/>
        <v>43777</v>
      </c>
      <c r="K52" s="87">
        <f ca="1">IF(K51=0,0,BarriarOptionPrice(K$9,K$6,戦略の決定!$F$51*OFFSET($F$3,MATCH($J52,$B$4:$B$656,0),0)/OFFSET($F$3,MATCH($J$12,$B$4:$B$656,0),0),($J$64-$J52)/(52*7),K$7,K$8,戦略の決定!$D$13:$D$18)*K$5)</f>
        <v>0</v>
      </c>
      <c r="L52" s="87">
        <f ca="1">IF(L51=0,0,BarriarOptionPrice(L$9,L$6,戦略の決定!$F$51*OFFSET($F$3,MATCH($J52,$B$4:$B$656,0),0)/OFFSET($F$3,MATCH($J$12,$B$4:$B$656,0),0),($J$64-$J52)/(52*7),L$7,L$8,戦略の決定!$D$13:$D$18)*L$5)</f>
        <v>0</v>
      </c>
      <c r="M52" s="87">
        <f ca="1">IF(M51=0,0,BarriarOptionPrice(M$9,M$6,戦略の決定!$F$52*OFFSET($G$3,MATCH($J52,$B$4:$B$656,0),0)/OFFSET($G$3,MATCH($J$12,$B$4:$B$656,0),0),($J$64-$J52)/(52*7),M$7,M$8,戦略の決定!$E$13:$E$18)*M$5)</f>
        <v>19.503926599783014</v>
      </c>
      <c r="N52" s="87">
        <f ca="1">IF(N51=0,0,BarriarOptionPrice(N$9,N$6,戦略の決定!$F$52*OFFSET($G$3,MATCH($J52,$B$4:$B$656,0),0)/OFFSET($G$3,MATCH($J$12,$B$4:$B$656,0),0),($J$64-$J52)/(52*7),N$7,N$8,戦略の決定!$E$13:$E$18)*N$5)</f>
        <v>0</v>
      </c>
      <c r="O52" s="87">
        <f ca="1">IF(O51=0,0,BarriarOptionPrice(O$9,O$6,戦略の決定!$F$53*OFFSET($H$3,MATCH($J52,$B$4:$B$656,0),0)/OFFSET($H$3,MATCH($J$12,$B$4:$B$656,0),0),($J$64-$J52)/(52*7),O$7,O$8,戦略の決定!$F$13:$F$18)*O$5)</f>
        <v>0</v>
      </c>
      <c r="P52" s="44">
        <f ca="1">IF(P51=0,0,BarriarOptionPrice(P$9,P$6,戦略の決定!$F$53*OFFSET($H$3,MATCH($J52,$B$4:$B$656,0),0)/OFFSET($H$3,MATCH($J$12,$B$4:$B$656,0),0),($J$64-$J52)/(52*7),P$7,P$8,戦略の決定!$F$13:$F$18)*P$5)</f>
        <v>0</v>
      </c>
      <c r="S52" s="57">
        <f t="shared" si="4"/>
        <v>259</v>
      </c>
      <c r="T52" s="87" t="e">
        <f ca="1">戦略の決定!$R$10*OFFSET($E$3,MATCH(T$11+$S52,$B$4:$B$656,0),$Z$3)/OFFSET($E$3,MATCH(T$11,$B$4:$B$656,0),$Z$3)</f>
        <v>#VALUE!</v>
      </c>
      <c r="U52" s="87" t="e">
        <f ca="1">戦略の決定!$R$10*OFFSET($E$3,MATCH(U$11+$S52,$B$4:$B$656,0),$Z$3)/OFFSET($E$3,MATCH(U$11,$B$4:$B$656,0),$Z$3)</f>
        <v>#VALUE!</v>
      </c>
      <c r="V52" s="87" t="e">
        <f ca="1">戦略の決定!$R$10*OFFSET($E$3,MATCH(V$11+$S52,$B$4:$B$656,0),$Z$3)/OFFSET($E$3,MATCH(V$11,$B$4:$B$656,0),$Z$3)</f>
        <v>#VALUE!</v>
      </c>
      <c r="W52" s="87" t="e">
        <f ca="1">戦略の決定!$R$10*OFFSET($E$3,MATCH(W$11+$S52,$B$4:$B$656,0),$Z$3)/OFFSET($E$3,MATCH(W$11,$B$4:$B$656,0),$Z$3)</f>
        <v>#VALUE!</v>
      </c>
      <c r="X52" s="87" t="e">
        <f ca="1">戦略の決定!$R$10*OFFSET($E$3,MATCH(X$11+$S52,$B$4:$B$656,0),$Z$3)/OFFSET($E$3,MATCH(X$11,$B$4:$B$656,0),$Z$3)</f>
        <v>#VALUE!</v>
      </c>
      <c r="Y52" s="87" t="e">
        <f ca="1">戦略の決定!$R$10*OFFSET($E$3,MATCH(Y$11+$S52,$B$4:$B$656,0),$Z$3)/OFFSET($E$3,MATCH(Y$11,$B$4:$B$656,0),$Z$3)</f>
        <v>#VALUE!</v>
      </c>
      <c r="Z52" s="87" t="e">
        <f ca="1">戦略の決定!$R$10*OFFSET($E$3,MATCH(Z$11+$S52,$B$4:$B$656,0),$Z$3)/OFFSET($E$3,MATCH(Z$11,$B$4:$B$656,0),$Z$3)</f>
        <v>#VALUE!</v>
      </c>
      <c r="AA52" s="87" t="e">
        <f ca="1">戦略の決定!$R$10*OFFSET($E$3,MATCH(AA$11+$S52,$B$4:$B$656,0),$Z$3)/OFFSET($E$3,MATCH(AA$11,$B$4:$B$656,0),$Z$3)</f>
        <v>#VALUE!</v>
      </c>
      <c r="AB52" s="87" t="e">
        <f ca="1">戦略の決定!$R$10*OFFSET($E$3,MATCH(AB$11+$S52,$B$4:$B$656,0),$Z$3)/OFFSET($E$3,MATCH(AB$11,$B$4:$B$656,0),$Z$3)</f>
        <v>#VALUE!</v>
      </c>
      <c r="AC52" s="44" t="e">
        <f ca="1">戦略の決定!$R$10*OFFSET($E$3,MATCH(AC$11+$S52,$B$4:$B$656,0),$Z$3)/OFFSET($E$3,MATCH(AC$11,$B$4:$B$656,0),$Z$3)</f>
        <v>#VALUE!</v>
      </c>
      <c r="AE52" s="57">
        <f t="shared" si="5"/>
        <v>259</v>
      </c>
      <c r="AF52" s="87" t="e">
        <f ca="1">BarriarOptionPrice($T$9,$T$6,T52,($AE$67-$AE52)/(52*7),$T$7,$T$8,$AC$4:$AC$9)*$T$5</f>
        <v>#VALUE!</v>
      </c>
      <c r="AG52" s="87" t="e">
        <f ca="1">BarriarOptionPrice($T$9,$T$6,U52,($AE$67-$AE52)/(52*7),$T$7,$T$8,$AC$4:$AC$9)*$T$5</f>
        <v>#VALUE!</v>
      </c>
      <c r="AH52" s="87" t="e">
        <f ca="1">BarriarOptionPrice($T$9,$T$6,V52,($AE$67-$AE52)/(52*7),$T$7,$T$8,$AC$4:$AC$9)*$T$5</f>
        <v>#VALUE!</v>
      </c>
      <c r="AI52" s="87" t="e">
        <f ca="1">BarriarOptionPrice($T$9,$T$6,W52,($AE$67-$AE52)/(52*7),$T$7,$T$8,$AC$4:$AC$9)*$T$5</f>
        <v>#VALUE!</v>
      </c>
      <c r="AJ52" s="87" t="e">
        <f ca="1">BarriarOptionPrice($T$9,$T$6,X52,($AE$67-$AE52)/(52*7),$T$7,$T$8,$AC$4:$AC$9)*$T$5</f>
        <v>#VALUE!</v>
      </c>
      <c r="AK52" s="87" t="e">
        <f ca="1">BarriarOptionPrice($T$9,$T$6,Y52,($AE$67-$AE52)/(52*7),$T$7,$T$8,$AC$4:$AC$9)*$T$5</f>
        <v>#VALUE!</v>
      </c>
      <c r="AL52" s="87" t="e">
        <f ca="1">BarriarOptionPrice($T$9,$T$6,Z52,($AE$67-$AE52)/(52*7),$T$7,$T$8,$AC$4:$AC$9)*$T$5</f>
        <v>#VALUE!</v>
      </c>
      <c r="AM52" s="87" t="e">
        <f ca="1">BarriarOptionPrice($T$9,$T$6,AA52,($AE$67-$AE52)/(52*7),$T$7,$T$8,$AC$4:$AC$9)*$T$5</f>
        <v>#VALUE!</v>
      </c>
      <c r="AN52" s="87" t="e">
        <f ca="1">BarriarOptionPrice($T$9,$T$6,AB52,($AE$67-$AE52)/(52*7),$T$7,$T$8,$AC$4:$AC$9)*$T$5</f>
        <v>#VALUE!</v>
      </c>
      <c r="AO52" s="44" t="e">
        <f ca="1">BarriarOptionPrice($T$9,$T$6,AC52,($AE$67-$AE52)/(52*7),$T$7,$T$8,$AC$4:$AC$9)*$T$5</f>
        <v>#VALUE!</v>
      </c>
      <c r="AQ52" s="57">
        <f t="shared" si="6"/>
        <v>259</v>
      </c>
      <c r="AR52" s="87" t="e">
        <f ca="1">BarriarOptionPrice($U$9,$U$6,T52,($AQ$67-$AQ52)/(52*7),$U$7,$U$8,$AC$4:$AC$9)*$U$5</f>
        <v>#VALUE!</v>
      </c>
      <c r="AS52" s="87" t="e">
        <f ca="1">BarriarOptionPrice($U$9,$U$6,U52,($AQ$67-$AQ52)/(52*7),$U$7,$U$8,$AC$4:$AC$9)*$U$5</f>
        <v>#VALUE!</v>
      </c>
      <c r="AT52" s="87" t="e">
        <f ca="1">BarriarOptionPrice($U$9,$U$6,V52,($AQ$67-$AQ52)/(52*7),$U$7,$U$8,$AC$4:$AC$9)*$U$5</f>
        <v>#VALUE!</v>
      </c>
      <c r="AU52" s="87" t="e">
        <f ca="1">BarriarOptionPrice($U$9,$U$6,W52,($AQ$67-$AQ52)/(52*7),$U$7,$U$8,$AC$4:$AC$9)*$U$5</f>
        <v>#VALUE!</v>
      </c>
      <c r="AV52" s="87" t="e">
        <f ca="1">BarriarOptionPrice($U$9,$U$6,X52,($AQ$67-$AQ52)/(52*7),$U$7,$U$8,$AC$4:$AC$9)*$U$5</f>
        <v>#VALUE!</v>
      </c>
      <c r="AW52" s="87" t="e">
        <f ca="1">BarriarOptionPrice($U$9,$U$6,Y52,($AQ$67-$AQ52)/(52*7),$U$7,$U$8,$AC$4:$AC$9)*$U$5</f>
        <v>#VALUE!</v>
      </c>
      <c r="AX52" s="87" t="e">
        <f ca="1">BarriarOptionPrice($U$9,$U$6,Z52,($AQ$67-$AQ52)/(52*7),$U$7,$U$8,$AC$4:$AC$9)*$U$5</f>
        <v>#VALUE!</v>
      </c>
      <c r="AY52" s="87" t="e">
        <f ca="1">BarriarOptionPrice($U$9,$U$6,AA52,($AQ$67-$AQ52)/(52*7),$U$7,$U$8,$AC$4:$AC$9)*$U$5</f>
        <v>#VALUE!</v>
      </c>
      <c r="AZ52" s="87" t="e">
        <f ca="1">BarriarOptionPrice($U$9,$U$6,AB52,($AQ$67-$AQ52)/(52*7),$U$7,$U$8,$AC$4:$AC$9)*$U$5</f>
        <v>#VALUE!</v>
      </c>
      <c r="BA52" s="44" t="e">
        <f ca="1">BarriarOptionPrice($U$9,$U$6,AC52,($AQ$67-$AQ52)/(52*7),$U$7,$U$8,$AC$4:$AC$9)*$U$5</f>
        <v>#VALUE!</v>
      </c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</row>
    <row r="53" spans="2:77" x14ac:dyDescent="0.15">
      <c r="B53" s="16">
        <v>40186</v>
      </c>
      <c r="C53" s="29">
        <f t="array" ref="C53">SUMPRODUCT('ファンドデータ(変更不要)'!K53:P53,TRANSPOSE(戦略の決定!$D$13:$D$18))</f>
        <v>7.9945295065473702E-3</v>
      </c>
      <c r="D53" s="29">
        <f t="array" ref="D53">SUMPRODUCT('ファンドデータ(変更不要)'!K53:P53,TRANSPOSE(戦略の決定!$E$13:$E$18))</f>
        <v>8.9839780887792479E-3</v>
      </c>
      <c r="E53" s="29">
        <f t="array" ref="E53">SUMPRODUCT('ファンドデータ(変更不要)'!K53:P53,TRANSPOSE(戦略の決定!$F$13:$F$18))</f>
        <v>8.9839780887792479E-3</v>
      </c>
      <c r="F53" s="183">
        <f t="shared" si="7"/>
        <v>1.1355554394183955</v>
      </c>
      <c r="G53" s="183">
        <f t="shared" si="8"/>
        <v>1.1556390811859309</v>
      </c>
      <c r="H53" s="75">
        <f t="shared" si="9"/>
        <v>1.1556390811859309</v>
      </c>
      <c r="J53" s="46">
        <f t="shared" si="10"/>
        <v>43784</v>
      </c>
      <c r="K53" s="87">
        <f ca="1">IF(K52=0,0,BarriarOptionPrice(K$9,K$6,戦略の決定!$F$51*OFFSET($F$3,MATCH($J53,$B$4:$B$656,0),0)/OFFSET($F$3,MATCH($J$12,$B$4:$B$656,0),0),($J$64-$J53)/(52*7),K$7,K$8,戦略の決定!$D$13:$D$18)*K$5)</f>
        <v>0</v>
      </c>
      <c r="L53" s="87">
        <f ca="1">IF(L52=0,0,BarriarOptionPrice(L$9,L$6,戦略の決定!$F$51*OFFSET($F$3,MATCH($J53,$B$4:$B$656,0),0)/OFFSET($F$3,MATCH($J$12,$B$4:$B$656,0),0),($J$64-$J53)/(52*7),L$7,L$8,戦略の決定!$D$13:$D$18)*L$5)</f>
        <v>0</v>
      </c>
      <c r="M53" s="87">
        <f ca="1">IF(M52=0,0,BarriarOptionPrice(M$9,M$6,戦略の決定!$F$52*OFFSET($G$3,MATCH($J53,$B$4:$B$656,0),0)/OFFSET($G$3,MATCH($J$12,$B$4:$B$656,0),0),($J$64-$J53)/(52*7),M$7,M$8,戦略の決定!$E$13:$E$18)*M$5)</f>
        <v>21.61827539915188</v>
      </c>
      <c r="N53" s="87">
        <f ca="1">IF(N52=0,0,BarriarOptionPrice(N$9,N$6,戦略の決定!$F$52*OFFSET($G$3,MATCH($J53,$B$4:$B$656,0),0)/OFFSET($G$3,MATCH($J$12,$B$4:$B$656,0),0),($J$64-$J53)/(52*7),N$7,N$8,戦略の決定!$E$13:$E$18)*N$5)</f>
        <v>0</v>
      </c>
      <c r="O53" s="87">
        <f ca="1">IF(O52=0,0,BarriarOptionPrice(O$9,O$6,戦略の決定!$F$53*OFFSET($H$3,MATCH($J53,$B$4:$B$656,0),0)/OFFSET($H$3,MATCH($J$12,$B$4:$B$656,0),0),($J$64-$J53)/(52*7),O$7,O$8,戦略の決定!$F$13:$F$18)*O$5)</f>
        <v>0</v>
      </c>
      <c r="P53" s="44">
        <f ca="1">IF(P52=0,0,BarriarOptionPrice(P$9,P$6,戦略の決定!$F$53*OFFSET($H$3,MATCH($J53,$B$4:$B$656,0),0)/OFFSET($H$3,MATCH($J$12,$B$4:$B$656,0),0),($J$64-$J53)/(52*7),P$7,P$8,戦略の決定!$F$13:$F$18)*P$5)</f>
        <v>0</v>
      </c>
      <c r="S53" s="57">
        <f t="shared" si="4"/>
        <v>266</v>
      </c>
      <c r="T53" s="87" t="e">
        <f ca="1">戦略の決定!$R$10*OFFSET($E$3,MATCH(T$11+$S53,$B$4:$B$656,0),$Z$3)/OFFSET($E$3,MATCH(T$11,$B$4:$B$656,0),$Z$3)</f>
        <v>#VALUE!</v>
      </c>
      <c r="U53" s="87" t="e">
        <f ca="1">戦略の決定!$R$10*OFFSET($E$3,MATCH(U$11+$S53,$B$4:$B$656,0),$Z$3)/OFFSET($E$3,MATCH(U$11,$B$4:$B$656,0),$Z$3)</f>
        <v>#VALUE!</v>
      </c>
      <c r="V53" s="87" t="e">
        <f ca="1">戦略の決定!$R$10*OFFSET($E$3,MATCH(V$11+$S53,$B$4:$B$656,0),$Z$3)/OFFSET($E$3,MATCH(V$11,$B$4:$B$656,0),$Z$3)</f>
        <v>#VALUE!</v>
      </c>
      <c r="W53" s="87" t="e">
        <f ca="1">戦略の決定!$R$10*OFFSET($E$3,MATCH(W$11+$S53,$B$4:$B$656,0),$Z$3)/OFFSET($E$3,MATCH(W$11,$B$4:$B$656,0),$Z$3)</f>
        <v>#VALUE!</v>
      </c>
      <c r="X53" s="87" t="e">
        <f ca="1">戦略の決定!$R$10*OFFSET($E$3,MATCH(X$11+$S53,$B$4:$B$656,0),$Z$3)/OFFSET($E$3,MATCH(X$11,$B$4:$B$656,0),$Z$3)</f>
        <v>#VALUE!</v>
      </c>
      <c r="Y53" s="87" t="e">
        <f ca="1">戦略の決定!$R$10*OFFSET($E$3,MATCH(Y$11+$S53,$B$4:$B$656,0),$Z$3)/OFFSET($E$3,MATCH(Y$11,$B$4:$B$656,0),$Z$3)</f>
        <v>#VALUE!</v>
      </c>
      <c r="Z53" s="87" t="e">
        <f ca="1">戦略の決定!$R$10*OFFSET($E$3,MATCH(Z$11+$S53,$B$4:$B$656,0),$Z$3)/OFFSET($E$3,MATCH(Z$11,$B$4:$B$656,0),$Z$3)</f>
        <v>#VALUE!</v>
      </c>
      <c r="AA53" s="87" t="e">
        <f ca="1">戦略の決定!$R$10*OFFSET($E$3,MATCH(AA$11+$S53,$B$4:$B$656,0),$Z$3)/OFFSET($E$3,MATCH(AA$11,$B$4:$B$656,0),$Z$3)</f>
        <v>#VALUE!</v>
      </c>
      <c r="AB53" s="87" t="e">
        <f ca="1">戦略の決定!$R$10*OFFSET($E$3,MATCH(AB$11+$S53,$B$4:$B$656,0),$Z$3)/OFFSET($E$3,MATCH(AB$11,$B$4:$B$656,0),$Z$3)</f>
        <v>#VALUE!</v>
      </c>
      <c r="AC53" s="44" t="e">
        <f ca="1">戦略の決定!$R$10*OFFSET($E$3,MATCH(AC$11+$S53,$B$4:$B$656,0),$Z$3)/OFFSET($E$3,MATCH(AC$11,$B$4:$B$656,0),$Z$3)</f>
        <v>#VALUE!</v>
      </c>
      <c r="AE53" s="57">
        <f t="shared" si="5"/>
        <v>266</v>
      </c>
      <c r="AF53" s="87" t="e">
        <f ca="1">BarriarOptionPrice($T$9,$T$6,T53,($AE$67-$AE53)/(52*7),$T$7,$T$8,$AC$4:$AC$9)*$T$5</f>
        <v>#VALUE!</v>
      </c>
      <c r="AG53" s="87" t="e">
        <f ca="1">BarriarOptionPrice($T$9,$T$6,U53,($AE$67-$AE53)/(52*7),$T$7,$T$8,$AC$4:$AC$9)*$T$5</f>
        <v>#VALUE!</v>
      </c>
      <c r="AH53" s="87" t="e">
        <f ca="1">BarriarOptionPrice($T$9,$T$6,V53,($AE$67-$AE53)/(52*7),$T$7,$T$8,$AC$4:$AC$9)*$T$5</f>
        <v>#VALUE!</v>
      </c>
      <c r="AI53" s="87" t="e">
        <f ca="1">BarriarOptionPrice($T$9,$T$6,W53,($AE$67-$AE53)/(52*7),$T$7,$T$8,$AC$4:$AC$9)*$T$5</f>
        <v>#VALUE!</v>
      </c>
      <c r="AJ53" s="87" t="e">
        <f ca="1">BarriarOptionPrice($T$9,$T$6,X53,($AE$67-$AE53)/(52*7),$T$7,$T$8,$AC$4:$AC$9)*$T$5</f>
        <v>#VALUE!</v>
      </c>
      <c r="AK53" s="87" t="e">
        <f ca="1">BarriarOptionPrice($T$9,$T$6,Y53,($AE$67-$AE53)/(52*7),$T$7,$T$8,$AC$4:$AC$9)*$T$5</f>
        <v>#VALUE!</v>
      </c>
      <c r="AL53" s="87" t="e">
        <f ca="1">BarriarOptionPrice($T$9,$T$6,Z53,($AE$67-$AE53)/(52*7),$T$7,$T$8,$AC$4:$AC$9)*$T$5</f>
        <v>#VALUE!</v>
      </c>
      <c r="AM53" s="87" t="e">
        <f ca="1">BarriarOptionPrice($T$9,$T$6,AA53,($AE$67-$AE53)/(52*7),$T$7,$T$8,$AC$4:$AC$9)*$T$5</f>
        <v>#VALUE!</v>
      </c>
      <c r="AN53" s="87" t="e">
        <f ca="1">BarriarOptionPrice($T$9,$T$6,AB53,($AE$67-$AE53)/(52*7),$T$7,$T$8,$AC$4:$AC$9)*$T$5</f>
        <v>#VALUE!</v>
      </c>
      <c r="AO53" s="44" t="e">
        <f ca="1">BarriarOptionPrice($T$9,$T$6,AC53,($AE$67-$AE53)/(52*7),$T$7,$T$8,$AC$4:$AC$9)*$T$5</f>
        <v>#VALUE!</v>
      </c>
      <c r="AQ53" s="57">
        <f t="shared" si="6"/>
        <v>266</v>
      </c>
      <c r="AR53" s="87" t="e">
        <f ca="1">BarriarOptionPrice($U$9,$U$6,T53,($AQ$67-$AQ53)/(52*7),$U$7,$U$8,$AC$4:$AC$9)*$U$5</f>
        <v>#VALUE!</v>
      </c>
      <c r="AS53" s="87" t="e">
        <f ca="1">BarriarOptionPrice($U$9,$U$6,U53,($AQ$67-$AQ53)/(52*7),$U$7,$U$8,$AC$4:$AC$9)*$U$5</f>
        <v>#VALUE!</v>
      </c>
      <c r="AT53" s="87" t="e">
        <f ca="1">BarriarOptionPrice($U$9,$U$6,V53,($AQ$67-$AQ53)/(52*7),$U$7,$U$8,$AC$4:$AC$9)*$U$5</f>
        <v>#VALUE!</v>
      </c>
      <c r="AU53" s="87" t="e">
        <f ca="1">BarriarOptionPrice($U$9,$U$6,W53,($AQ$67-$AQ53)/(52*7),$U$7,$U$8,$AC$4:$AC$9)*$U$5</f>
        <v>#VALUE!</v>
      </c>
      <c r="AV53" s="87" t="e">
        <f ca="1">BarriarOptionPrice($U$9,$U$6,X53,($AQ$67-$AQ53)/(52*7),$U$7,$U$8,$AC$4:$AC$9)*$U$5</f>
        <v>#VALUE!</v>
      </c>
      <c r="AW53" s="87" t="e">
        <f ca="1">BarriarOptionPrice($U$9,$U$6,Y53,($AQ$67-$AQ53)/(52*7),$U$7,$U$8,$AC$4:$AC$9)*$U$5</f>
        <v>#VALUE!</v>
      </c>
      <c r="AX53" s="87" t="e">
        <f ca="1">BarriarOptionPrice($U$9,$U$6,Z53,($AQ$67-$AQ53)/(52*7),$U$7,$U$8,$AC$4:$AC$9)*$U$5</f>
        <v>#VALUE!</v>
      </c>
      <c r="AY53" s="87" t="e">
        <f ca="1">BarriarOptionPrice($U$9,$U$6,AA53,($AQ$67-$AQ53)/(52*7),$U$7,$U$8,$AC$4:$AC$9)*$U$5</f>
        <v>#VALUE!</v>
      </c>
      <c r="AZ53" s="87" t="e">
        <f ca="1">BarriarOptionPrice($U$9,$U$6,AB53,($AQ$67-$AQ53)/(52*7),$U$7,$U$8,$AC$4:$AC$9)*$U$5</f>
        <v>#VALUE!</v>
      </c>
      <c r="BA53" s="44" t="e">
        <f ca="1">BarriarOptionPrice($U$9,$U$6,AC53,($AQ$67-$AQ53)/(52*7),$U$7,$U$8,$AC$4:$AC$9)*$U$5</f>
        <v>#VALUE!</v>
      </c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</row>
    <row r="54" spans="2:77" x14ac:dyDescent="0.15">
      <c r="B54" s="16">
        <v>40193</v>
      </c>
      <c r="C54" s="29">
        <f t="array" ref="C54">SUMPRODUCT('ファンドデータ(変更不要)'!K54:P54,TRANSPOSE(戦略の決定!$D$13:$D$18))</f>
        <v>2.3374634563953357E-3</v>
      </c>
      <c r="D54" s="29">
        <f t="array" ref="D54">SUMPRODUCT('ファンドデータ(変更不要)'!K54:P54,TRANSPOSE(戦略の決定!$E$13:$E$18))</f>
        <v>3.3764718055391009E-3</v>
      </c>
      <c r="E54" s="29">
        <f t="array" ref="E54">SUMPRODUCT('ファンドデータ(変更不要)'!K54:P54,TRANSPOSE(戦略の決定!$F$13:$F$18))</f>
        <v>3.3764718055391009E-3</v>
      </c>
      <c r="F54" s="183">
        <f t="shared" si="7"/>
        <v>1.1382097587607469</v>
      </c>
      <c r="G54" s="183">
        <f t="shared" si="8"/>
        <v>1.1595410639609345</v>
      </c>
      <c r="H54" s="75">
        <f t="shared" si="9"/>
        <v>1.1595410639609345</v>
      </c>
      <c r="J54" s="46">
        <f t="shared" si="10"/>
        <v>43791</v>
      </c>
      <c r="K54" s="87">
        <f ca="1">IF(K53=0,0,BarriarOptionPrice(K$9,K$6,戦略の決定!$F$51*OFFSET($F$3,MATCH($J54,$B$4:$B$656,0),0)/OFFSET($F$3,MATCH($J$12,$B$4:$B$656,0),0),($J$64-$J54)/(52*7),K$7,K$8,戦略の決定!$D$13:$D$18)*K$5)</f>
        <v>0</v>
      </c>
      <c r="L54" s="87">
        <f ca="1">IF(L53=0,0,BarriarOptionPrice(L$9,L$6,戦略の決定!$F$51*OFFSET($F$3,MATCH($J54,$B$4:$B$656,0),0)/OFFSET($F$3,MATCH($J$12,$B$4:$B$656,0),0),($J$64-$J54)/(52*7),L$7,L$8,戦略の決定!$D$13:$D$18)*L$5)</f>
        <v>0</v>
      </c>
      <c r="M54" s="87">
        <f ca="1">IF(M53=0,0,BarriarOptionPrice(M$9,M$6,戦略の決定!$F$52*OFFSET($G$3,MATCH($J54,$B$4:$B$656,0),0)/OFFSET($G$3,MATCH($J$12,$B$4:$B$656,0),0),($J$64-$J54)/(52*7),M$7,M$8,戦略の決定!$E$13:$E$18)*M$5)</f>
        <v>15.287212438988037</v>
      </c>
      <c r="N54" s="87">
        <f ca="1">IF(N53=0,0,BarriarOptionPrice(N$9,N$6,戦略の決定!$F$52*OFFSET($G$3,MATCH($J54,$B$4:$B$656,0),0)/OFFSET($G$3,MATCH($J$12,$B$4:$B$656,0),0),($J$64-$J54)/(52*7),N$7,N$8,戦略の決定!$E$13:$E$18)*N$5)</f>
        <v>0</v>
      </c>
      <c r="O54" s="87">
        <f ca="1">IF(O53=0,0,BarriarOptionPrice(O$9,O$6,戦略の決定!$F$53*OFFSET($H$3,MATCH($J54,$B$4:$B$656,0),0)/OFFSET($H$3,MATCH($J$12,$B$4:$B$656,0),0),($J$64-$J54)/(52*7),O$7,O$8,戦略の決定!$F$13:$F$18)*O$5)</f>
        <v>0</v>
      </c>
      <c r="P54" s="44">
        <f ca="1">IF(P53=0,0,BarriarOptionPrice(P$9,P$6,戦略の決定!$F$53*OFFSET($H$3,MATCH($J54,$B$4:$B$656,0),0)/OFFSET($H$3,MATCH($J$12,$B$4:$B$656,0),0),($J$64-$J54)/(52*7),P$7,P$8,戦略の決定!$F$13:$F$18)*P$5)</f>
        <v>0</v>
      </c>
      <c r="S54" s="57">
        <f t="shared" si="4"/>
        <v>273</v>
      </c>
      <c r="T54" s="87" t="e">
        <f ca="1">戦略の決定!$R$10*OFFSET($E$3,MATCH(T$11+$S54,$B$4:$B$656,0),$Z$3)/OFFSET($E$3,MATCH(T$11,$B$4:$B$656,0),$Z$3)</f>
        <v>#VALUE!</v>
      </c>
      <c r="U54" s="87" t="e">
        <f ca="1">戦略の決定!$R$10*OFFSET($E$3,MATCH(U$11+$S54,$B$4:$B$656,0),$Z$3)/OFFSET($E$3,MATCH(U$11,$B$4:$B$656,0),$Z$3)</f>
        <v>#VALUE!</v>
      </c>
      <c r="V54" s="87" t="e">
        <f ca="1">戦略の決定!$R$10*OFFSET($E$3,MATCH(V$11+$S54,$B$4:$B$656,0),$Z$3)/OFFSET($E$3,MATCH(V$11,$B$4:$B$656,0),$Z$3)</f>
        <v>#VALUE!</v>
      </c>
      <c r="W54" s="87" t="e">
        <f ca="1">戦略の決定!$R$10*OFFSET($E$3,MATCH(W$11+$S54,$B$4:$B$656,0),$Z$3)/OFFSET($E$3,MATCH(W$11,$B$4:$B$656,0),$Z$3)</f>
        <v>#VALUE!</v>
      </c>
      <c r="X54" s="87" t="e">
        <f ca="1">戦略の決定!$R$10*OFFSET($E$3,MATCH(X$11+$S54,$B$4:$B$656,0),$Z$3)/OFFSET($E$3,MATCH(X$11,$B$4:$B$656,0),$Z$3)</f>
        <v>#VALUE!</v>
      </c>
      <c r="Y54" s="87" t="e">
        <f ca="1">戦略の決定!$R$10*OFFSET($E$3,MATCH(Y$11+$S54,$B$4:$B$656,0),$Z$3)/OFFSET($E$3,MATCH(Y$11,$B$4:$B$656,0),$Z$3)</f>
        <v>#VALUE!</v>
      </c>
      <c r="Z54" s="87" t="e">
        <f ca="1">戦略の決定!$R$10*OFFSET($E$3,MATCH(Z$11+$S54,$B$4:$B$656,0),$Z$3)/OFFSET($E$3,MATCH(Z$11,$B$4:$B$656,0),$Z$3)</f>
        <v>#VALUE!</v>
      </c>
      <c r="AA54" s="87" t="e">
        <f ca="1">戦略の決定!$R$10*OFFSET($E$3,MATCH(AA$11+$S54,$B$4:$B$656,0),$Z$3)/OFFSET($E$3,MATCH(AA$11,$B$4:$B$656,0),$Z$3)</f>
        <v>#VALUE!</v>
      </c>
      <c r="AB54" s="87" t="e">
        <f ca="1">戦略の決定!$R$10*OFFSET($E$3,MATCH(AB$11+$S54,$B$4:$B$656,0),$Z$3)/OFFSET($E$3,MATCH(AB$11,$B$4:$B$656,0),$Z$3)</f>
        <v>#VALUE!</v>
      </c>
      <c r="AC54" s="44" t="e">
        <f ca="1">戦略の決定!$R$10*OFFSET($E$3,MATCH(AC$11+$S54,$B$4:$B$656,0),$Z$3)/OFFSET($E$3,MATCH(AC$11,$B$4:$B$656,0),$Z$3)</f>
        <v>#VALUE!</v>
      </c>
      <c r="AE54" s="57">
        <f t="shared" si="5"/>
        <v>273</v>
      </c>
      <c r="AF54" s="87" t="e">
        <f ca="1">BarriarOptionPrice($T$9,$T$6,T54,($AE$67-$AE54)/(52*7),$T$7,$T$8,$AC$4:$AC$9)*$T$5</f>
        <v>#VALUE!</v>
      </c>
      <c r="AG54" s="87" t="e">
        <f ca="1">BarriarOptionPrice($T$9,$T$6,U54,($AE$67-$AE54)/(52*7),$T$7,$T$8,$AC$4:$AC$9)*$T$5</f>
        <v>#VALUE!</v>
      </c>
      <c r="AH54" s="87" t="e">
        <f ca="1">BarriarOptionPrice($T$9,$T$6,V54,($AE$67-$AE54)/(52*7),$T$7,$T$8,$AC$4:$AC$9)*$T$5</f>
        <v>#VALUE!</v>
      </c>
      <c r="AI54" s="87" t="e">
        <f ca="1">BarriarOptionPrice($T$9,$T$6,W54,($AE$67-$AE54)/(52*7),$T$7,$T$8,$AC$4:$AC$9)*$T$5</f>
        <v>#VALUE!</v>
      </c>
      <c r="AJ54" s="87" t="e">
        <f ca="1">BarriarOptionPrice($T$9,$T$6,X54,($AE$67-$AE54)/(52*7),$T$7,$T$8,$AC$4:$AC$9)*$T$5</f>
        <v>#VALUE!</v>
      </c>
      <c r="AK54" s="87" t="e">
        <f ca="1">BarriarOptionPrice($T$9,$T$6,Y54,($AE$67-$AE54)/(52*7),$T$7,$T$8,$AC$4:$AC$9)*$T$5</f>
        <v>#VALUE!</v>
      </c>
      <c r="AL54" s="87" t="e">
        <f ca="1">BarriarOptionPrice($T$9,$T$6,Z54,($AE$67-$AE54)/(52*7),$T$7,$T$8,$AC$4:$AC$9)*$T$5</f>
        <v>#VALUE!</v>
      </c>
      <c r="AM54" s="87" t="e">
        <f ca="1">BarriarOptionPrice($T$9,$T$6,AA54,($AE$67-$AE54)/(52*7),$T$7,$T$8,$AC$4:$AC$9)*$T$5</f>
        <v>#VALUE!</v>
      </c>
      <c r="AN54" s="87" t="e">
        <f ca="1">BarriarOptionPrice($T$9,$T$6,AB54,($AE$67-$AE54)/(52*7),$T$7,$T$8,$AC$4:$AC$9)*$T$5</f>
        <v>#VALUE!</v>
      </c>
      <c r="AO54" s="44" t="e">
        <f ca="1">BarriarOptionPrice($T$9,$T$6,AC54,($AE$67-$AE54)/(52*7),$T$7,$T$8,$AC$4:$AC$9)*$T$5</f>
        <v>#VALUE!</v>
      </c>
      <c r="AQ54" s="57">
        <f t="shared" si="6"/>
        <v>273</v>
      </c>
      <c r="AR54" s="87" t="e">
        <f ca="1">BarriarOptionPrice($U$9,$U$6,T54,($AQ$67-$AQ54)/(52*7),$U$7,$U$8,$AC$4:$AC$9)*$U$5</f>
        <v>#VALUE!</v>
      </c>
      <c r="AS54" s="87" t="e">
        <f ca="1">BarriarOptionPrice($U$9,$U$6,U54,($AQ$67-$AQ54)/(52*7),$U$7,$U$8,$AC$4:$AC$9)*$U$5</f>
        <v>#VALUE!</v>
      </c>
      <c r="AT54" s="87" t="e">
        <f ca="1">BarriarOptionPrice($U$9,$U$6,V54,($AQ$67-$AQ54)/(52*7),$U$7,$U$8,$AC$4:$AC$9)*$U$5</f>
        <v>#VALUE!</v>
      </c>
      <c r="AU54" s="87" t="e">
        <f ca="1">BarriarOptionPrice($U$9,$U$6,W54,($AQ$67-$AQ54)/(52*7),$U$7,$U$8,$AC$4:$AC$9)*$U$5</f>
        <v>#VALUE!</v>
      </c>
      <c r="AV54" s="87" t="e">
        <f ca="1">BarriarOptionPrice($U$9,$U$6,X54,($AQ$67-$AQ54)/(52*7),$U$7,$U$8,$AC$4:$AC$9)*$U$5</f>
        <v>#VALUE!</v>
      </c>
      <c r="AW54" s="87" t="e">
        <f ca="1">BarriarOptionPrice($U$9,$U$6,Y54,($AQ$67-$AQ54)/(52*7),$U$7,$U$8,$AC$4:$AC$9)*$U$5</f>
        <v>#VALUE!</v>
      </c>
      <c r="AX54" s="87" t="e">
        <f ca="1">BarriarOptionPrice($U$9,$U$6,Z54,($AQ$67-$AQ54)/(52*7),$U$7,$U$8,$AC$4:$AC$9)*$U$5</f>
        <v>#VALUE!</v>
      </c>
      <c r="AY54" s="87" t="e">
        <f ca="1">BarriarOptionPrice($U$9,$U$6,AA54,($AQ$67-$AQ54)/(52*7),$U$7,$U$8,$AC$4:$AC$9)*$U$5</f>
        <v>#VALUE!</v>
      </c>
      <c r="AZ54" s="87" t="e">
        <f ca="1">BarriarOptionPrice($U$9,$U$6,AB54,($AQ$67-$AQ54)/(52*7),$U$7,$U$8,$AC$4:$AC$9)*$U$5</f>
        <v>#VALUE!</v>
      </c>
      <c r="BA54" s="44" t="e">
        <f ca="1">BarriarOptionPrice($U$9,$U$6,AC54,($AQ$67-$AQ54)/(52*7),$U$7,$U$8,$AC$4:$AC$9)*$U$5</f>
        <v>#VALUE!</v>
      </c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</row>
    <row r="55" spans="2:77" x14ac:dyDescent="0.15">
      <c r="B55" s="16">
        <v>40200</v>
      </c>
      <c r="C55" s="29">
        <f t="array" ref="C55">SUMPRODUCT('ファンドデータ(変更不要)'!K55:P55,TRANSPOSE(戦略の決定!$D$13:$D$18))</f>
        <v>-8.3531421292099041E-3</v>
      </c>
      <c r="D55" s="29">
        <f t="array" ref="D55">SUMPRODUCT('ファンドデータ(変更不要)'!K55:P55,TRANSPOSE(戦略の決定!$E$13:$E$18))</f>
        <v>-4.2342743353719053E-3</v>
      </c>
      <c r="E55" s="29">
        <f t="array" ref="E55">SUMPRODUCT('ファンドデータ(変更不要)'!K55:P55,TRANSPOSE(戦略の決定!$F$13:$F$18))</f>
        <v>-4.2342743353719053E-3</v>
      </c>
      <c r="F55" s="183">
        <f t="shared" si="7"/>
        <v>1.1287021308729648</v>
      </c>
      <c r="G55" s="183">
        <f t="shared" si="8"/>
        <v>1.1546312489929949</v>
      </c>
      <c r="H55" s="75">
        <f t="shared" si="9"/>
        <v>1.1546312489929949</v>
      </c>
      <c r="J55" s="46">
        <f t="shared" si="10"/>
        <v>43798</v>
      </c>
      <c r="K55" s="87">
        <f ca="1">IF(K54=0,0,BarriarOptionPrice(K$9,K$6,戦略の決定!$F$51*OFFSET($F$3,MATCH($J55,$B$4:$B$656,0),0)/OFFSET($F$3,MATCH($J$12,$B$4:$B$656,0),0),($J$64-$J55)/(52*7),K$7,K$8,戦略の決定!$D$13:$D$18)*K$5)</f>
        <v>0</v>
      </c>
      <c r="L55" s="87">
        <f ca="1">IF(L54=0,0,BarriarOptionPrice(L$9,L$6,戦略の決定!$F$51*OFFSET($F$3,MATCH($J55,$B$4:$B$656,0),0)/OFFSET($F$3,MATCH($J$12,$B$4:$B$656,0),0),($J$64-$J55)/(52*7),L$7,L$8,戦略の決定!$D$13:$D$18)*L$5)</f>
        <v>0</v>
      </c>
      <c r="M55" s="87">
        <f ca="1">IF(M54=0,0,BarriarOptionPrice(M$9,M$6,戦略の決定!$F$52*OFFSET($G$3,MATCH($J55,$B$4:$B$656,0),0)/OFFSET($G$3,MATCH($J$12,$B$4:$B$656,0),0),($J$64-$J55)/(52*7),M$7,M$8,戦略の決定!$E$13:$E$18)*M$5)</f>
        <v>11.576824123109533</v>
      </c>
      <c r="N55" s="87">
        <f ca="1">IF(N54=0,0,BarriarOptionPrice(N$9,N$6,戦略の決定!$F$52*OFFSET($G$3,MATCH($J55,$B$4:$B$656,0),0)/OFFSET($G$3,MATCH($J$12,$B$4:$B$656,0),0),($J$64-$J55)/(52*7),N$7,N$8,戦略の決定!$E$13:$E$18)*N$5)</f>
        <v>0</v>
      </c>
      <c r="O55" s="87">
        <f ca="1">IF(O54=0,0,BarriarOptionPrice(O$9,O$6,戦略の決定!$F$53*OFFSET($H$3,MATCH($J55,$B$4:$B$656,0),0)/OFFSET($H$3,MATCH($J$12,$B$4:$B$656,0),0),($J$64-$J55)/(52*7),O$7,O$8,戦略の決定!$F$13:$F$18)*O$5)</f>
        <v>0</v>
      </c>
      <c r="P55" s="44">
        <f ca="1">IF(P54=0,0,BarriarOptionPrice(P$9,P$6,戦略の決定!$F$53*OFFSET($H$3,MATCH($J55,$B$4:$B$656,0),0)/OFFSET($H$3,MATCH($J$12,$B$4:$B$656,0),0),($J$64-$J55)/(52*7),P$7,P$8,戦略の決定!$F$13:$F$18)*P$5)</f>
        <v>0</v>
      </c>
      <c r="S55" s="57">
        <f t="shared" si="4"/>
        <v>280</v>
      </c>
      <c r="T55" s="87" t="e">
        <f ca="1">戦略の決定!$R$10*OFFSET($E$3,MATCH(T$11+$S55,$B$4:$B$656,0),$Z$3)/OFFSET($E$3,MATCH(T$11,$B$4:$B$656,0),$Z$3)</f>
        <v>#VALUE!</v>
      </c>
      <c r="U55" s="87" t="e">
        <f ca="1">戦略の決定!$R$10*OFFSET($E$3,MATCH(U$11+$S55,$B$4:$B$656,0),$Z$3)/OFFSET($E$3,MATCH(U$11,$B$4:$B$656,0),$Z$3)</f>
        <v>#VALUE!</v>
      </c>
      <c r="V55" s="87" t="e">
        <f ca="1">戦略の決定!$R$10*OFFSET($E$3,MATCH(V$11+$S55,$B$4:$B$656,0),$Z$3)/OFFSET($E$3,MATCH(V$11,$B$4:$B$656,0),$Z$3)</f>
        <v>#VALUE!</v>
      </c>
      <c r="W55" s="87" t="e">
        <f ca="1">戦略の決定!$R$10*OFFSET($E$3,MATCH(W$11+$S55,$B$4:$B$656,0),$Z$3)/OFFSET($E$3,MATCH(W$11,$B$4:$B$656,0),$Z$3)</f>
        <v>#VALUE!</v>
      </c>
      <c r="X55" s="87" t="e">
        <f ca="1">戦略の決定!$R$10*OFFSET($E$3,MATCH(X$11+$S55,$B$4:$B$656,0),$Z$3)/OFFSET($E$3,MATCH(X$11,$B$4:$B$656,0),$Z$3)</f>
        <v>#VALUE!</v>
      </c>
      <c r="Y55" s="87" t="e">
        <f ca="1">戦略の決定!$R$10*OFFSET($E$3,MATCH(Y$11+$S55,$B$4:$B$656,0),$Z$3)/OFFSET($E$3,MATCH(Y$11,$B$4:$B$656,0),$Z$3)</f>
        <v>#VALUE!</v>
      </c>
      <c r="Z55" s="87" t="e">
        <f ca="1">戦略の決定!$R$10*OFFSET($E$3,MATCH(Z$11+$S55,$B$4:$B$656,0),$Z$3)/OFFSET($E$3,MATCH(Z$11,$B$4:$B$656,0),$Z$3)</f>
        <v>#VALUE!</v>
      </c>
      <c r="AA55" s="87" t="e">
        <f ca="1">戦略の決定!$R$10*OFFSET($E$3,MATCH(AA$11+$S55,$B$4:$B$656,0),$Z$3)/OFFSET($E$3,MATCH(AA$11,$B$4:$B$656,0),$Z$3)</f>
        <v>#VALUE!</v>
      </c>
      <c r="AB55" s="87" t="e">
        <f ca="1">戦略の決定!$R$10*OFFSET($E$3,MATCH(AB$11+$S55,$B$4:$B$656,0),$Z$3)/OFFSET($E$3,MATCH(AB$11,$B$4:$B$656,0),$Z$3)</f>
        <v>#VALUE!</v>
      </c>
      <c r="AC55" s="44" t="e">
        <f ca="1">戦略の決定!$R$10*OFFSET($E$3,MATCH(AC$11+$S55,$B$4:$B$656,0),$Z$3)/OFFSET($E$3,MATCH(AC$11,$B$4:$B$656,0),$Z$3)</f>
        <v>#VALUE!</v>
      </c>
      <c r="AE55" s="57">
        <f t="shared" si="5"/>
        <v>280</v>
      </c>
      <c r="AF55" s="87" t="e">
        <f ca="1">BarriarOptionPrice($T$9,$T$6,T55,($AE$67-$AE55)/(52*7),$T$7,$T$8,$AC$4:$AC$9)*$T$5</f>
        <v>#VALUE!</v>
      </c>
      <c r="AG55" s="87" t="e">
        <f ca="1">BarriarOptionPrice($T$9,$T$6,U55,($AE$67-$AE55)/(52*7),$T$7,$T$8,$AC$4:$AC$9)*$T$5</f>
        <v>#VALUE!</v>
      </c>
      <c r="AH55" s="87" t="e">
        <f ca="1">BarriarOptionPrice($T$9,$T$6,V55,($AE$67-$AE55)/(52*7),$T$7,$T$8,$AC$4:$AC$9)*$T$5</f>
        <v>#VALUE!</v>
      </c>
      <c r="AI55" s="87" t="e">
        <f ca="1">BarriarOptionPrice($T$9,$T$6,W55,($AE$67-$AE55)/(52*7),$T$7,$T$8,$AC$4:$AC$9)*$T$5</f>
        <v>#VALUE!</v>
      </c>
      <c r="AJ55" s="87" t="e">
        <f ca="1">BarriarOptionPrice($T$9,$T$6,X55,($AE$67-$AE55)/(52*7),$T$7,$T$8,$AC$4:$AC$9)*$T$5</f>
        <v>#VALUE!</v>
      </c>
      <c r="AK55" s="87" t="e">
        <f ca="1">BarriarOptionPrice($T$9,$T$6,Y55,($AE$67-$AE55)/(52*7),$T$7,$T$8,$AC$4:$AC$9)*$T$5</f>
        <v>#VALUE!</v>
      </c>
      <c r="AL55" s="87" t="e">
        <f ca="1">BarriarOptionPrice($T$9,$T$6,Z55,($AE$67-$AE55)/(52*7),$T$7,$T$8,$AC$4:$AC$9)*$T$5</f>
        <v>#VALUE!</v>
      </c>
      <c r="AM55" s="87" t="e">
        <f ca="1">BarriarOptionPrice($T$9,$T$6,AA55,($AE$67-$AE55)/(52*7),$T$7,$T$8,$AC$4:$AC$9)*$T$5</f>
        <v>#VALUE!</v>
      </c>
      <c r="AN55" s="87" t="e">
        <f ca="1">BarriarOptionPrice($T$9,$T$6,AB55,($AE$67-$AE55)/(52*7),$T$7,$T$8,$AC$4:$AC$9)*$T$5</f>
        <v>#VALUE!</v>
      </c>
      <c r="AO55" s="44" t="e">
        <f ca="1">BarriarOptionPrice($T$9,$T$6,AC55,($AE$67-$AE55)/(52*7),$T$7,$T$8,$AC$4:$AC$9)*$T$5</f>
        <v>#VALUE!</v>
      </c>
      <c r="AQ55" s="57">
        <f t="shared" si="6"/>
        <v>280</v>
      </c>
      <c r="AR55" s="87" t="e">
        <f ca="1">BarriarOptionPrice($U$9,$U$6,T55,($AQ$67-$AQ55)/(52*7),$U$7,$U$8,$AC$4:$AC$9)*$U$5</f>
        <v>#VALUE!</v>
      </c>
      <c r="AS55" s="87" t="e">
        <f ca="1">BarriarOptionPrice($U$9,$U$6,U55,($AQ$67-$AQ55)/(52*7),$U$7,$U$8,$AC$4:$AC$9)*$U$5</f>
        <v>#VALUE!</v>
      </c>
      <c r="AT55" s="87" t="e">
        <f ca="1">BarriarOptionPrice($U$9,$U$6,V55,($AQ$67-$AQ55)/(52*7),$U$7,$U$8,$AC$4:$AC$9)*$U$5</f>
        <v>#VALUE!</v>
      </c>
      <c r="AU55" s="87" t="e">
        <f ca="1">BarriarOptionPrice($U$9,$U$6,W55,($AQ$67-$AQ55)/(52*7),$U$7,$U$8,$AC$4:$AC$9)*$U$5</f>
        <v>#VALUE!</v>
      </c>
      <c r="AV55" s="87" t="e">
        <f ca="1">BarriarOptionPrice($U$9,$U$6,X55,($AQ$67-$AQ55)/(52*7),$U$7,$U$8,$AC$4:$AC$9)*$U$5</f>
        <v>#VALUE!</v>
      </c>
      <c r="AW55" s="87" t="e">
        <f ca="1">BarriarOptionPrice($U$9,$U$6,Y55,($AQ$67-$AQ55)/(52*7),$U$7,$U$8,$AC$4:$AC$9)*$U$5</f>
        <v>#VALUE!</v>
      </c>
      <c r="AX55" s="87" t="e">
        <f ca="1">BarriarOptionPrice($U$9,$U$6,Z55,($AQ$67-$AQ55)/(52*7),$U$7,$U$8,$AC$4:$AC$9)*$U$5</f>
        <v>#VALUE!</v>
      </c>
      <c r="AY55" s="87" t="e">
        <f ca="1">BarriarOptionPrice($U$9,$U$6,AA55,($AQ$67-$AQ55)/(52*7),$U$7,$U$8,$AC$4:$AC$9)*$U$5</f>
        <v>#VALUE!</v>
      </c>
      <c r="AZ55" s="87" t="e">
        <f ca="1">BarriarOptionPrice($U$9,$U$6,AB55,($AQ$67-$AQ55)/(52*7),$U$7,$U$8,$AC$4:$AC$9)*$U$5</f>
        <v>#VALUE!</v>
      </c>
      <c r="BA55" s="44" t="e">
        <f ca="1">BarriarOptionPrice($U$9,$U$6,AC55,($AQ$67-$AQ55)/(52*7),$U$7,$U$8,$AC$4:$AC$9)*$U$5</f>
        <v>#VALUE!</v>
      </c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</row>
    <row r="56" spans="2:77" x14ac:dyDescent="0.15">
      <c r="B56" s="16">
        <v>40207</v>
      </c>
      <c r="C56" s="29">
        <f t="array" ref="C56">SUMPRODUCT('ファンドデータ(変更不要)'!K56:P56,TRANSPOSE(戦略の決定!$D$13:$D$18))</f>
        <v>-1.5689632315403875E-2</v>
      </c>
      <c r="D56" s="29">
        <f t="array" ref="D56">SUMPRODUCT('ファンドデータ(変更不要)'!K56:P56,TRANSPOSE(戦略の決定!$E$13:$E$18))</f>
        <v>-2.0238646931175466E-2</v>
      </c>
      <c r="E56" s="29">
        <f t="array" ref="E56">SUMPRODUCT('ファンドデータ(変更不要)'!K56:P56,TRANSPOSE(戦略の決定!$F$13:$F$18))</f>
        <v>-2.0238646931175466E-2</v>
      </c>
      <c r="F56" s="183">
        <f t="shared" si="7"/>
        <v>1.1109932094459551</v>
      </c>
      <c r="G56" s="183">
        <f t="shared" si="8"/>
        <v>1.1312630748089234</v>
      </c>
      <c r="H56" s="75">
        <f t="shared" si="9"/>
        <v>1.1312630748089234</v>
      </c>
      <c r="J56" s="46">
        <f t="shared" si="10"/>
        <v>43805</v>
      </c>
      <c r="K56" s="87">
        <f ca="1">IF(K55=0,0,BarriarOptionPrice(K$9,K$6,戦略の決定!$F$51*OFFSET($F$3,MATCH($J56,$B$4:$B$656,0),0)/OFFSET($F$3,MATCH($J$12,$B$4:$B$656,0),0),($J$64-$J56)/(52*7),K$7,K$8,戦略の決定!$D$13:$D$18)*K$5)</f>
        <v>0</v>
      </c>
      <c r="L56" s="87">
        <f ca="1">IF(L55=0,0,BarriarOptionPrice(L$9,L$6,戦略の決定!$F$51*OFFSET($F$3,MATCH($J56,$B$4:$B$656,0),0)/OFFSET($F$3,MATCH($J$12,$B$4:$B$656,0),0),($J$64-$J56)/(52*7),L$7,L$8,戦略の決定!$D$13:$D$18)*L$5)</f>
        <v>0</v>
      </c>
      <c r="M56" s="87">
        <f ca="1">IF(M55=0,0,BarriarOptionPrice(M$9,M$6,戦略の決定!$F$52*OFFSET($G$3,MATCH($J56,$B$4:$B$656,0),0)/OFFSET($G$3,MATCH($J$12,$B$4:$B$656,0),0),($J$64-$J56)/(52*7),M$7,M$8,戦略の決定!$E$13:$E$18)*M$5)</f>
        <v>14.451998418295492</v>
      </c>
      <c r="N56" s="87">
        <f ca="1">IF(N55=0,0,BarriarOptionPrice(N$9,N$6,戦略の決定!$F$52*OFFSET($G$3,MATCH($J56,$B$4:$B$656,0),0)/OFFSET($G$3,MATCH($J$12,$B$4:$B$656,0),0),($J$64-$J56)/(52*7),N$7,N$8,戦略の決定!$E$13:$E$18)*N$5)</f>
        <v>0</v>
      </c>
      <c r="O56" s="87">
        <f ca="1">IF(O55=0,0,BarriarOptionPrice(O$9,O$6,戦略の決定!$F$53*OFFSET($H$3,MATCH($J56,$B$4:$B$656,0),0)/OFFSET($H$3,MATCH($J$12,$B$4:$B$656,0),0),($J$64-$J56)/(52*7),O$7,O$8,戦略の決定!$F$13:$F$18)*O$5)</f>
        <v>0</v>
      </c>
      <c r="P56" s="44">
        <f ca="1">IF(P55=0,0,BarriarOptionPrice(P$9,P$6,戦略の決定!$F$53*OFFSET($H$3,MATCH($J56,$B$4:$B$656,0),0)/OFFSET($H$3,MATCH($J$12,$B$4:$B$656,0),0),($J$64-$J56)/(52*7),P$7,P$8,戦略の決定!$F$13:$F$18)*P$5)</f>
        <v>0</v>
      </c>
      <c r="S56" s="57">
        <f t="shared" si="4"/>
        <v>287</v>
      </c>
      <c r="T56" s="87" t="e">
        <f ca="1">戦略の決定!$R$10*OFFSET($E$3,MATCH(T$11+$S56,$B$4:$B$656,0),$Z$3)/OFFSET($E$3,MATCH(T$11,$B$4:$B$656,0),$Z$3)</f>
        <v>#VALUE!</v>
      </c>
      <c r="U56" s="87" t="e">
        <f ca="1">戦略の決定!$R$10*OFFSET($E$3,MATCH(U$11+$S56,$B$4:$B$656,0),$Z$3)/OFFSET($E$3,MATCH(U$11,$B$4:$B$656,0),$Z$3)</f>
        <v>#VALUE!</v>
      </c>
      <c r="V56" s="87" t="e">
        <f ca="1">戦略の決定!$R$10*OFFSET($E$3,MATCH(V$11+$S56,$B$4:$B$656,0),$Z$3)/OFFSET($E$3,MATCH(V$11,$B$4:$B$656,0),$Z$3)</f>
        <v>#VALUE!</v>
      </c>
      <c r="W56" s="87" t="e">
        <f ca="1">戦略の決定!$R$10*OFFSET($E$3,MATCH(W$11+$S56,$B$4:$B$656,0),$Z$3)/OFFSET($E$3,MATCH(W$11,$B$4:$B$656,0),$Z$3)</f>
        <v>#VALUE!</v>
      </c>
      <c r="X56" s="87" t="e">
        <f ca="1">戦略の決定!$R$10*OFFSET($E$3,MATCH(X$11+$S56,$B$4:$B$656,0),$Z$3)/OFFSET($E$3,MATCH(X$11,$B$4:$B$656,0),$Z$3)</f>
        <v>#VALUE!</v>
      </c>
      <c r="Y56" s="87" t="e">
        <f ca="1">戦略の決定!$R$10*OFFSET($E$3,MATCH(Y$11+$S56,$B$4:$B$656,0),$Z$3)/OFFSET($E$3,MATCH(Y$11,$B$4:$B$656,0),$Z$3)</f>
        <v>#VALUE!</v>
      </c>
      <c r="Z56" s="87" t="e">
        <f ca="1">戦略の決定!$R$10*OFFSET($E$3,MATCH(Z$11+$S56,$B$4:$B$656,0),$Z$3)/OFFSET($E$3,MATCH(Z$11,$B$4:$B$656,0),$Z$3)</f>
        <v>#VALUE!</v>
      </c>
      <c r="AA56" s="87" t="e">
        <f ca="1">戦略の決定!$R$10*OFFSET($E$3,MATCH(AA$11+$S56,$B$4:$B$656,0),$Z$3)/OFFSET($E$3,MATCH(AA$11,$B$4:$B$656,0),$Z$3)</f>
        <v>#VALUE!</v>
      </c>
      <c r="AB56" s="87" t="e">
        <f ca="1">戦略の決定!$R$10*OFFSET($E$3,MATCH(AB$11+$S56,$B$4:$B$656,0),$Z$3)/OFFSET($E$3,MATCH(AB$11,$B$4:$B$656,0),$Z$3)</f>
        <v>#VALUE!</v>
      </c>
      <c r="AC56" s="44" t="e">
        <f ca="1">戦略の決定!$R$10*OFFSET($E$3,MATCH(AC$11+$S56,$B$4:$B$656,0),$Z$3)/OFFSET($E$3,MATCH(AC$11,$B$4:$B$656,0),$Z$3)</f>
        <v>#VALUE!</v>
      </c>
      <c r="AE56" s="57">
        <f t="shared" si="5"/>
        <v>287</v>
      </c>
      <c r="AF56" s="87" t="e">
        <f ca="1">BarriarOptionPrice($T$9,$T$6,T56,($AE$67-$AE56)/(52*7),$T$7,$T$8,$AC$4:$AC$9)*$T$5</f>
        <v>#VALUE!</v>
      </c>
      <c r="AG56" s="87" t="e">
        <f ca="1">BarriarOptionPrice($T$9,$T$6,U56,($AE$67-$AE56)/(52*7),$T$7,$T$8,$AC$4:$AC$9)*$T$5</f>
        <v>#VALUE!</v>
      </c>
      <c r="AH56" s="87" t="e">
        <f ca="1">BarriarOptionPrice($T$9,$T$6,V56,($AE$67-$AE56)/(52*7),$T$7,$T$8,$AC$4:$AC$9)*$T$5</f>
        <v>#VALUE!</v>
      </c>
      <c r="AI56" s="87" t="e">
        <f ca="1">BarriarOptionPrice($T$9,$T$6,W56,($AE$67-$AE56)/(52*7),$T$7,$T$8,$AC$4:$AC$9)*$T$5</f>
        <v>#VALUE!</v>
      </c>
      <c r="AJ56" s="87" t="e">
        <f ca="1">BarriarOptionPrice($T$9,$T$6,X56,($AE$67-$AE56)/(52*7),$T$7,$T$8,$AC$4:$AC$9)*$T$5</f>
        <v>#VALUE!</v>
      </c>
      <c r="AK56" s="87" t="e">
        <f ca="1">BarriarOptionPrice($T$9,$T$6,Y56,($AE$67-$AE56)/(52*7),$T$7,$T$8,$AC$4:$AC$9)*$T$5</f>
        <v>#VALUE!</v>
      </c>
      <c r="AL56" s="87" t="e">
        <f ca="1">BarriarOptionPrice($T$9,$T$6,Z56,($AE$67-$AE56)/(52*7),$T$7,$T$8,$AC$4:$AC$9)*$T$5</f>
        <v>#VALUE!</v>
      </c>
      <c r="AM56" s="87" t="e">
        <f ca="1">BarriarOptionPrice($T$9,$T$6,AA56,($AE$67-$AE56)/(52*7),$T$7,$T$8,$AC$4:$AC$9)*$T$5</f>
        <v>#VALUE!</v>
      </c>
      <c r="AN56" s="87" t="e">
        <f ca="1">BarriarOptionPrice($T$9,$T$6,AB56,($AE$67-$AE56)/(52*7),$T$7,$T$8,$AC$4:$AC$9)*$T$5</f>
        <v>#VALUE!</v>
      </c>
      <c r="AO56" s="44" t="e">
        <f ca="1">BarriarOptionPrice($T$9,$T$6,AC56,($AE$67-$AE56)/(52*7),$T$7,$T$8,$AC$4:$AC$9)*$T$5</f>
        <v>#VALUE!</v>
      </c>
      <c r="AQ56" s="57">
        <f t="shared" si="6"/>
        <v>287</v>
      </c>
      <c r="AR56" s="87" t="e">
        <f ca="1">BarriarOptionPrice($U$9,$U$6,T56,($AQ$67-$AQ56)/(52*7),$U$7,$U$8,$AC$4:$AC$9)*$U$5</f>
        <v>#VALUE!</v>
      </c>
      <c r="AS56" s="87" t="e">
        <f ca="1">BarriarOptionPrice($U$9,$U$6,U56,($AQ$67-$AQ56)/(52*7),$U$7,$U$8,$AC$4:$AC$9)*$U$5</f>
        <v>#VALUE!</v>
      </c>
      <c r="AT56" s="87" t="e">
        <f ca="1">BarriarOptionPrice($U$9,$U$6,V56,($AQ$67-$AQ56)/(52*7),$U$7,$U$8,$AC$4:$AC$9)*$U$5</f>
        <v>#VALUE!</v>
      </c>
      <c r="AU56" s="87" t="e">
        <f ca="1">BarriarOptionPrice($U$9,$U$6,W56,($AQ$67-$AQ56)/(52*7),$U$7,$U$8,$AC$4:$AC$9)*$U$5</f>
        <v>#VALUE!</v>
      </c>
      <c r="AV56" s="87" t="e">
        <f ca="1">BarriarOptionPrice($U$9,$U$6,X56,($AQ$67-$AQ56)/(52*7),$U$7,$U$8,$AC$4:$AC$9)*$U$5</f>
        <v>#VALUE!</v>
      </c>
      <c r="AW56" s="87" t="e">
        <f ca="1">BarriarOptionPrice($U$9,$U$6,Y56,($AQ$67-$AQ56)/(52*7),$U$7,$U$8,$AC$4:$AC$9)*$U$5</f>
        <v>#VALUE!</v>
      </c>
      <c r="AX56" s="87" t="e">
        <f ca="1">BarriarOptionPrice($U$9,$U$6,Z56,($AQ$67-$AQ56)/(52*7),$U$7,$U$8,$AC$4:$AC$9)*$U$5</f>
        <v>#VALUE!</v>
      </c>
      <c r="AY56" s="87" t="e">
        <f ca="1">BarriarOptionPrice($U$9,$U$6,AA56,($AQ$67-$AQ56)/(52*7),$U$7,$U$8,$AC$4:$AC$9)*$U$5</f>
        <v>#VALUE!</v>
      </c>
      <c r="AZ56" s="87" t="e">
        <f ca="1">BarriarOptionPrice($U$9,$U$6,AB56,($AQ$67-$AQ56)/(52*7),$U$7,$U$8,$AC$4:$AC$9)*$U$5</f>
        <v>#VALUE!</v>
      </c>
      <c r="BA56" s="44" t="e">
        <f ca="1">BarriarOptionPrice($U$9,$U$6,AC56,($AQ$67-$AQ56)/(52*7),$U$7,$U$8,$AC$4:$AC$9)*$U$5</f>
        <v>#VALUE!</v>
      </c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</row>
    <row r="57" spans="2:77" x14ac:dyDescent="0.15">
      <c r="B57" s="16">
        <v>40214</v>
      </c>
      <c r="C57" s="29">
        <f t="array" ref="C57">SUMPRODUCT('ファンドデータ(変更不要)'!K57:P57,TRANSPOSE(戦略の決定!$D$13:$D$18))</f>
        <v>-5.84269312224351E-3</v>
      </c>
      <c r="D57" s="29">
        <f t="array" ref="D57">SUMPRODUCT('ファンドデータ(変更不要)'!K57:P57,TRANSPOSE(戦略の決定!$E$13:$E$18))</f>
        <v>-6.029924629113179E-3</v>
      </c>
      <c r="E57" s="29">
        <f t="array" ref="E57">SUMPRODUCT('ファンドデータ(変更不要)'!K57:P57,TRANSPOSE(戦略の決定!$F$13:$F$18))</f>
        <v>-6.029924629113179E-3</v>
      </c>
      <c r="F57" s="183">
        <f t="shared" si="7"/>
        <v>1.1045020170622659</v>
      </c>
      <c r="G57" s="183">
        <f t="shared" si="8"/>
        <v>1.1244416437321267</v>
      </c>
      <c r="H57" s="75">
        <f t="shared" si="9"/>
        <v>1.1244416437321267</v>
      </c>
      <c r="J57" s="46">
        <f t="shared" si="10"/>
        <v>43812</v>
      </c>
      <c r="K57" s="87">
        <f ca="1">IF(K56=0,0,BarriarOptionPrice(K$9,K$6,戦略の決定!$F$51*OFFSET($F$3,MATCH($J57,$B$4:$B$656,0),0)/OFFSET($F$3,MATCH($J$12,$B$4:$B$656,0),0),($J$64-$J57)/(52*7),K$7,K$8,戦略の決定!$D$13:$D$18)*K$5)</f>
        <v>0</v>
      </c>
      <c r="L57" s="87">
        <f ca="1">IF(L56=0,0,BarriarOptionPrice(L$9,L$6,戦略の決定!$F$51*OFFSET($F$3,MATCH($J57,$B$4:$B$656,0),0)/OFFSET($F$3,MATCH($J$12,$B$4:$B$656,0),0),($J$64-$J57)/(52*7),L$7,L$8,戦略の決定!$D$13:$D$18)*L$5)</f>
        <v>0</v>
      </c>
      <c r="M57" s="87">
        <f ca="1">IF(M56=0,0,BarriarOptionPrice(M$9,M$6,戦略の決定!$F$52*OFFSET($G$3,MATCH($J57,$B$4:$B$656,0),0)/OFFSET($G$3,MATCH($J$12,$B$4:$B$656,0),0),($J$64-$J57)/(52*7),M$7,M$8,戦略の決定!$E$13:$E$18)*M$5)</f>
        <v>15.149307394510213</v>
      </c>
      <c r="N57" s="87">
        <f ca="1">IF(N56=0,0,BarriarOptionPrice(N$9,N$6,戦略の決定!$F$52*OFFSET($G$3,MATCH($J57,$B$4:$B$656,0),0)/OFFSET($G$3,MATCH($J$12,$B$4:$B$656,0),0),($J$64-$J57)/(52*7),N$7,N$8,戦略の決定!$E$13:$E$18)*N$5)</f>
        <v>0</v>
      </c>
      <c r="O57" s="87">
        <f ca="1">IF(O56=0,0,BarriarOptionPrice(O$9,O$6,戦略の決定!$F$53*OFFSET($H$3,MATCH($J57,$B$4:$B$656,0),0)/OFFSET($H$3,MATCH($J$12,$B$4:$B$656,0),0),($J$64-$J57)/(52*7),O$7,O$8,戦略の決定!$F$13:$F$18)*O$5)</f>
        <v>0</v>
      </c>
      <c r="P57" s="44">
        <f ca="1">IF(P56=0,0,BarriarOptionPrice(P$9,P$6,戦略の決定!$F$53*OFFSET($H$3,MATCH($J57,$B$4:$B$656,0),0)/OFFSET($H$3,MATCH($J$12,$B$4:$B$656,0),0),($J$64-$J57)/(52*7),P$7,P$8,戦略の決定!$F$13:$F$18)*P$5)</f>
        <v>0</v>
      </c>
      <c r="S57" s="57">
        <f t="shared" si="4"/>
        <v>294</v>
      </c>
      <c r="T57" s="87" t="e">
        <f ca="1">戦略の決定!$R$10*OFFSET($E$3,MATCH(T$11+$S57,$B$4:$B$656,0),$Z$3)/OFFSET($E$3,MATCH(T$11,$B$4:$B$656,0),$Z$3)</f>
        <v>#VALUE!</v>
      </c>
      <c r="U57" s="87" t="e">
        <f ca="1">戦略の決定!$R$10*OFFSET($E$3,MATCH(U$11+$S57,$B$4:$B$656,0),$Z$3)/OFFSET($E$3,MATCH(U$11,$B$4:$B$656,0),$Z$3)</f>
        <v>#VALUE!</v>
      </c>
      <c r="V57" s="87" t="e">
        <f ca="1">戦略の決定!$R$10*OFFSET($E$3,MATCH(V$11+$S57,$B$4:$B$656,0),$Z$3)/OFFSET($E$3,MATCH(V$11,$B$4:$B$656,0),$Z$3)</f>
        <v>#VALUE!</v>
      </c>
      <c r="W57" s="87" t="e">
        <f ca="1">戦略の決定!$R$10*OFFSET($E$3,MATCH(W$11+$S57,$B$4:$B$656,0),$Z$3)/OFFSET($E$3,MATCH(W$11,$B$4:$B$656,0),$Z$3)</f>
        <v>#VALUE!</v>
      </c>
      <c r="X57" s="87" t="e">
        <f ca="1">戦略の決定!$R$10*OFFSET($E$3,MATCH(X$11+$S57,$B$4:$B$656,0),$Z$3)/OFFSET($E$3,MATCH(X$11,$B$4:$B$656,0),$Z$3)</f>
        <v>#VALUE!</v>
      </c>
      <c r="Y57" s="87" t="e">
        <f ca="1">戦略の決定!$R$10*OFFSET($E$3,MATCH(Y$11+$S57,$B$4:$B$656,0),$Z$3)/OFFSET($E$3,MATCH(Y$11,$B$4:$B$656,0),$Z$3)</f>
        <v>#VALUE!</v>
      </c>
      <c r="Z57" s="87" t="e">
        <f ca="1">戦略の決定!$R$10*OFFSET($E$3,MATCH(Z$11+$S57,$B$4:$B$656,0),$Z$3)/OFFSET($E$3,MATCH(Z$11,$B$4:$B$656,0),$Z$3)</f>
        <v>#VALUE!</v>
      </c>
      <c r="AA57" s="87" t="e">
        <f ca="1">戦略の決定!$R$10*OFFSET($E$3,MATCH(AA$11+$S57,$B$4:$B$656,0),$Z$3)/OFFSET($E$3,MATCH(AA$11,$B$4:$B$656,0),$Z$3)</f>
        <v>#VALUE!</v>
      </c>
      <c r="AB57" s="87" t="e">
        <f ca="1">戦略の決定!$R$10*OFFSET($E$3,MATCH(AB$11+$S57,$B$4:$B$656,0),$Z$3)/OFFSET($E$3,MATCH(AB$11,$B$4:$B$656,0),$Z$3)</f>
        <v>#VALUE!</v>
      </c>
      <c r="AC57" s="44" t="e">
        <f ca="1">戦略の決定!$R$10*OFFSET($E$3,MATCH(AC$11+$S57,$B$4:$B$656,0),$Z$3)/OFFSET($E$3,MATCH(AC$11,$B$4:$B$656,0),$Z$3)</f>
        <v>#VALUE!</v>
      </c>
      <c r="AE57" s="57">
        <f t="shared" si="5"/>
        <v>294</v>
      </c>
      <c r="AF57" s="87" t="e">
        <f ca="1">BarriarOptionPrice($T$9,$T$6,T57,($AE$67-$AE57)/(52*7),$T$7,$T$8,$AC$4:$AC$9)*$T$5</f>
        <v>#VALUE!</v>
      </c>
      <c r="AG57" s="87" t="e">
        <f ca="1">BarriarOptionPrice($T$9,$T$6,U57,($AE$67-$AE57)/(52*7),$T$7,$T$8,$AC$4:$AC$9)*$T$5</f>
        <v>#VALUE!</v>
      </c>
      <c r="AH57" s="87" t="e">
        <f ca="1">BarriarOptionPrice($T$9,$T$6,V57,($AE$67-$AE57)/(52*7),$T$7,$T$8,$AC$4:$AC$9)*$T$5</f>
        <v>#VALUE!</v>
      </c>
      <c r="AI57" s="87" t="e">
        <f ca="1">BarriarOptionPrice($T$9,$T$6,W57,($AE$67-$AE57)/(52*7),$T$7,$T$8,$AC$4:$AC$9)*$T$5</f>
        <v>#VALUE!</v>
      </c>
      <c r="AJ57" s="87" t="e">
        <f ca="1">BarriarOptionPrice($T$9,$T$6,X57,($AE$67-$AE57)/(52*7),$T$7,$T$8,$AC$4:$AC$9)*$T$5</f>
        <v>#VALUE!</v>
      </c>
      <c r="AK57" s="87" t="e">
        <f ca="1">BarriarOptionPrice($T$9,$T$6,Y57,($AE$67-$AE57)/(52*7),$T$7,$T$8,$AC$4:$AC$9)*$T$5</f>
        <v>#VALUE!</v>
      </c>
      <c r="AL57" s="87" t="e">
        <f ca="1">BarriarOptionPrice($T$9,$T$6,Z57,($AE$67-$AE57)/(52*7),$T$7,$T$8,$AC$4:$AC$9)*$T$5</f>
        <v>#VALUE!</v>
      </c>
      <c r="AM57" s="87" t="e">
        <f ca="1">BarriarOptionPrice($T$9,$T$6,AA57,($AE$67-$AE57)/(52*7),$T$7,$T$8,$AC$4:$AC$9)*$T$5</f>
        <v>#VALUE!</v>
      </c>
      <c r="AN57" s="87" t="e">
        <f ca="1">BarriarOptionPrice($T$9,$T$6,AB57,($AE$67-$AE57)/(52*7),$T$7,$T$8,$AC$4:$AC$9)*$T$5</f>
        <v>#VALUE!</v>
      </c>
      <c r="AO57" s="44" t="e">
        <f ca="1">BarriarOptionPrice($T$9,$T$6,AC57,($AE$67-$AE57)/(52*7),$T$7,$T$8,$AC$4:$AC$9)*$T$5</f>
        <v>#VALUE!</v>
      </c>
      <c r="AQ57" s="57">
        <f t="shared" si="6"/>
        <v>294</v>
      </c>
      <c r="AR57" s="87" t="e">
        <f ca="1">BarriarOptionPrice($U$9,$U$6,T57,($AQ$67-$AQ57)/(52*7),$U$7,$U$8,$AC$4:$AC$9)*$U$5</f>
        <v>#VALUE!</v>
      </c>
      <c r="AS57" s="87" t="e">
        <f ca="1">BarriarOptionPrice($U$9,$U$6,U57,($AQ$67-$AQ57)/(52*7),$U$7,$U$8,$AC$4:$AC$9)*$U$5</f>
        <v>#VALUE!</v>
      </c>
      <c r="AT57" s="87" t="e">
        <f ca="1">BarriarOptionPrice($U$9,$U$6,V57,($AQ$67-$AQ57)/(52*7),$U$7,$U$8,$AC$4:$AC$9)*$U$5</f>
        <v>#VALUE!</v>
      </c>
      <c r="AU57" s="87" t="e">
        <f ca="1">BarriarOptionPrice($U$9,$U$6,W57,($AQ$67-$AQ57)/(52*7),$U$7,$U$8,$AC$4:$AC$9)*$U$5</f>
        <v>#VALUE!</v>
      </c>
      <c r="AV57" s="87" t="e">
        <f ca="1">BarriarOptionPrice($U$9,$U$6,X57,($AQ$67-$AQ57)/(52*7),$U$7,$U$8,$AC$4:$AC$9)*$U$5</f>
        <v>#VALUE!</v>
      </c>
      <c r="AW57" s="87" t="e">
        <f ca="1">BarriarOptionPrice($U$9,$U$6,Y57,($AQ$67-$AQ57)/(52*7),$U$7,$U$8,$AC$4:$AC$9)*$U$5</f>
        <v>#VALUE!</v>
      </c>
      <c r="AX57" s="87" t="e">
        <f ca="1">BarriarOptionPrice($U$9,$U$6,Z57,($AQ$67-$AQ57)/(52*7),$U$7,$U$8,$AC$4:$AC$9)*$U$5</f>
        <v>#VALUE!</v>
      </c>
      <c r="AY57" s="87" t="e">
        <f ca="1">BarriarOptionPrice($U$9,$U$6,AA57,($AQ$67-$AQ57)/(52*7),$U$7,$U$8,$AC$4:$AC$9)*$U$5</f>
        <v>#VALUE!</v>
      </c>
      <c r="AZ57" s="87" t="e">
        <f ca="1">BarriarOptionPrice($U$9,$U$6,AB57,($AQ$67-$AQ57)/(52*7),$U$7,$U$8,$AC$4:$AC$9)*$U$5</f>
        <v>#VALUE!</v>
      </c>
      <c r="BA57" s="44" t="e">
        <f ca="1">BarriarOptionPrice($U$9,$U$6,AC57,($AQ$67-$AQ57)/(52*7),$U$7,$U$8,$AC$4:$AC$9)*$U$5</f>
        <v>#VALUE!</v>
      </c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</row>
    <row r="58" spans="2:77" x14ac:dyDescent="0.15">
      <c r="B58" s="16">
        <v>40221</v>
      </c>
      <c r="C58" s="29">
        <f t="array" ref="C58">SUMPRODUCT('ファンドデータ(変更不要)'!K58:P58,TRANSPOSE(戦略の決定!$D$13:$D$18))</f>
        <v>-3.3624679067738527E-3</v>
      </c>
      <c r="D58" s="29">
        <f t="array" ref="D58">SUMPRODUCT('ファンドデータ(変更不要)'!K58:P58,TRANSPOSE(戦略の決定!$E$13:$E$18))</f>
        <v>-6.5762617031033047E-3</v>
      </c>
      <c r="E58" s="29">
        <f t="array" ref="E58">SUMPRODUCT('ファンドデータ(変更不要)'!K58:P58,TRANSPOSE(戦略の決定!$F$13:$F$18))</f>
        <v>-6.5762617031033047E-3</v>
      </c>
      <c r="F58" s="183">
        <f t="shared" si="7"/>
        <v>1.1007881644769271</v>
      </c>
      <c r="G58" s="183">
        <f t="shared" si="8"/>
        <v>1.1170470212130765</v>
      </c>
      <c r="H58" s="75">
        <f t="shared" si="9"/>
        <v>1.1170470212130765</v>
      </c>
      <c r="J58" s="46">
        <f t="shared" si="10"/>
        <v>43819</v>
      </c>
      <c r="K58" s="87">
        <f ca="1">IF(K57=0,0,BarriarOptionPrice(K$9,K$6,戦略の決定!$F$51*OFFSET($F$3,MATCH($J58,$B$4:$B$656,0),0)/OFFSET($F$3,MATCH($J$12,$B$4:$B$656,0),0),($J$64-$J58)/(52*7),K$7,K$8,戦略の決定!$D$13:$D$18)*K$5)</f>
        <v>0</v>
      </c>
      <c r="L58" s="87">
        <f ca="1">IF(L57=0,0,BarriarOptionPrice(L$9,L$6,戦略の決定!$F$51*OFFSET($F$3,MATCH($J58,$B$4:$B$656,0),0)/OFFSET($F$3,MATCH($J$12,$B$4:$B$656,0),0),($J$64-$J58)/(52*7),L$7,L$8,戦略の決定!$D$13:$D$18)*L$5)</f>
        <v>0</v>
      </c>
      <c r="M58" s="87">
        <f ca="1">IF(M57=0,0,BarriarOptionPrice(M$9,M$6,戦略の決定!$F$52*OFFSET($G$3,MATCH($J58,$B$4:$B$656,0),0)/OFFSET($G$3,MATCH($J$12,$B$4:$B$656,0),0),($J$64-$J58)/(52*7),M$7,M$8,戦略の決定!$E$13:$E$18)*M$5)</f>
        <v>15.366543463090437</v>
      </c>
      <c r="N58" s="87">
        <f ca="1">IF(N57=0,0,BarriarOptionPrice(N$9,N$6,戦略の決定!$F$52*OFFSET($G$3,MATCH($J58,$B$4:$B$656,0),0)/OFFSET($G$3,MATCH($J$12,$B$4:$B$656,0),0),($J$64-$J58)/(52*7),N$7,N$8,戦略の決定!$E$13:$E$18)*N$5)</f>
        <v>0</v>
      </c>
      <c r="O58" s="87">
        <f ca="1">IF(O57=0,0,BarriarOptionPrice(O$9,O$6,戦略の決定!$F$53*OFFSET($H$3,MATCH($J58,$B$4:$B$656,0),0)/OFFSET($H$3,MATCH($J$12,$B$4:$B$656,0),0),($J$64-$J58)/(52*7),O$7,O$8,戦略の決定!$F$13:$F$18)*O$5)</f>
        <v>0</v>
      </c>
      <c r="P58" s="44">
        <f ca="1">IF(P57=0,0,BarriarOptionPrice(P$9,P$6,戦略の決定!$F$53*OFFSET($H$3,MATCH($J58,$B$4:$B$656,0),0)/OFFSET($H$3,MATCH($J$12,$B$4:$B$656,0),0),($J$64-$J58)/(52*7),P$7,P$8,戦略の決定!$F$13:$F$18)*P$5)</f>
        <v>0</v>
      </c>
      <c r="S58" s="57">
        <f t="shared" si="4"/>
        <v>301</v>
      </c>
      <c r="T58" s="87" t="e">
        <f ca="1">戦略の決定!$R$10*OFFSET($E$3,MATCH(T$11+$S58,$B$4:$B$656,0),$Z$3)/OFFSET($E$3,MATCH(T$11,$B$4:$B$656,0),$Z$3)</f>
        <v>#VALUE!</v>
      </c>
      <c r="U58" s="87" t="e">
        <f ca="1">戦略の決定!$R$10*OFFSET($E$3,MATCH(U$11+$S58,$B$4:$B$656,0),$Z$3)/OFFSET($E$3,MATCH(U$11,$B$4:$B$656,0),$Z$3)</f>
        <v>#VALUE!</v>
      </c>
      <c r="V58" s="87" t="e">
        <f ca="1">戦略の決定!$R$10*OFFSET($E$3,MATCH(V$11+$S58,$B$4:$B$656,0),$Z$3)/OFFSET($E$3,MATCH(V$11,$B$4:$B$656,0),$Z$3)</f>
        <v>#VALUE!</v>
      </c>
      <c r="W58" s="87" t="e">
        <f ca="1">戦略の決定!$R$10*OFFSET($E$3,MATCH(W$11+$S58,$B$4:$B$656,0),$Z$3)/OFFSET($E$3,MATCH(W$11,$B$4:$B$656,0),$Z$3)</f>
        <v>#VALUE!</v>
      </c>
      <c r="X58" s="87" t="e">
        <f ca="1">戦略の決定!$R$10*OFFSET($E$3,MATCH(X$11+$S58,$B$4:$B$656,0),$Z$3)/OFFSET($E$3,MATCH(X$11,$B$4:$B$656,0),$Z$3)</f>
        <v>#VALUE!</v>
      </c>
      <c r="Y58" s="87" t="e">
        <f ca="1">戦略の決定!$R$10*OFFSET($E$3,MATCH(Y$11+$S58,$B$4:$B$656,0),$Z$3)/OFFSET($E$3,MATCH(Y$11,$B$4:$B$656,0),$Z$3)</f>
        <v>#VALUE!</v>
      </c>
      <c r="Z58" s="87" t="e">
        <f ca="1">戦略の決定!$R$10*OFFSET($E$3,MATCH(Z$11+$S58,$B$4:$B$656,0),$Z$3)/OFFSET($E$3,MATCH(Z$11,$B$4:$B$656,0),$Z$3)</f>
        <v>#VALUE!</v>
      </c>
      <c r="AA58" s="87" t="e">
        <f ca="1">戦略の決定!$R$10*OFFSET($E$3,MATCH(AA$11+$S58,$B$4:$B$656,0),$Z$3)/OFFSET($E$3,MATCH(AA$11,$B$4:$B$656,0),$Z$3)</f>
        <v>#VALUE!</v>
      </c>
      <c r="AB58" s="87" t="e">
        <f ca="1">戦略の決定!$R$10*OFFSET($E$3,MATCH(AB$11+$S58,$B$4:$B$656,0),$Z$3)/OFFSET($E$3,MATCH(AB$11,$B$4:$B$656,0),$Z$3)</f>
        <v>#VALUE!</v>
      </c>
      <c r="AC58" s="44" t="e">
        <f ca="1">戦略の決定!$R$10*OFFSET($E$3,MATCH(AC$11+$S58,$B$4:$B$656,0),$Z$3)/OFFSET($E$3,MATCH(AC$11,$B$4:$B$656,0),$Z$3)</f>
        <v>#VALUE!</v>
      </c>
      <c r="AE58" s="57">
        <f t="shared" si="5"/>
        <v>301</v>
      </c>
      <c r="AF58" s="87" t="e">
        <f ca="1">BarriarOptionPrice($T$9,$T$6,T58,($AE$67-$AE58)/(52*7),$T$7,$T$8,$AC$4:$AC$9)*$T$5</f>
        <v>#VALUE!</v>
      </c>
      <c r="AG58" s="87" t="e">
        <f ca="1">BarriarOptionPrice($T$9,$T$6,U58,($AE$67-$AE58)/(52*7),$T$7,$T$8,$AC$4:$AC$9)*$T$5</f>
        <v>#VALUE!</v>
      </c>
      <c r="AH58" s="87" t="e">
        <f ca="1">BarriarOptionPrice($T$9,$T$6,V58,($AE$67-$AE58)/(52*7),$T$7,$T$8,$AC$4:$AC$9)*$T$5</f>
        <v>#VALUE!</v>
      </c>
      <c r="AI58" s="87" t="e">
        <f ca="1">BarriarOptionPrice($T$9,$T$6,W58,($AE$67-$AE58)/(52*7),$T$7,$T$8,$AC$4:$AC$9)*$T$5</f>
        <v>#VALUE!</v>
      </c>
      <c r="AJ58" s="87" t="e">
        <f ca="1">BarriarOptionPrice($T$9,$T$6,X58,($AE$67-$AE58)/(52*7),$T$7,$T$8,$AC$4:$AC$9)*$T$5</f>
        <v>#VALUE!</v>
      </c>
      <c r="AK58" s="87" t="e">
        <f ca="1">BarriarOptionPrice($T$9,$T$6,Y58,($AE$67-$AE58)/(52*7),$T$7,$T$8,$AC$4:$AC$9)*$T$5</f>
        <v>#VALUE!</v>
      </c>
      <c r="AL58" s="87" t="e">
        <f ca="1">BarriarOptionPrice($T$9,$T$6,Z58,($AE$67-$AE58)/(52*7),$T$7,$T$8,$AC$4:$AC$9)*$T$5</f>
        <v>#VALUE!</v>
      </c>
      <c r="AM58" s="87" t="e">
        <f ca="1">BarriarOptionPrice($T$9,$T$6,AA58,($AE$67-$AE58)/(52*7),$T$7,$T$8,$AC$4:$AC$9)*$T$5</f>
        <v>#VALUE!</v>
      </c>
      <c r="AN58" s="87" t="e">
        <f ca="1">BarriarOptionPrice($T$9,$T$6,AB58,($AE$67-$AE58)/(52*7),$T$7,$T$8,$AC$4:$AC$9)*$T$5</f>
        <v>#VALUE!</v>
      </c>
      <c r="AO58" s="44" t="e">
        <f ca="1">BarriarOptionPrice($T$9,$T$6,AC58,($AE$67-$AE58)/(52*7),$T$7,$T$8,$AC$4:$AC$9)*$T$5</f>
        <v>#VALUE!</v>
      </c>
      <c r="AQ58" s="57">
        <f t="shared" si="6"/>
        <v>301</v>
      </c>
      <c r="AR58" s="87" t="e">
        <f ca="1">BarriarOptionPrice($U$9,$U$6,T58,($AQ$67-$AQ58)/(52*7),$U$7,$U$8,$AC$4:$AC$9)*$U$5</f>
        <v>#VALUE!</v>
      </c>
      <c r="AS58" s="87" t="e">
        <f ca="1">BarriarOptionPrice($U$9,$U$6,U58,($AQ$67-$AQ58)/(52*7),$U$7,$U$8,$AC$4:$AC$9)*$U$5</f>
        <v>#VALUE!</v>
      </c>
      <c r="AT58" s="87" t="e">
        <f ca="1">BarriarOptionPrice($U$9,$U$6,V58,($AQ$67-$AQ58)/(52*7),$U$7,$U$8,$AC$4:$AC$9)*$U$5</f>
        <v>#VALUE!</v>
      </c>
      <c r="AU58" s="87" t="e">
        <f ca="1">BarriarOptionPrice($U$9,$U$6,W58,($AQ$67-$AQ58)/(52*7),$U$7,$U$8,$AC$4:$AC$9)*$U$5</f>
        <v>#VALUE!</v>
      </c>
      <c r="AV58" s="87" t="e">
        <f ca="1">BarriarOptionPrice($U$9,$U$6,X58,($AQ$67-$AQ58)/(52*7),$U$7,$U$8,$AC$4:$AC$9)*$U$5</f>
        <v>#VALUE!</v>
      </c>
      <c r="AW58" s="87" t="e">
        <f ca="1">BarriarOptionPrice($U$9,$U$6,Y58,($AQ$67-$AQ58)/(52*7),$U$7,$U$8,$AC$4:$AC$9)*$U$5</f>
        <v>#VALUE!</v>
      </c>
      <c r="AX58" s="87" t="e">
        <f ca="1">BarriarOptionPrice($U$9,$U$6,Z58,($AQ$67-$AQ58)/(52*7),$U$7,$U$8,$AC$4:$AC$9)*$U$5</f>
        <v>#VALUE!</v>
      </c>
      <c r="AY58" s="87" t="e">
        <f ca="1">BarriarOptionPrice($U$9,$U$6,AA58,($AQ$67-$AQ58)/(52*7),$U$7,$U$8,$AC$4:$AC$9)*$U$5</f>
        <v>#VALUE!</v>
      </c>
      <c r="AZ58" s="87" t="e">
        <f ca="1">BarriarOptionPrice($U$9,$U$6,AB58,($AQ$67-$AQ58)/(52*7),$U$7,$U$8,$AC$4:$AC$9)*$U$5</f>
        <v>#VALUE!</v>
      </c>
      <c r="BA58" s="44" t="e">
        <f ca="1">BarriarOptionPrice($U$9,$U$6,AC58,($AQ$67-$AQ58)/(52*7),$U$7,$U$8,$AC$4:$AC$9)*$U$5</f>
        <v>#VALUE!</v>
      </c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</row>
    <row r="59" spans="2:77" x14ac:dyDescent="0.15">
      <c r="B59" s="16">
        <v>40228</v>
      </c>
      <c r="C59" s="29">
        <f t="array" ref="C59">SUMPRODUCT('ファンドデータ(変更不要)'!K59:P59,TRANSPOSE(戦略の決定!$D$13:$D$18))</f>
        <v>9.8250522835400637E-3</v>
      </c>
      <c r="D59" s="29">
        <f t="array" ref="D59">SUMPRODUCT('ファンドデータ(変更不要)'!K59:P59,TRANSPOSE(戦略の決定!$E$13:$E$18))</f>
        <v>1.520694111645071E-2</v>
      </c>
      <c r="E59" s="29">
        <f t="array" ref="E59">SUMPRODUCT('ファンドデータ(変更不要)'!K59:P59,TRANSPOSE(戦略の決定!$F$13:$F$18))</f>
        <v>1.520694111645071E-2</v>
      </c>
      <c r="F59" s="183">
        <f t="shared" si="7"/>
        <v>1.111603465746015</v>
      </c>
      <c r="G59" s="183">
        <f t="shared" si="8"/>
        <v>1.1340338894889703</v>
      </c>
      <c r="H59" s="75">
        <f t="shared" si="9"/>
        <v>1.1340338894889703</v>
      </c>
      <c r="J59" s="46">
        <f t="shared" si="10"/>
        <v>43826</v>
      </c>
      <c r="K59" s="87">
        <f ca="1">IF(K58=0,0,BarriarOptionPrice(K$9,K$6,戦略の決定!$F$51*OFFSET($F$3,MATCH($J59,$B$4:$B$656,0),0)/OFFSET($F$3,MATCH($J$12,$B$4:$B$656,0),0),($J$64-$J59)/(52*7),K$7,K$8,戦略の決定!$D$13:$D$18)*K$5)</f>
        <v>0</v>
      </c>
      <c r="L59" s="87">
        <f ca="1">IF(L58=0,0,BarriarOptionPrice(L$9,L$6,戦略の決定!$F$51*OFFSET($F$3,MATCH($J59,$B$4:$B$656,0),0)/OFFSET($F$3,MATCH($J$12,$B$4:$B$656,0),0),($J$64-$J59)/(52*7),L$7,L$8,戦略の決定!$D$13:$D$18)*L$5)</f>
        <v>0</v>
      </c>
      <c r="M59" s="87">
        <f ca="1">IF(M58=0,0,BarriarOptionPrice(M$9,M$6,戦略の決定!$F$52*OFFSET($G$3,MATCH($J59,$B$4:$B$656,0),0)/OFFSET($G$3,MATCH($J$12,$B$4:$B$656,0),0),($J$64-$J59)/(52*7),M$7,M$8,戦略の決定!$E$13:$E$18)*M$5)</f>
        <v>9.4750181076205973</v>
      </c>
      <c r="N59" s="87">
        <f ca="1">IF(N58=0,0,BarriarOptionPrice(N$9,N$6,戦略の決定!$F$52*OFFSET($G$3,MATCH($J59,$B$4:$B$656,0),0)/OFFSET($G$3,MATCH($J$12,$B$4:$B$656,0),0),($J$64-$J59)/(52*7),N$7,N$8,戦略の決定!$E$13:$E$18)*N$5)</f>
        <v>0</v>
      </c>
      <c r="O59" s="87">
        <f ca="1">IF(O58=0,0,BarriarOptionPrice(O$9,O$6,戦略の決定!$F$53*OFFSET($H$3,MATCH($J59,$B$4:$B$656,0),0)/OFFSET($H$3,MATCH($J$12,$B$4:$B$656,0),0),($J$64-$J59)/(52*7),O$7,O$8,戦略の決定!$F$13:$F$18)*O$5)</f>
        <v>0</v>
      </c>
      <c r="P59" s="44">
        <f ca="1">IF(P58=0,0,BarriarOptionPrice(P$9,P$6,戦略の決定!$F$53*OFFSET($H$3,MATCH($J59,$B$4:$B$656,0),0)/OFFSET($H$3,MATCH($J$12,$B$4:$B$656,0),0),($J$64-$J59)/(52*7),P$7,P$8,戦略の決定!$F$13:$F$18)*P$5)</f>
        <v>0</v>
      </c>
      <c r="S59" s="57">
        <f t="shared" si="4"/>
        <v>308</v>
      </c>
      <c r="T59" s="87" t="e">
        <f ca="1">戦略の決定!$R$10*OFFSET($E$3,MATCH(T$11+$S59,$B$4:$B$656,0),$Z$3)/OFFSET($E$3,MATCH(T$11,$B$4:$B$656,0),$Z$3)</f>
        <v>#VALUE!</v>
      </c>
      <c r="U59" s="87" t="e">
        <f ca="1">戦略の決定!$R$10*OFFSET($E$3,MATCH(U$11+$S59,$B$4:$B$656,0),$Z$3)/OFFSET($E$3,MATCH(U$11,$B$4:$B$656,0),$Z$3)</f>
        <v>#VALUE!</v>
      </c>
      <c r="V59" s="87" t="e">
        <f ca="1">戦略の決定!$R$10*OFFSET($E$3,MATCH(V$11+$S59,$B$4:$B$656,0),$Z$3)/OFFSET($E$3,MATCH(V$11,$B$4:$B$656,0),$Z$3)</f>
        <v>#VALUE!</v>
      </c>
      <c r="W59" s="87" t="e">
        <f ca="1">戦略の決定!$R$10*OFFSET($E$3,MATCH(W$11+$S59,$B$4:$B$656,0),$Z$3)/OFFSET($E$3,MATCH(W$11,$B$4:$B$656,0),$Z$3)</f>
        <v>#VALUE!</v>
      </c>
      <c r="X59" s="87" t="e">
        <f ca="1">戦略の決定!$R$10*OFFSET($E$3,MATCH(X$11+$S59,$B$4:$B$656,0),$Z$3)/OFFSET($E$3,MATCH(X$11,$B$4:$B$656,0),$Z$3)</f>
        <v>#VALUE!</v>
      </c>
      <c r="Y59" s="87" t="e">
        <f ca="1">戦略の決定!$R$10*OFFSET($E$3,MATCH(Y$11+$S59,$B$4:$B$656,0),$Z$3)/OFFSET($E$3,MATCH(Y$11,$B$4:$B$656,0),$Z$3)</f>
        <v>#VALUE!</v>
      </c>
      <c r="Z59" s="87" t="e">
        <f ca="1">戦略の決定!$R$10*OFFSET($E$3,MATCH(Z$11+$S59,$B$4:$B$656,0),$Z$3)/OFFSET($E$3,MATCH(Z$11,$B$4:$B$656,0),$Z$3)</f>
        <v>#VALUE!</v>
      </c>
      <c r="AA59" s="87" t="e">
        <f ca="1">戦略の決定!$R$10*OFFSET($E$3,MATCH(AA$11+$S59,$B$4:$B$656,0),$Z$3)/OFFSET($E$3,MATCH(AA$11,$B$4:$B$656,0),$Z$3)</f>
        <v>#VALUE!</v>
      </c>
      <c r="AB59" s="87" t="e">
        <f ca="1">戦略の決定!$R$10*OFFSET($E$3,MATCH(AB$11+$S59,$B$4:$B$656,0),$Z$3)/OFFSET($E$3,MATCH(AB$11,$B$4:$B$656,0),$Z$3)</f>
        <v>#VALUE!</v>
      </c>
      <c r="AC59" s="44" t="e">
        <f ca="1">戦略の決定!$R$10*OFFSET($E$3,MATCH(AC$11+$S59,$B$4:$B$656,0),$Z$3)/OFFSET($E$3,MATCH(AC$11,$B$4:$B$656,0),$Z$3)</f>
        <v>#VALUE!</v>
      </c>
      <c r="AE59" s="57">
        <f t="shared" si="5"/>
        <v>308</v>
      </c>
      <c r="AF59" s="87" t="e">
        <f ca="1">BarriarOptionPrice($T$9,$T$6,T59,($AE$67-$AE59)/(52*7),$T$7,$T$8,$AC$4:$AC$9)*$T$5</f>
        <v>#VALUE!</v>
      </c>
      <c r="AG59" s="87" t="e">
        <f ca="1">BarriarOptionPrice($T$9,$T$6,U59,($AE$67-$AE59)/(52*7),$T$7,$T$8,$AC$4:$AC$9)*$T$5</f>
        <v>#VALUE!</v>
      </c>
      <c r="AH59" s="87" t="e">
        <f ca="1">BarriarOptionPrice($T$9,$T$6,V59,($AE$67-$AE59)/(52*7),$T$7,$T$8,$AC$4:$AC$9)*$T$5</f>
        <v>#VALUE!</v>
      </c>
      <c r="AI59" s="87" t="e">
        <f ca="1">BarriarOptionPrice($T$9,$T$6,W59,($AE$67-$AE59)/(52*7),$T$7,$T$8,$AC$4:$AC$9)*$T$5</f>
        <v>#VALUE!</v>
      </c>
      <c r="AJ59" s="87" t="e">
        <f ca="1">BarriarOptionPrice($T$9,$T$6,X59,($AE$67-$AE59)/(52*7),$T$7,$T$8,$AC$4:$AC$9)*$T$5</f>
        <v>#VALUE!</v>
      </c>
      <c r="AK59" s="87" t="e">
        <f ca="1">BarriarOptionPrice($T$9,$T$6,Y59,($AE$67-$AE59)/(52*7),$T$7,$T$8,$AC$4:$AC$9)*$T$5</f>
        <v>#VALUE!</v>
      </c>
      <c r="AL59" s="87" t="e">
        <f ca="1">BarriarOptionPrice($T$9,$T$6,Z59,($AE$67-$AE59)/(52*7),$T$7,$T$8,$AC$4:$AC$9)*$T$5</f>
        <v>#VALUE!</v>
      </c>
      <c r="AM59" s="87" t="e">
        <f ca="1">BarriarOptionPrice($T$9,$T$6,AA59,($AE$67-$AE59)/(52*7),$T$7,$T$8,$AC$4:$AC$9)*$T$5</f>
        <v>#VALUE!</v>
      </c>
      <c r="AN59" s="87" t="e">
        <f ca="1">BarriarOptionPrice($T$9,$T$6,AB59,($AE$67-$AE59)/(52*7),$T$7,$T$8,$AC$4:$AC$9)*$T$5</f>
        <v>#VALUE!</v>
      </c>
      <c r="AO59" s="44" t="e">
        <f ca="1">BarriarOptionPrice($T$9,$T$6,AC59,($AE$67-$AE59)/(52*7),$T$7,$T$8,$AC$4:$AC$9)*$T$5</f>
        <v>#VALUE!</v>
      </c>
      <c r="AQ59" s="57">
        <f t="shared" si="6"/>
        <v>308</v>
      </c>
      <c r="AR59" s="87" t="e">
        <f ca="1">BarriarOptionPrice($U$9,$U$6,T59,($AQ$67-$AQ59)/(52*7),$U$7,$U$8,$AC$4:$AC$9)*$U$5</f>
        <v>#VALUE!</v>
      </c>
      <c r="AS59" s="87" t="e">
        <f ca="1">BarriarOptionPrice($U$9,$U$6,U59,($AQ$67-$AQ59)/(52*7),$U$7,$U$8,$AC$4:$AC$9)*$U$5</f>
        <v>#VALUE!</v>
      </c>
      <c r="AT59" s="87" t="e">
        <f ca="1">BarriarOptionPrice($U$9,$U$6,V59,($AQ$67-$AQ59)/(52*7),$U$7,$U$8,$AC$4:$AC$9)*$U$5</f>
        <v>#VALUE!</v>
      </c>
      <c r="AU59" s="87" t="e">
        <f ca="1">BarriarOptionPrice($U$9,$U$6,W59,($AQ$67-$AQ59)/(52*7),$U$7,$U$8,$AC$4:$AC$9)*$U$5</f>
        <v>#VALUE!</v>
      </c>
      <c r="AV59" s="87" t="e">
        <f ca="1">BarriarOptionPrice($U$9,$U$6,X59,($AQ$67-$AQ59)/(52*7),$U$7,$U$8,$AC$4:$AC$9)*$U$5</f>
        <v>#VALUE!</v>
      </c>
      <c r="AW59" s="87" t="e">
        <f ca="1">BarriarOptionPrice($U$9,$U$6,Y59,($AQ$67-$AQ59)/(52*7),$U$7,$U$8,$AC$4:$AC$9)*$U$5</f>
        <v>#VALUE!</v>
      </c>
      <c r="AX59" s="87" t="e">
        <f ca="1">BarriarOptionPrice($U$9,$U$6,Z59,($AQ$67-$AQ59)/(52*7),$U$7,$U$8,$AC$4:$AC$9)*$U$5</f>
        <v>#VALUE!</v>
      </c>
      <c r="AY59" s="87" t="e">
        <f ca="1">BarriarOptionPrice($U$9,$U$6,AA59,($AQ$67-$AQ59)/(52*7),$U$7,$U$8,$AC$4:$AC$9)*$U$5</f>
        <v>#VALUE!</v>
      </c>
      <c r="AZ59" s="87" t="e">
        <f ca="1">BarriarOptionPrice($U$9,$U$6,AB59,($AQ$67-$AQ59)/(52*7),$U$7,$U$8,$AC$4:$AC$9)*$U$5</f>
        <v>#VALUE!</v>
      </c>
      <c r="BA59" s="44" t="e">
        <f ca="1">BarriarOptionPrice($U$9,$U$6,AC59,($AQ$67-$AQ59)/(52*7),$U$7,$U$8,$AC$4:$AC$9)*$U$5</f>
        <v>#VALUE!</v>
      </c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</row>
    <row r="60" spans="2:77" x14ac:dyDescent="0.15">
      <c r="B60" s="16">
        <v>40235</v>
      </c>
      <c r="C60" s="29">
        <f t="array" ref="C60">SUMPRODUCT('ファンドデータ(変更不要)'!K60:P60,TRANSPOSE(戦略の決定!$D$13:$D$18))</f>
        <v>-3.5192805176918127E-3</v>
      </c>
      <c r="D60" s="29">
        <f t="array" ref="D60">SUMPRODUCT('ファンドデータ(変更不要)'!K60:P60,TRANSPOSE(戦略の決定!$E$13:$E$18))</f>
        <v>-2.8849884203841006E-3</v>
      </c>
      <c r="E60" s="29">
        <f t="array" ref="E60">SUMPRODUCT('ファンドデータ(変更不要)'!K60:P60,TRANSPOSE(戦略の決定!$F$13:$F$18))</f>
        <v>-2.8849884203841006E-3</v>
      </c>
      <c r="F60" s="183">
        <f t="shared" si="7"/>
        <v>1.1076914213256164</v>
      </c>
      <c r="G60" s="183">
        <f t="shared" si="8"/>
        <v>1.1307622148494716</v>
      </c>
      <c r="H60" s="75">
        <f t="shared" si="9"/>
        <v>1.1307622148494716</v>
      </c>
      <c r="J60" s="46">
        <f t="shared" si="10"/>
        <v>43833</v>
      </c>
      <c r="K60" s="87">
        <f ca="1">IF(K59=0,0,BarriarOptionPrice(K$9,K$6,戦略の決定!$F$51*OFFSET($F$3,MATCH($J60,$B$4:$B$656,0),0)/OFFSET($F$3,MATCH($J$12,$B$4:$B$656,0),0),($J$64-$J60)/(52*7),K$7,K$8,戦略の決定!$D$13:$D$18)*K$5)</f>
        <v>0</v>
      </c>
      <c r="L60" s="87">
        <f ca="1">IF(L59=0,0,BarriarOptionPrice(L$9,L$6,戦略の決定!$F$51*OFFSET($F$3,MATCH($J60,$B$4:$B$656,0),0)/OFFSET($F$3,MATCH($J$12,$B$4:$B$656,0),0),($J$64-$J60)/(52*7),L$7,L$8,戦略の決定!$D$13:$D$18)*L$5)</f>
        <v>0</v>
      </c>
      <c r="M60" s="87">
        <f ca="1">IF(M59=0,0,BarriarOptionPrice(M$9,M$6,戦略の決定!$F$52*OFFSET($G$3,MATCH($J60,$B$4:$B$656,0),0)/OFFSET($G$3,MATCH($J$12,$B$4:$B$656,0),0),($J$64-$J60)/(52*7),M$7,M$8,戦略の決定!$E$13:$E$18)*M$5)</f>
        <v>7.7844448889219198</v>
      </c>
      <c r="N60" s="87">
        <f ca="1">IF(N59=0,0,BarriarOptionPrice(N$9,N$6,戦略の決定!$F$52*OFFSET($G$3,MATCH($J60,$B$4:$B$656,0),0)/OFFSET($G$3,MATCH($J$12,$B$4:$B$656,0),0),($J$64-$J60)/(52*7),N$7,N$8,戦略の決定!$E$13:$E$18)*N$5)</f>
        <v>0</v>
      </c>
      <c r="O60" s="87">
        <f ca="1">IF(O59=0,0,BarriarOptionPrice(O$9,O$6,戦略の決定!$F$53*OFFSET($H$3,MATCH($J60,$B$4:$B$656,0),0)/OFFSET($H$3,MATCH($J$12,$B$4:$B$656,0),0),($J$64-$J60)/(52*7),O$7,O$8,戦略の決定!$F$13:$F$18)*O$5)</f>
        <v>0</v>
      </c>
      <c r="P60" s="44">
        <f ca="1">IF(P59=0,0,BarriarOptionPrice(P$9,P$6,戦略の決定!$F$53*OFFSET($H$3,MATCH($J60,$B$4:$B$656,0),0)/OFFSET($H$3,MATCH($J$12,$B$4:$B$656,0),0),($J$64-$J60)/(52*7),P$7,P$8,戦略の決定!$F$13:$F$18)*P$5)</f>
        <v>0</v>
      </c>
      <c r="S60" s="57">
        <f t="shared" si="4"/>
        <v>315</v>
      </c>
      <c r="T60" s="87" t="e">
        <f ca="1">戦略の決定!$R$10*OFFSET($E$3,MATCH(T$11+$S60,$B$4:$B$656,0),$Z$3)/OFFSET($E$3,MATCH(T$11,$B$4:$B$656,0),$Z$3)</f>
        <v>#VALUE!</v>
      </c>
      <c r="U60" s="87" t="e">
        <f ca="1">戦略の決定!$R$10*OFFSET($E$3,MATCH(U$11+$S60,$B$4:$B$656,0),$Z$3)/OFFSET($E$3,MATCH(U$11,$B$4:$B$656,0),$Z$3)</f>
        <v>#VALUE!</v>
      </c>
      <c r="V60" s="87" t="e">
        <f ca="1">戦略の決定!$R$10*OFFSET($E$3,MATCH(V$11+$S60,$B$4:$B$656,0),$Z$3)/OFFSET($E$3,MATCH(V$11,$B$4:$B$656,0),$Z$3)</f>
        <v>#VALUE!</v>
      </c>
      <c r="W60" s="87" t="e">
        <f ca="1">戦略の決定!$R$10*OFFSET($E$3,MATCH(W$11+$S60,$B$4:$B$656,0),$Z$3)/OFFSET($E$3,MATCH(W$11,$B$4:$B$656,0),$Z$3)</f>
        <v>#VALUE!</v>
      </c>
      <c r="X60" s="87" t="e">
        <f ca="1">戦略の決定!$R$10*OFFSET($E$3,MATCH(X$11+$S60,$B$4:$B$656,0),$Z$3)/OFFSET($E$3,MATCH(X$11,$B$4:$B$656,0),$Z$3)</f>
        <v>#VALUE!</v>
      </c>
      <c r="Y60" s="87" t="e">
        <f ca="1">戦略の決定!$R$10*OFFSET($E$3,MATCH(Y$11+$S60,$B$4:$B$656,0),$Z$3)/OFFSET($E$3,MATCH(Y$11,$B$4:$B$656,0),$Z$3)</f>
        <v>#VALUE!</v>
      </c>
      <c r="Z60" s="87" t="e">
        <f ca="1">戦略の決定!$R$10*OFFSET($E$3,MATCH(Z$11+$S60,$B$4:$B$656,0),$Z$3)/OFFSET($E$3,MATCH(Z$11,$B$4:$B$656,0),$Z$3)</f>
        <v>#VALUE!</v>
      </c>
      <c r="AA60" s="87" t="e">
        <f ca="1">戦略の決定!$R$10*OFFSET($E$3,MATCH(AA$11+$S60,$B$4:$B$656,0),$Z$3)/OFFSET($E$3,MATCH(AA$11,$B$4:$B$656,0),$Z$3)</f>
        <v>#VALUE!</v>
      </c>
      <c r="AB60" s="87" t="e">
        <f ca="1">戦略の決定!$R$10*OFFSET($E$3,MATCH(AB$11+$S60,$B$4:$B$656,0),$Z$3)/OFFSET($E$3,MATCH(AB$11,$B$4:$B$656,0),$Z$3)</f>
        <v>#VALUE!</v>
      </c>
      <c r="AC60" s="44" t="e">
        <f ca="1">戦略の決定!$R$10*OFFSET($E$3,MATCH(AC$11+$S60,$B$4:$B$656,0),$Z$3)/OFFSET($E$3,MATCH(AC$11,$B$4:$B$656,0),$Z$3)</f>
        <v>#VALUE!</v>
      </c>
      <c r="AE60" s="57">
        <f t="shared" si="5"/>
        <v>315</v>
      </c>
      <c r="AF60" s="87" t="e">
        <f ca="1">BarriarOptionPrice($T$9,$T$6,T60,($AE$67-$AE60)/(52*7),$T$7,$T$8,$AC$4:$AC$9)*$T$5</f>
        <v>#VALUE!</v>
      </c>
      <c r="AG60" s="87" t="e">
        <f ca="1">BarriarOptionPrice($T$9,$T$6,U60,($AE$67-$AE60)/(52*7),$T$7,$T$8,$AC$4:$AC$9)*$T$5</f>
        <v>#VALUE!</v>
      </c>
      <c r="AH60" s="87" t="e">
        <f ca="1">BarriarOptionPrice($T$9,$T$6,V60,($AE$67-$AE60)/(52*7),$T$7,$T$8,$AC$4:$AC$9)*$T$5</f>
        <v>#VALUE!</v>
      </c>
      <c r="AI60" s="87" t="e">
        <f ca="1">BarriarOptionPrice($T$9,$T$6,W60,($AE$67-$AE60)/(52*7),$T$7,$T$8,$AC$4:$AC$9)*$T$5</f>
        <v>#VALUE!</v>
      </c>
      <c r="AJ60" s="87" t="e">
        <f ca="1">BarriarOptionPrice($T$9,$T$6,X60,($AE$67-$AE60)/(52*7),$T$7,$T$8,$AC$4:$AC$9)*$T$5</f>
        <v>#VALUE!</v>
      </c>
      <c r="AK60" s="87" t="e">
        <f ca="1">BarriarOptionPrice($T$9,$T$6,Y60,($AE$67-$AE60)/(52*7),$T$7,$T$8,$AC$4:$AC$9)*$T$5</f>
        <v>#VALUE!</v>
      </c>
      <c r="AL60" s="87" t="e">
        <f ca="1">BarriarOptionPrice($T$9,$T$6,Z60,($AE$67-$AE60)/(52*7),$T$7,$T$8,$AC$4:$AC$9)*$T$5</f>
        <v>#VALUE!</v>
      </c>
      <c r="AM60" s="87" t="e">
        <f ca="1">BarriarOptionPrice($T$9,$T$6,AA60,($AE$67-$AE60)/(52*7),$T$7,$T$8,$AC$4:$AC$9)*$T$5</f>
        <v>#VALUE!</v>
      </c>
      <c r="AN60" s="87" t="e">
        <f ca="1">BarriarOptionPrice($T$9,$T$6,AB60,($AE$67-$AE60)/(52*7),$T$7,$T$8,$AC$4:$AC$9)*$T$5</f>
        <v>#VALUE!</v>
      </c>
      <c r="AO60" s="44" t="e">
        <f ca="1">BarriarOptionPrice($T$9,$T$6,AC60,($AE$67-$AE60)/(52*7),$T$7,$T$8,$AC$4:$AC$9)*$T$5</f>
        <v>#VALUE!</v>
      </c>
      <c r="AQ60" s="57">
        <f t="shared" si="6"/>
        <v>315</v>
      </c>
      <c r="AR60" s="87" t="e">
        <f ca="1">BarriarOptionPrice($U$9,$U$6,T60,($AQ$67-$AQ60)/(52*7),$U$7,$U$8,$AC$4:$AC$9)*$U$5</f>
        <v>#VALUE!</v>
      </c>
      <c r="AS60" s="87" t="e">
        <f ca="1">BarriarOptionPrice($U$9,$U$6,U60,($AQ$67-$AQ60)/(52*7),$U$7,$U$8,$AC$4:$AC$9)*$U$5</f>
        <v>#VALUE!</v>
      </c>
      <c r="AT60" s="87" t="e">
        <f ca="1">BarriarOptionPrice($U$9,$U$6,V60,($AQ$67-$AQ60)/(52*7),$U$7,$U$8,$AC$4:$AC$9)*$U$5</f>
        <v>#VALUE!</v>
      </c>
      <c r="AU60" s="87" t="e">
        <f ca="1">BarriarOptionPrice($U$9,$U$6,W60,($AQ$67-$AQ60)/(52*7),$U$7,$U$8,$AC$4:$AC$9)*$U$5</f>
        <v>#VALUE!</v>
      </c>
      <c r="AV60" s="87" t="e">
        <f ca="1">BarriarOptionPrice($U$9,$U$6,X60,($AQ$67-$AQ60)/(52*7),$U$7,$U$8,$AC$4:$AC$9)*$U$5</f>
        <v>#VALUE!</v>
      </c>
      <c r="AW60" s="87" t="e">
        <f ca="1">BarriarOptionPrice($U$9,$U$6,Y60,($AQ$67-$AQ60)/(52*7),$U$7,$U$8,$AC$4:$AC$9)*$U$5</f>
        <v>#VALUE!</v>
      </c>
      <c r="AX60" s="87" t="e">
        <f ca="1">BarriarOptionPrice($U$9,$U$6,Z60,($AQ$67-$AQ60)/(52*7),$U$7,$U$8,$AC$4:$AC$9)*$U$5</f>
        <v>#VALUE!</v>
      </c>
      <c r="AY60" s="87" t="e">
        <f ca="1">BarriarOptionPrice($U$9,$U$6,AA60,($AQ$67-$AQ60)/(52*7),$U$7,$U$8,$AC$4:$AC$9)*$U$5</f>
        <v>#VALUE!</v>
      </c>
      <c r="AZ60" s="87" t="e">
        <f ca="1">BarriarOptionPrice($U$9,$U$6,AB60,($AQ$67-$AQ60)/(52*7),$U$7,$U$8,$AC$4:$AC$9)*$U$5</f>
        <v>#VALUE!</v>
      </c>
      <c r="BA60" s="44" t="e">
        <f ca="1">BarriarOptionPrice($U$9,$U$6,AC60,($AQ$67-$AQ60)/(52*7),$U$7,$U$8,$AC$4:$AC$9)*$U$5</f>
        <v>#VALUE!</v>
      </c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</row>
    <row r="61" spans="2:77" x14ac:dyDescent="0.15">
      <c r="B61" s="16">
        <v>40242</v>
      </c>
      <c r="C61" s="29">
        <f t="array" ref="C61">SUMPRODUCT('ファンドデータ(変更不要)'!K61:P61,TRANSPOSE(戦略の決定!$D$13:$D$18))</f>
        <v>6.5705166623819221E-3</v>
      </c>
      <c r="D61" s="29">
        <f t="array" ref="D61">SUMPRODUCT('ファンドデータ(変更不要)'!K61:P61,TRANSPOSE(戦略の決定!$E$13:$E$18))</f>
        <v>7.8229916640172141E-3</v>
      </c>
      <c r="E61" s="29">
        <f t="array" ref="E61">SUMPRODUCT('ファンドデータ(変更不要)'!K61:P61,TRANSPOSE(戦略の決定!$F$13:$F$18))</f>
        <v>7.8229916640172141E-3</v>
      </c>
      <c r="F61" s="183">
        <f t="shared" si="7"/>
        <v>1.1149695262662138</v>
      </c>
      <c r="G61" s="183">
        <f t="shared" si="8"/>
        <v>1.1396081582302247</v>
      </c>
      <c r="H61" s="75">
        <f t="shared" si="9"/>
        <v>1.1396081582302247</v>
      </c>
      <c r="J61" s="46">
        <f t="shared" si="10"/>
        <v>43840</v>
      </c>
      <c r="K61" s="87">
        <f ca="1">IF(K60=0,0,BarriarOptionPrice(K$9,K$6,戦略の決定!$F$51*OFFSET($F$3,MATCH($J61,$B$4:$B$656,0),0)/OFFSET($F$3,MATCH($J$12,$B$4:$B$656,0),0),($J$64-$J61)/(52*7),K$7,K$8,戦略の決定!$D$13:$D$18)*K$5)</f>
        <v>0</v>
      </c>
      <c r="L61" s="87">
        <f ca="1">IF(L60=0,0,BarriarOptionPrice(L$9,L$6,戦略の決定!$F$51*OFFSET($F$3,MATCH($J61,$B$4:$B$656,0),0)/OFFSET($F$3,MATCH($J$12,$B$4:$B$656,0),0),($J$64-$J61)/(52*7),L$7,L$8,戦略の決定!$D$13:$D$18)*L$5)</f>
        <v>0</v>
      </c>
      <c r="M61" s="87">
        <f ca="1">IF(M60=0,0,BarriarOptionPrice(M$9,M$6,戦略の決定!$F$52*OFFSET($G$3,MATCH($J61,$B$4:$B$656,0),0)/OFFSET($G$3,MATCH($J$12,$B$4:$B$656,0),0),($J$64-$J61)/(52*7),M$7,M$8,戦略の決定!$E$13:$E$18)*M$5)</f>
        <v>6.9587555698783516</v>
      </c>
      <c r="N61" s="87">
        <f ca="1">IF(N60=0,0,BarriarOptionPrice(N$9,N$6,戦略の決定!$F$52*OFFSET($G$3,MATCH($J61,$B$4:$B$656,0),0)/OFFSET($G$3,MATCH($J$12,$B$4:$B$656,0),0),($J$64-$J61)/(52*7),N$7,N$8,戦略の決定!$E$13:$E$18)*N$5)</f>
        <v>0</v>
      </c>
      <c r="O61" s="87">
        <f ca="1">IF(O60=0,0,BarriarOptionPrice(O$9,O$6,戦略の決定!$F$53*OFFSET($H$3,MATCH($J61,$B$4:$B$656,0),0)/OFFSET($H$3,MATCH($J$12,$B$4:$B$656,0),0),($J$64-$J61)/(52*7),O$7,O$8,戦略の決定!$F$13:$F$18)*O$5)</f>
        <v>0</v>
      </c>
      <c r="P61" s="44">
        <f ca="1">IF(P60=0,0,BarriarOptionPrice(P$9,P$6,戦略の決定!$F$53*OFFSET($H$3,MATCH($J61,$B$4:$B$656,0),0)/OFFSET($H$3,MATCH($J$12,$B$4:$B$656,0),0),($J$64-$J61)/(52*7),P$7,P$8,戦略の決定!$F$13:$F$18)*P$5)</f>
        <v>0</v>
      </c>
      <c r="S61" s="57">
        <f t="shared" si="4"/>
        <v>322</v>
      </c>
      <c r="T61" s="87" t="e">
        <f ca="1">戦略の決定!$R$10*OFFSET($E$3,MATCH(T$11+$S61,$B$4:$B$656,0),$Z$3)/OFFSET($E$3,MATCH(T$11,$B$4:$B$656,0),$Z$3)</f>
        <v>#VALUE!</v>
      </c>
      <c r="U61" s="87" t="e">
        <f ca="1">戦略の決定!$R$10*OFFSET($E$3,MATCH(U$11+$S61,$B$4:$B$656,0),$Z$3)/OFFSET($E$3,MATCH(U$11,$B$4:$B$656,0),$Z$3)</f>
        <v>#VALUE!</v>
      </c>
      <c r="V61" s="87" t="e">
        <f ca="1">戦略の決定!$R$10*OFFSET($E$3,MATCH(V$11+$S61,$B$4:$B$656,0),$Z$3)/OFFSET($E$3,MATCH(V$11,$B$4:$B$656,0),$Z$3)</f>
        <v>#VALUE!</v>
      </c>
      <c r="W61" s="87" t="e">
        <f ca="1">戦略の決定!$R$10*OFFSET($E$3,MATCH(W$11+$S61,$B$4:$B$656,0),$Z$3)/OFFSET($E$3,MATCH(W$11,$B$4:$B$656,0),$Z$3)</f>
        <v>#VALUE!</v>
      </c>
      <c r="X61" s="87" t="e">
        <f ca="1">戦略の決定!$R$10*OFFSET($E$3,MATCH(X$11+$S61,$B$4:$B$656,0),$Z$3)/OFFSET($E$3,MATCH(X$11,$B$4:$B$656,0),$Z$3)</f>
        <v>#VALUE!</v>
      </c>
      <c r="Y61" s="87" t="e">
        <f ca="1">戦略の決定!$R$10*OFFSET($E$3,MATCH(Y$11+$S61,$B$4:$B$656,0),$Z$3)/OFFSET($E$3,MATCH(Y$11,$B$4:$B$656,0),$Z$3)</f>
        <v>#VALUE!</v>
      </c>
      <c r="Z61" s="87" t="e">
        <f ca="1">戦略の決定!$R$10*OFFSET($E$3,MATCH(Z$11+$S61,$B$4:$B$656,0),$Z$3)/OFFSET($E$3,MATCH(Z$11,$B$4:$B$656,0),$Z$3)</f>
        <v>#VALUE!</v>
      </c>
      <c r="AA61" s="87" t="e">
        <f ca="1">戦略の決定!$R$10*OFFSET($E$3,MATCH(AA$11+$S61,$B$4:$B$656,0),$Z$3)/OFFSET($E$3,MATCH(AA$11,$B$4:$B$656,0),$Z$3)</f>
        <v>#VALUE!</v>
      </c>
      <c r="AB61" s="87" t="e">
        <f ca="1">戦略の決定!$R$10*OFFSET($E$3,MATCH(AB$11+$S61,$B$4:$B$656,0),$Z$3)/OFFSET($E$3,MATCH(AB$11,$B$4:$B$656,0),$Z$3)</f>
        <v>#VALUE!</v>
      </c>
      <c r="AC61" s="44" t="e">
        <f ca="1">戦略の決定!$R$10*OFFSET($E$3,MATCH(AC$11+$S61,$B$4:$B$656,0),$Z$3)/OFFSET($E$3,MATCH(AC$11,$B$4:$B$656,0),$Z$3)</f>
        <v>#VALUE!</v>
      </c>
      <c r="AE61" s="57">
        <f t="shared" si="5"/>
        <v>322</v>
      </c>
      <c r="AF61" s="87" t="e">
        <f ca="1">BarriarOptionPrice($T$9,$T$6,T61,($AE$67-$AE61)/(52*7),$T$7,$T$8,$AC$4:$AC$9)*$T$5</f>
        <v>#VALUE!</v>
      </c>
      <c r="AG61" s="87" t="e">
        <f ca="1">BarriarOptionPrice($T$9,$T$6,U61,($AE$67-$AE61)/(52*7),$T$7,$T$8,$AC$4:$AC$9)*$T$5</f>
        <v>#VALUE!</v>
      </c>
      <c r="AH61" s="87" t="e">
        <f ca="1">BarriarOptionPrice($T$9,$T$6,V61,($AE$67-$AE61)/(52*7),$T$7,$T$8,$AC$4:$AC$9)*$T$5</f>
        <v>#VALUE!</v>
      </c>
      <c r="AI61" s="87" t="e">
        <f ca="1">BarriarOptionPrice($T$9,$T$6,W61,($AE$67-$AE61)/(52*7),$T$7,$T$8,$AC$4:$AC$9)*$T$5</f>
        <v>#VALUE!</v>
      </c>
      <c r="AJ61" s="87" t="e">
        <f ca="1">BarriarOptionPrice($T$9,$T$6,X61,($AE$67-$AE61)/(52*7),$T$7,$T$8,$AC$4:$AC$9)*$T$5</f>
        <v>#VALUE!</v>
      </c>
      <c r="AK61" s="87" t="e">
        <f ca="1">BarriarOptionPrice($T$9,$T$6,Y61,($AE$67-$AE61)/(52*7),$T$7,$T$8,$AC$4:$AC$9)*$T$5</f>
        <v>#VALUE!</v>
      </c>
      <c r="AL61" s="87" t="e">
        <f ca="1">BarriarOptionPrice($T$9,$T$6,Z61,($AE$67-$AE61)/(52*7),$T$7,$T$8,$AC$4:$AC$9)*$T$5</f>
        <v>#VALUE!</v>
      </c>
      <c r="AM61" s="87" t="e">
        <f ca="1">BarriarOptionPrice($T$9,$T$6,AA61,($AE$67-$AE61)/(52*7),$T$7,$T$8,$AC$4:$AC$9)*$T$5</f>
        <v>#VALUE!</v>
      </c>
      <c r="AN61" s="87" t="e">
        <f ca="1">BarriarOptionPrice($T$9,$T$6,AB61,($AE$67-$AE61)/(52*7),$T$7,$T$8,$AC$4:$AC$9)*$T$5</f>
        <v>#VALUE!</v>
      </c>
      <c r="AO61" s="44" t="e">
        <f ca="1">BarriarOptionPrice($T$9,$T$6,AC61,($AE$67-$AE61)/(52*7),$T$7,$T$8,$AC$4:$AC$9)*$T$5</f>
        <v>#VALUE!</v>
      </c>
      <c r="AQ61" s="57">
        <f t="shared" si="6"/>
        <v>322</v>
      </c>
      <c r="AR61" s="87" t="e">
        <f ca="1">BarriarOptionPrice($U$9,$U$6,T61,($AQ$67-$AQ61)/(52*7),$U$7,$U$8,$AC$4:$AC$9)*$U$5</f>
        <v>#VALUE!</v>
      </c>
      <c r="AS61" s="87" t="e">
        <f ca="1">BarriarOptionPrice($U$9,$U$6,U61,($AQ$67-$AQ61)/(52*7),$U$7,$U$8,$AC$4:$AC$9)*$U$5</f>
        <v>#VALUE!</v>
      </c>
      <c r="AT61" s="87" t="e">
        <f ca="1">BarriarOptionPrice($U$9,$U$6,V61,($AQ$67-$AQ61)/(52*7),$U$7,$U$8,$AC$4:$AC$9)*$U$5</f>
        <v>#VALUE!</v>
      </c>
      <c r="AU61" s="87" t="e">
        <f ca="1">BarriarOptionPrice($U$9,$U$6,W61,($AQ$67-$AQ61)/(52*7),$U$7,$U$8,$AC$4:$AC$9)*$U$5</f>
        <v>#VALUE!</v>
      </c>
      <c r="AV61" s="87" t="e">
        <f ca="1">BarriarOptionPrice($U$9,$U$6,X61,($AQ$67-$AQ61)/(52*7),$U$7,$U$8,$AC$4:$AC$9)*$U$5</f>
        <v>#VALUE!</v>
      </c>
      <c r="AW61" s="87" t="e">
        <f ca="1">BarriarOptionPrice($U$9,$U$6,Y61,($AQ$67-$AQ61)/(52*7),$U$7,$U$8,$AC$4:$AC$9)*$U$5</f>
        <v>#VALUE!</v>
      </c>
      <c r="AX61" s="87" t="e">
        <f ca="1">BarriarOptionPrice($U$9,$U$6,Z61,($AQ$67-$AQ61)/(52*7),$U$7,$U$8,$AC$4:$AC$9)*$U$5</f>
        <v>#VALUE!</v>
      </c>
      <c r="AY61" s="87" t="e">
        <f ca="1">BarriarOptionPrice($U$9,$U$6,AA61,($AQ$67-$AQ61)/(52*7),$U$7,$U$8,$AC$4:$AC$9)*$U$5</f>
        <v>#VALUE!</v>
      </c>
      <c r="AZ61" s="87" t="e">
        <f ca="1">BarriarOptionPrice($U$9,$U$6,AB61,($AQ$67-$AQ61)/(52*7),$U$7,$U$8,$AC$4:$AC$9)*$U$5</f>
        <v>#VALUE!</v>
      </c>
      <c r="BA61" s="44" t="e">
        <f ca="1">BarriarOptionPrice($U$9,$U$6,AC61,($AQ$67-$AQ61)/(52*7),$U$7,$U$8,$AC$4:$AC$9)*$U$5</f>
        <v>#VALUE!</v>
      </c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</row>
    <row r="62" spans="2:77" x14ac:dyDescent="0.15">
      <c r="B62" s="16">
        <v>40249</v>
      </c>
      <c r="C62" s="29">
        <f t="array" ref="C62">SUMPRODUCT('ファンドデータ(変更不要)'!K62:P62,TRANSPOSE(戦略の決定!$D$13:$D$18))</f>
        <v>1.0193924947776944E-2</v>
      </c>
      <c r="D62" s="29">
        <f t="array" ref="D62">SUMPRODUCT('ファンドデータ(変更不要)'!K62:P62,TRANSPOSE(戦略の決定!$E$13:$E$18))</f>
        <v>1.0094803227484886E-2</v>
      </c>
      <c r="E62" s="29">
        <f t="array" ref="E62">SUMPRODUCT('ファンドデータ(変更不要)'!K62:P62,TRANSPOSE(戦略の決定!$F$13:$F$18))</f>
        <v>1.0094803227484886E-2</v>
      </c>
      <c r="F62" s="183">
        <f t="shared" si="7"/>
        <v>1.1263354419360301</v>
      </c>
      <c r="G62" s="183">
        <f t="shared" si="8"/>
        <v>1.1511122783439951</v>
      </c>
      <c r="H62" s="75">
        <f t="shared" si="9"/>
        <v>1.1511122783439951</v>
      </c>
      <c r="J62" s="46">
        <f t="shared" si="10"/>
        <v>43847</v>
      </c>
      <c r="K62" s="87">
        <f ca="1">IF(K61=0,0,BarriarOptionPrice(K$9,K$6,戦略の決定!$F$51*OFFSET($F$3,MATCH($J62,$B$4:$B$656,0),0)/OFFSET($F$3,MATCH($J$12,$B$4:$B$656,0),0),($J$64-$J62)/(52*7),K$7,K$8,戦略の決定!$D$13:$D$18)*K$5)</f>
        <v>0</v>
      </c>
      <c r="L62" s="87">
        <f ca="1">IF(L61=0,0,BarriarOptionPrice(L$9,L$6,戦略の決定!$F$51*OFFSET($F$3,MATCH($J62,$B$4:$B$656,0),0)/OFFSET($F$3,MATCH($J$12,$B$4:$B$656,0),0),($J$64-$J62)/(52*7),L$7,L$8,戦略の決定!$D$13:$D$18)*L$5)</f>
        <v>0</v>
      </c>
      <c r="M62" s="87">
        <f ca="1">IF(M61=0,0,BarriarOptionPrice(M$9,M$6,戦略の決定!$F$52*OFFSET($G$3,MATCH($J62,$B$4:$B$656,0),0)/OFFSET($G$3,MATCH($J$12,$B$4:$B$656,0),0),($J$64-$J62)/(52*7),M$7,M$8,戦略の決定!$E$13:$E$18)*M$5)</f>
        <v>2.5709972906241858</v>
      </c>
      <c r="N62" s="87">
        <f ca="1">IF(N61=0,0,BarriarOptionPrice(N$9,N$6,戦略の決定!$F$52*OFFSET($G$3,MATCH($J62,$B$4:$B$656,0),0)/OFFSET($G$3,MATCH($J$12,$B$4:$B$656,0),0),($J$64-$J62)/(52*7),N$7,N$8,戦略の決定!$E$13:$E$18)*N$5)</f>
        <v>0</v>
      </c>
      <c r="O62" s="87">
        <f ca="1">IF(O61=0,0,BarriarOptionPrice(O$9,O$6,戦略の決定!$F$53*OFFSET($H$3,MATCH($J62,$B$4:$B$656,0),0)/OFFSET($H$3,MATCH($J$12,$B$4:$B$656,0),0),($J$64-$J62)/(52*7),O$7,O$8,戦略の決定!$F$13:$F$18)*O$5)</f>
        <v>0</v>
      </c>
      <c r="P62" s="44">
        <f ca="1">IF(P61=0,0,BarriarOptionPrice(P$9,P$6,戦略の決定!$F$53*OFFSET($H$3,MATCH($J62,$B$4:$B$656,0),0)/OFFSET($H$3,MATCH($J$12,$B$4:$B$656,0),0),($J$64-$J62)/(52*7),P$7,P$8,戦略の決定!$F$13:$F$18)*P$5)</f>
        <v>0</v>
      </c>
      <c r="S62" s="57">
        <f t="shared" si="4"/>
        <v>329</v>
      </c>
      <c r="T62" s="87" t="e">
        <f ca="1">戦略の決定!$R$10*OFFSET($E$3,MATCH(T$11+$S62,$B$4:$B$656,0),$Z$3)/OFFSET($E$3,MATCH(T$11,$B$4:$B$656,0),$Z$3)</f>
        <v>#VALUE!</v>
      </c>
      <c r="U62" s="87" t="e">
        <f ca="1">戦略の決定!$R$10*OFFSET($E$3,MATCH(U$11+$S62,$B$4:$B$656,0),$Z$3)/OFFSET($E$3,MATCH(U$11,$B$4:$B$656,0),$Z$3)</f>
        <v>#VALUE!</v>
      </c>
      <c r="V62" s="87" t="e">
        <f ca="1">戦略の決定!$R$10*OFFSET($E$3,MATCH(V$11+$S62,$B$4:$B$656,0),$Z$3)/OFFSET($E$3,MATCH(V$11,$B$4:$B$656,0),$Z$3)</f>
        <v>#VALUE!</v>
      </c>
      <c r="W62" s="87" t="e">
        <f ca="1">戦略の決定!$R$10*OFFSET($E$3,MATCH(W$11+$S62,$B$4:$B$656,0),$Z$3)/OFFSET($E$3,MATCH(W$11,$B$4:$B$656,0),$Z$3)</f>
        <v>#VALUE!</v>
      </c>
      <c r="X62" s="87" t="e">
        <f ca="1">戦略の決定!$R$10*OFFSET($E$3,MATCH(X$11+$S62,$B$4:$B$656,0),$Z$3)/OFFSET($E$3,MATCH(X$11,$B$4:$B$656,0),$Z$3)</f>
        <v>#VALUE!</v>
      </c>
      <c r="Y62" s="87" t="e">
        <f ca="1">戦略の決定!$R$10*OFFSET($E$3,MATCH(Y$11+$S62,$B$4:$B$656,0),$Z$3)/OFFSET($E$3,MATCH(Y$11,$B$4:$B$656,0),$Z$3)</f>
        <v>#VALUE!</v>
      </c>
      <c r="Z62" s="87" t="e">
        <f ca="1">戦略の決定!$R$10*OFFSET($E$3,MATCH(Z$11+$S62,$B$4:$B$656,0),$Z$3)/OFFSET($E$3,MATCH(Z$11,$B$4:$B$656,0),$Z$3)</f>
        <v>#VALUE!</v>
      </c>
      <c r="AA62" s="87" t="e">
        <f ca="1">戦略の決定!$R$10*OFFSET($E$3,MATCH(AA$11+$S62,$B$4:$B$656,0),$Z$3)/OFFSET($E$3,MATCH(AA$11,$B$4:$B$656,0),$Z$3)</f>
        <v>#VALUE!</v>
      </c>
      <c r="AB62" s="87" t="e">
        <f ca="1">戦略の決定!$R$10*OFFSET($E$3,MATCH(AB$11+$S62,$B$4:$B$656,0),$Z$3)/OFFSET($E$3,MATCH(AB$11,$B$4:$B$656,0),$Z$3)</f>
        <v>#VALUE!</v>
      </c>
      <c r="AC62" s="44" t="e">
        <f ca="1">戦略の決定!$R$10*OFFSET($E$3,MATCH(AC$11+$S62,$B$4:$B$656,0),$Z$3)/OFFSET($E$3,MATCH(AC$11,$B$4:$B$656,0),$Z$3)</f>
        <v>#VALUE!</v>
      </c>
      <c r="AE62" s="57">
        <f t="shared" si="5"/>
        <v>329</v>
      </c>
      <c r="AF62" s="87" t="e">
        <f ca="1">BarriarOptionPrice($T$9,$T$6,T62,($AE$67-$AE62)/(52*7),$T$7,$T$8,$AC$4:$AC$9)*$T$5</f>
        <v>#VALUE!</v>
      </c>
      <c r="AG62" s="87" t="e">
        <f ca="1">BarriarOptionPrice($T$9,$T$6,U62,($AE$67-$AE62)/(52*7),$T$7,$T$8,$AC$4:$AC$9)*$T$5</f>
        <v>#VALUE!</v>
      </c>
      <c r="AH62" s="87" t="e">
        <f ca="1">BarriarOptionPrice($T$9,$T$6,V62,($AE$67-$AE62)/(52*7),$T$7,$T$8,$AC$4:$AC$9)*$T$5</f>
        <v>#VALUE!</v>
      </c>
      <c r="AI62" s="87" t="e">
        <f ca="1">BarriarOptionPrice($T$9,$T$6,W62,($AE$67-$AE62)/(52*7),$T$7,$T$8,$AC$4:$AC$9)*$T$5</f>
        <v>#VALUE!</v>
      </c>
      <c r="AJ62" s="87" t="e">
        <f ca="1">BarriarOptionPrice($T$9,$T$6,X62,($AE$67-$AE62)/(52*7),$T$7,$T$8,$AC$4:$AC$9)*$T$5</f>
        <v>#VALUE!</v>
      </c>
      <c r="AK62" s="87" t="e">
        <f ca="1">BarriarOptionPrice($T$9,$T$6,Y62,($AE$67-$AE62)/(52*7),$T$7,$T$8,$AC$4:$AC$9)*$T$5</f>
        <v>#VALUE!</v>
      </c>
      <c r="AL62" s="87" t="e">
        <f ca="1">BarriarOptionPrice($T$9,$T$6,Z62,($AE$67-$AE62)/(52*7),$T$7,$T$8,$AC$4:$AC$9)*$T$5</f>
        <v>#VALUE!</v>
      </c>
      <c r="AM62" s="87" t="e">
        <f ca="1">BarriarOptionPrice($T$9,$T$6,AA62,($AE$67-$AE62)/(52*7),$T$7,$T$8,$AC$4:$AC$9)*$T$5</f>
        <v>#VALUE!</v>
      </c>
      <c r="AN62" s="87" t="e">
        <f ca="1">BarriarOptionPrice($T$9,$T$6,AB62,($AE$67-$AE62)/(52*7),$T$7,$T$8,$AC$4:$AC$9)*$T$5</f>
        <v>#VALUE!</v>
      </c>
      <c r="AO62" s="44" t="e">
        <f ca="1">BarriarOptionPrice($T$9,$T$6,AC62,($AE$67-$AE62)/(52*7),$T$7,$T$8,$AC$4:$AC$9)*$T$5</f>
        <v>#VALUE!</v>
      </c>
      <c r="AQ62" s="57">
        <f t="shared" si="6"/>
        <v>329</v>
      </c>
      <c r="AR62" s="87" t="e">
        <f ca="1">BarriarOptionPrice($U$9,$U$6,T62,($AQ$67-$AQ62)/(52*7),$U$7,$U$8,$AC$4:$AC$9)*$U$5</f>
        <v>#VALUE!</v>
      </c>
      <c r="AS62" s="87" t="e">
        <f ca="1">BarriarOptionPrice($U$9,$U$6,U62,($AQ$67-$AQ62)/(52*7),$U$7,$U$8,$AC$4:$AC$9)*$U$5</f>
        <v>#VALUE!</v>
      </c>
      <c r="AT62" s="87" t="e">
        <f ca="1">BarriarOptionPrice($U$9,$U$6,V62,($AQ$67-$AQ62)/(52*7),$U$7,$U$8,$AC$4:$AC$9)*$U$5</f>
        <v>#VALUE!</v>
      </c>
      <c r="AU62" s="87" t="e">
        <f ca="1">BarriarOptionPrice($U$9,$U$6,W62,($AQ$67-$AQ62)/(52*7),$U$7,$U$8,$AC$4:$AC$9)*$U$5</f>
        <v>#VALUE!</v>
      </c>
      <c r="AV62" s="87" t="e">
        <f ca="1">BarriarOptionPrice($U$9,$U$6,X62,($AQ$67-$AQ62)/(52*7),$U$7,$U$8,$AC$4:$AC$9)*$U$5</f>
        <v>#VALUE!</v>
      </c>
      <c r="AW62" s="87" t="e">
        <f ca="1">BarriarOptionPrice($U$9,$U$6,Y62,($AQ$67-$AQ62)/(52*7),$U$7,$U$8,$AC$4:$AC$9)*$U$5</f>
        <v>#VALUE!</v>
      </c>
      <c r="AX62" s="87" t="e">
        <f ca="1">BarriarOptionPrice($U$9,$U$6,Z62,($AQ$67-$AQ62)/(52*7),$U$7,$U$8,$AC$4:$AC$9)*$U$5</f>
        <v>#VALUE!</v>
      </c>
      <c r="AY62" s="87" t="e">
        <f ca="1">BarriarOptionPrice($U$9,$U$6,AA62,($AQ$67-$AQ62)/(52*7),$U$7,$U$8,$AC$4:$AC$9)*$U$5</f>
        <v>#VALUE!</v>
      </c>
      <c r="AZ62" s="87" t="e">
        <f ca="1">BarriarOptionPrice($U$9,$U$6,AB62,($AQ$67-$AQ62)/(52*7),$U$7,$U$8,$AC$4:$AC$9)*$U$5</f>
        <v>#VALUE!</v>
      </c>
      <c r="BA62" s="44" t="e">
        <f ca="1">BarriarOptionPrice($U$9,$U$6,AC62,($AQ$67-$AQ62)/(52*7),$U$7,$U$8,$AC$4:$AC$9)*$U$5</f>
        <v>#VALUE!</v>
      </c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</row>
    <row r="63" spans="2:77" x14ac:dyDescent="0.15">
      <c r="B63" s="16">
        <v>40256</v>
      </c>
      <c r="C63" s="29">
        <f t="array" ref="C63">SUMPRODUCT('ファンドデータ(変更不要)'!K63:P63,TRANSPOSE(戦略の決定!$D$13:$D$18))</f>
        <v>5.5887327188825905E-3</v>
      </c>
      <c r="D63" s="29">
        <f t="array" ref="D63">SUMPRODUCT('ファンドデータ(変更不要)'!K63:P63,TRANSPOSE(戦略の決定!$E$13:$E$18))</f>
        <v>9.8622794929063076E-3</v>
      </c>
      <c r="E63" s="29">
        <f t="array" ref="E63">SUMPRODUCT('ファンドデータ(変更不要)'!K63:P63,TRANSPOSE(戦略の決定!$F$13:$F$18))</f>
        <v>9.8622794929063076E-3</v>
      </c>
      <c r="F63" s="183">
        <f t="shared" si="7"/>
        <v>1.132630229672815</v>
      </c>
      <c r="G63" s="183">
        <f t="shared" si="8"/>
        <v>1.1624648693607398</v>
      </c>
      <c r="H63" s="75">
        <f t="shared" si="9"/>
        <v>1.1624648693607398</v>
      </c>
      <c r="J63" s="46">
        <f t="shared" si="10"/>
        <v>43854</v>
      </c>
      <c r="K63" s="87">
        <f ca="1">IF(K62=0,0,BarriarOptionPrice(K$9,K$6,戦略の決定!$F$51*OFFSET($F$3,MATCH($J63,$B$4:$B$656,0),0)/OFFSET($F$3,MATCH($J$12,$B$4:$B$656,0),0),($J$64-$J63)/(52*7),K$7,K$8,戦略の決定!$D$13:$D$18)*K$5)</f>
        <v>0</v>
      </c>
      <c r="L63" s="87">
        <f ca="1">IF(L62=0,0,BarriarOptionPrice(L$9,L$6,戦略の決定!$F$51*OFFSET($F$3,MATCH($J63,$B$4:$B$656,0),0)/OFFSET($F$3,MATCH($J$12,$B$4:$B$656,0),0),($J$64-$J63)/(52*7),L$7,L$8,戦略の決定!$D$13:$D$18)*L$5)</f>
        <v>0</v>
      </c>
      <c r="M63" s="87">
        <f ca="1">IF(M62=0,0,BarriarOptionPrice(M$9,M$6,戦略の決定!$F$52*OFFSET($G$3,MATCH($J63,$B$4:$B$656,0),0)/OFFSET($G$3,MATCH($J$12,$B$4:$B$656,0),0),($J$64-$J63)/(52*7),M$7,M$8,戦略の決定!$E$13:$E$18)*M$5)</f>
        <v>0.41808746862879814</v>
      </c>
      <c r="N63" s="87">
        <f ca="1">IF(N62=0,0,BarriarOptionPrice(N$9,N$6,戦略の決定!$F$52*OFFSET($G$3,MATCH($J63,$B$4:$B$656,0),0)/OFFSET($G$3,MATCH($J$12,$B$4:$B$656,0),0),($J$64-$J63)/(52*7),N$7,N$8,戦略の決定!$E$13:$E$18)*N$5)</f>
        <v>0</v>
      </c>
      <c r="O63" s="87">
        <f ca="1">IF(O62=0,0,BarriarOptionPrice(O$9,O$6,戦略の決定!$F$53*OFFSET($H$3,MATCH($J63,$B$4:$B$656,0),0)/OFFSET($H$3,MATCH($J$12,$B$4:$B$656,0),0),($J$64-$J63)/(52*7),O$7,O$8,戦略の決定!$F$13:$F$18)*O$5)</f>
        <v>0</v>
      </c>
      <c r="P63" s="44">
        <f ca="1">IF(P62=0,0,BarriarOptionPrice(P$9,P$6,戦略の決定!$F$53*OFFSET($H$3,MATCH($J63,$B$4:$B$656,0),0)/OFFSET($H$3,MATCH($J$12,$B$4:$B$656,0),0),($J$64-$J63)/(52*7),P$7,P$8,戦略の決定!$F$13:$F$18)*P$5)</f>
        <v>0</v>
      </c>
      <c r="S63" s="57">
        <f t="shared" si="4"/>
        <v>336</v>
      </c>
      <c r="T63" s="87" t="e">
        <f ca="1">戦略の決定!$R$10*OFFSET($E$3,MATCH(T$11+$S63,$B$4:$B$656,0),$Z$3)/OFFSET($E$3,MATCH(T$11,$B$4:$B$656,0),$Z$3)</f>
        <v>#VALUE!</v>
      </c>
      <c r="U63" s="87" t="e">
        <f ca="1">戦略の決定!$R$10*OFFSET($E$3,MATCH(U$11+$S63,$B$4:$B$656,0),$Z$3)/OFFSET($E$3,MATCH(U$11,$B$4:$B$656,0),$Z$3)</f>
        <v>#VALUE!</v>
      </c>
      <c r="V63" s="87" t="e">
        <f ca="1">戦略の決定!$R$10*OFFSET($E$3,MATCH(V$11+$S63,$B$4:$B$656,0),$Z$3)/OFFSET($E$3,MATCH(V$11,$B$4:$B$656,0),$Z$3)</f>
        <v>#VALUE!</v>
      </c>
      <c r="W63" s="87" t="e">
        <f ca="1">戦略の決定!$R$10*OFFSET($E$3,MATCH(W$11+$S63,$B$4:$B$656,0),$Z$3)/OFFSET($E$3,MATCH(W$11,$B$4:$B$656,0),$Z$3)</f>
        <v>#VALUE!</v>
      </c>
      <c r="X63" s="87" t="e">
        <f ca="1">戦略の決定!$R$10*OFFSET($E$3,MATCH(X$11+$S63,$B$4:$B$656,0),$Z$3)/OFFSET($E$3,MATCH(X$11,$B$4:$B$656,0),$Z$3)</f>
        <v>#VALUE!</v>
      </c>
      <c r="Y63" s="87" t="e">
        <f ca="1">戦略の決定!$R$10*OFFSET($E$3,MATCH(Y$11+$S63,$B$4:$B$656,0),$Z$3)/OFFSET($E$3,MATCH(Y$11,$B$4:$B$656,0),$Z$3)</f>
        <v>#VALUE!</v>
      </c>
      <c r="Z63" s="87" t="e">
        <f ca="1">戦略の決定!$R$10*OFFSET($E$3,MATCH(Z$11+$S63,$B$4:$B$656,0),$Z$3)/OFFSET($E$3,MATCH(Z$11,$B$4:$B$656,0),$Z$3)</f>
        <v>#VALUE!</v>
      </c>
      <c r="AA63" s="87" t="e">
        <f ca="1">戦略の決定!$R$10*OFFSET($E$3,MATCH(AA$11+$S63,$B$4:$B$656,0),$Z$3)/OFFSET($E$3,MATCH(AA$11,$B$4:$B$656,0),$Z$3)</f>
        <v>#VALUE!</v>
      </c>
      <c r="AB63" s="87" t="e">
        <f ca="1">戦略の決定!$R$10*OFFSET($E$3,MATCH(AB$11+$S63,$B$4:$B$656,0),$Z$3)/OFFSET($E$3,MATCH(AB$11,$B$4:$B$656,0),$Z$3)</f>
        <v>#VALUE!</v>
      </c>
      <c r="AC63" s="44" t="e">
        <f ca="1">戦略の決定!$R$10*OFFSET($E$3,MATCH(AC$11+$S63,$B$4:$B$656,0),$Z$3)/OFFSET($E$3,MATCH(AC$11,$B$4:$B$656,0),$Z$3)</f>
        <v>#VALUE!</v>
      </c>
      <c r="AE63" s="57">
        <f t="shared" si="5"/>
        <v>336</v>
      </c>
      <c r="AF63" s="87" t="e">
        <f ca="1">BarriarOptionPrice($T$9,$T$6,T63,($AE$67-$AE63)/(52*7),$T$7,$T$8,$AC$4:$AC$9)*$T$5</f>
        <v>#VALUE!</v>
      </c>
      <c r="AG63" s="87" t="e">
        <f ca="1">BarriarOptionPrice($T$9,$T$6,U63,($AE$67-$AE63)/(52*7),$T$7,$T$8,$AC$4:$AC$9)*$T$5</f>
        <v>#VALUE!</v>
      </c>
      <c r="AH63" s="87" t="e">
        <f ca="1">BarriarOptionPrice($T$9,$T$6,V63,($AE$67-$AE63)/(52*7),$T$7,$T$8,$AC$4:$AC$9)*$T$5</f>
        <v>#VALUE!</v>
      </c>
      <c r="AI63" s="87" t="e">
        <f ca="1">BarriarOptionPrice($T$9,$T$6,W63,($AE$67-$AE63)/(52*7),$T$7,$T$8,$AC$4:$AC$9)*$T$5</f>
        <v>#VALUE!</v>
      </c>
      <c r="AJ63" s="87" t="e">
        <f ca="1">BarriarOptionPrice($T$9,$T$6,X63,($AE$67-$AE63)/(52*7),$T$7,$T$8,$AC$4:$AC$9)*$T$5</f>
        <v>#VALUE!</v>
      </c>
      <c r="AK63" s="87" t="e">
        <f ca="1">BarriarOptionPrice($T$9,$T$6,Y63,($AE$67-$AE63)/(52*7),$T$7,$T$8,$AC$4:$AC$9)*$T$5</f>
        <v>#VALUE!</v>
      </c>
      <c r="AL63" s="87" t="e">
        <f ca="1">BarriarOptionPrice($T$9,$T$6,Z63,($AE$67-$AE63)/(52*7),$T$7,$T$8,$AC$4:$AC$9)*$T$5</f>
        <v>#VALUE!</v>
      </c>
      <c r="AM63" s="87" t="e">
        <f ca="1">BarriarOptionPrice($T$9,$T$6,AA63,($AE$67-$AE63)/(52*7),$T$7,$T$8,$AC$4:$AC$9)*$T$5</f>
        <v>#VALUE!</v>
      </c>
      <c r="AN63" s="87" t="e">
        <f ca="1">BarriarOptionPrice($T$9,$T$6,AB63,($AE$67-$AE63)/(52*7),$T$7,$T$8,$AC$4:$AC$9)*$T$5</f>
        <v>#VALUE!</v>
      </c>
      <c r="AO63" s="44" t="e">
        <f ca="1">BarriarOptionPrice($T$9,$T$6,AC63,($AE$67-$AE63)/(52*7),$T$7,$T$8,$AC$4:$AC$9)*$T$5</f>
        <v>#VALUE!</v>
      </c>
      <c r="AQ63" s="57">
        <f t="shared" si="6"/>
        <v>336</v>
      </c>
      <c r="AR63" s="87" t="e">
        <f ca="1">BarriarOptionPrice($U$9,$U$6,T63,($AQ$67-$AQ63)/(52*7),$U$7,$U$8,$AC$4:$AC$9)*$U$5</f>
        <v>#VALUE!</v>
      </c>
      <c r="AS63" s="87" t="e">
        <f ca="1">BarriarOptionPrice($U$9,$U$6,U63,($AQ$67-$AQ63)/(52*7),$U$7,$U$8,$AC$4:$AC$9)*$U$5</f>
        <v>#VALUE!</v>
      </c>
      <c r="AT63" s="87" t="e">
        <f ca="1">BarriarOptionPrice($U$9,$U$6,V63,($AQ$67-$AQ63)/(52*7),$U$7,$U$8,$AC$4:$AC$9)*$U$5</f>
        <v>#VALUE!</v>
      </c>
      <c r="AU63" s="87" t="e">
        <f ca="1">BarriarOptionPrice($U$9,$U$6,W63,($AQ$67-$AQ63)/(52*7),$U$7,$U$8,$AC$4:$AC$9)*$U$5</f>
        <v>#VALUE!</v>
      </c>
      <c r="AV63" s="87" t="e">
        <f ca="1">BarriarOptionPrice($U$9,$U$6,X63,($AQ$67-$AQ63)/(52*7),$U$7,$U$8,$AC$4:$AC$9)*$U$5</f>
        <v>#VALUE!</v>
      </c>
      <c r="AW63" s="87" t="e">
        <f ca="1">BarriarOptionPrice($U$9,$U$6,Y63,($AQ$67-$AQ63)/(52*7),$U$7,$U$8,$AC$4:$AC$9)*$U$5</f>
        <v>#VALUE!</v>
      </c>
      <c r="AX63" s="87" t="e">
        <f ca="1">BarriarOptionPrice($U$9,$U$6,Z63,($AQ$67-$AQ63)/(52*7),$U$7,$U$8,$AC$4:$AC$9)*$U$5</f>
        <v>#VALUE!</v>
      </c>
      <c r="AY63" s="87" t="e">
        <f ca="1">BarriarOptionPrice($U$9,$U$6,AA63,($AQ$67-$AQ63)/(52*7),$U$7,$U$8,$AC$4:$AC$9)*$U$5</f>
        <v>#VALUE!</v>
      </c>
      <c r="AZ63" s="87" t="e">
        <f ca="1">BarriarOptionPrice($U$9,$U$6,AB63,($AQ$67-$AQ63)/(52*7),$U$7,$U$8,$AC$4:$AC$9)*$U$5</f>
        <v>#VALUE!</v>
      </c>
      <c r="BA63" s="44" t="e">
        <f ca="1">BarriarOptionPrice($U$9,$U$6,AC63,($AQ$67-$AQ63)/(52*7),$U$7,$U$8,$AC$4:$AC$9)*$U$5</f>
        <v>#VALUE!</v>
      </c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</row>
    <row r="64" spans="2:77" ht="16.5" thickBot="1" x14ac:dyDescent="0.2">
      <c r="B64" s="16">
        <v>40263</v>
      </c>
      <c r="C64" s="29">
        <f t="array" ref="C64">SUMPRODUCT('ファンドデータ(変更不要)'!K64:P64,TRANSPOSE(戦略の決定!$D$13:$D$18))</f>
        <v>3.6187628607223278E-3</v>
      </c>
      <c r="D64" s="29">
        <f t="array" ref="D64">SUMPRODUCT('ファンドデータ(変更不要)'!K64:P64,TRANSPOSE(戦略の決定!$E$13:$E$18))</f>
        <v>3.6354098247421561E-3</v>
      </c>
      <c r="E64" s="29">
        <f t="array" ref="E64">SUMPRODUCT('ファンドデータ(変更不要)'!K64:P64,TRANSPOSE(戦略の決定!$F$13:$F$18))</f>
        <v>3.6354098247421561E-3</v>
      </c>
      <c r="F64" s="183">
        <f t="shared" si="7"/>
        <v>1.1367289498828863</v>
      </c>
      <c r="G64" s="183">
        <f t="shared" si="8"/>
        <v>1.1666909055677315</v>
      </c>
      <c r="H64" s="75">
        <f t="shared" si="9"/>
        <v>1.1666909055677315</v>
      </c>
      <c r="J64" s="50">
        <f t="shared" si="10"/>
        <v>43861</v>
      </c>
      <c r="K64" s="88">
        <f ca="1">IF(K63=0,0,BarriarOptionPrice(K$9,K$6,戦略の決定!$F$51*OFFSET($F$3,MATCH($J64,$B$4:$B$656,0),0)/OFFSET($F$3,MATCH($J$12,$B$4:$B$656,0),0),($J$64-$J64)/(52*7),K$7,K$8,戦略の決定!$D$13:$D$18)*K$5)</f>
        <v>0</v>
      </c>
      <c r="L64" s="88">
        <f ca="1">IF(L63=0,0,BarriarOptionPrice(L$9,L$6,戦略の決定!$F$51*OFFSET($F$3,MATCH($J64,$B$4:$B$656,0),0)/OFFSET($F$3,MATCH($J$12,$B$4:$B$656,0),0),($J$64-$J64)/(52*7),L$7,L$8,戦略の決定!$D$13:$D$18)*L$5)</f>
        <v>0</v>
      </c>
      <c r="M64" s="88">
        <f ca="1">IF(M63=0,0,BarriarOptionPrice(M$9,M$6,戦略の決定!$F$52*OFFSET($G$3,MATCH($J64,$B$4:$B$656,0),0)/OFFSET($G$3,MATCH($J$12,$B$4:$B$656,0),0),($J$64-$J64)/(52*7),M$7,M$8,戦略の決定!$E$13:$E$18)*M$5)</f>
        <v>0</v>
      </c>
      <c r="N64" s="88">
        <f ca="1">IF(N63=0,0,BarriarOptionPrice(N$9,N$6,戦略の決定!$F$52*OFFSET($G$3,MATCH($J64,$B$4:$B$656,0),0)/OFFSET($G$3,MATCH($J$12,$B$4:$B$656,0),0),($J$64-$J64)/(52*7),N$7,N$8,戦略の決定!$E$13:$E$18)*N$5)</f>
        <v>0</v>
      </c>
      <c r="O64" s="88">
        <f ca="1">IF(O63=0,0,BarriarOptionPrice(O$9,O$6,戦略の決定!$F$53*OFFSET($H$3,MATCH($J64,$B$4:$B$656,0),0)/OFFSET($H$3,MATCH($J$12,$B$4:$B$656,0),0),($J$64-$J64)/(52*7),O$7,O$8,戦略の決定!$F$13:$F$18)*O$5)</f>
        <v>0</v>
      </c>
      <c r="P64" s="45">
        <f ca="1">IF(P63=0,0,BarriarOptionPrice(P$9,P$6,戦略の決定!$F$53*OFFSET($H$3,MATCH($J64,$B$4:$B$656,0),0)/OFFSET($H$3,MATCH($J$12,$B$4:$B$656,0),0),($J$64-$J64)/(52*7),P$7,P$8,戦略の決定!$F$13:$F$18)*P$5)</f>
        <v>0</v>
      </c>
      <c r="S64" s="57">
        <f t="shared" si="4"/>
        <v>343</v>
      </c>
      <c r="T64" s="87" t="e">
        <f ca="1">戦略の決定!$R$10*OFFSET($E$3,MATCH(T$11+$S64,$B$4:$B$656,0),$Z$3)/OFFSET($E$3,MATCH(T$11,$B$4:$B$656,0),$Z$3)</f>
        <v>#VALUE!</v>
      </c>
      <c r="U64" s="87" t="e">
        <f ca="1">戦略の決定!$R$10*OFFSET($E$3,MATCH(U$11+$S64,$B$4:$B$656,0),$Z$3)/OFFSET($E$3,MATCH(U$11,$B$4:$B$656,0),$Z$3)</f>
        <v>#VALUE!</v>
      </c>
      <c r="V64" s="87" t="e">
        <f ca="1">戦略の決定!$R$10*OFFSET($E$3,MATCH(V$11+$S64,$B$4:$B$656,0),$Z$3)/OFFSET($E$3,MATCH(V$11,$B$4:$B$656,0),$Z$3)</f>
        <v>#VALUE!</v>
      </c>
      <c r="W64" s="87" t="e">
        <f ca="1">戦略の決定!$R$10*OFFSET($E$3,MATCH(W$11+$S64,$B$4:$B$656,0),$Z$3)/OFFSET($E$3,MATCH(W$11,$B$4:$B$656,0),$Z$3)</f>
        <v>#VALUE!</v>
      </c>
      <c r="X64" s="87" t="e">
        <f ca="1">戦略の決定!$R$10*OFFSET($E$3,MATCH(X$11+$S64,$B$4:$B$656,0),$Z$3)/OFFSET($E$3,MATCH(X$11,$B$4:$B$656,0),$Z$3)</f>
        <v>#VALUE!</v>
      </c>
      <c r="Y64" s="87" t="e">
        <f ca="1">戦略の決定!$R$10*OFFSET($E$3,MATCH(Y$11+$S64,$B$4:$B$656,0),$Z$3)/OFFSET($E$3,MATCH(Y$11,$B$4:$B$656,0),$Z$3)</f>
        <v>#VALUE!</v>
      </c>
      <c r="Z64" s="87" t="e">
        <f ca="1">戦略の決定!$R$10*OFFSET($E$3,MATCH(Z$11+$S64,$B$4:$B$656,0),$Z$3)/OFFSET($E$3,MATCH(Z$11,$B$4:$B$656,0),$Z$3)</f>
        <v>#VALUE!</v>
      </c>
      <c r="AA64" s="87" t="e">
        <f ca="1">戦略の決定!$R$10*OFFSET($E$3,MATCH(AA$11+$S64,$B$4:$B$656,0),$Z$3)/OFFSET($E$3,MATCH(AA$11,$B$4:$B$656,0),$Z$3)</f>
        <v>#VALUE!</v>
      </c>
      <c r="AB64" s="87" t="e">
        <f ca="1">戦略の決定!$R$10*OFFSET($E$3,MATCH(AB$11+$S64,$B$4:$B$656,0),$Z$3)/OFFSET($E$3,MATCH(AB$11,$B$4:$B$656,0),$Z$3)</f>
        <v>#VALUE!</v>
      </c>
      <c r="AC64" s="44" t="e">
        <f ca="1">戦略の決定!$R$10*OFFSET($E$3,MATCH(AC$11+$S64,$B$4:$B$656,0),$Z$3)/OFFSET($E$3,MATCH(AC$11,$B$4:$B$656,0),$Z$3)</f>
        <v>#VALUE!</v>
      </c>
      <c r="AE64" s="57">
        <f t="shared" si="5"/>
        <v>343</v>
      </c>
      <c r="AF64" s="87" t="e">
        <f ca="1">BarriarOptionPrice($T$9,$T$6,T64,($AE$67-$AE64)/(52*7),$T$7,$T$8,$AC$4:$AC$9)*$T$5</f>
        <v>#VALUE!</v>
      </c>
      <c r="AG64" s="87" t="e">
        <f ca="1">BarriarOptionPrice($T$9,$T$6,U64,($AE$67-$AE64)/(52*7),$T$7,$T$8,$AC$4:$AC$9)*$T$5</f>
        <v>#VALUE!</v>
      </c>
      <c r="AH64" s="87" t="e">
        <f ca="1">BarriarOptionPrice($T$9,$T$6,V64,($AE$67-$AE64)/(52*7),$T$7,$T$8,$AC$4:$AC$9)*$T$5</f>
        <v>#VALUE!</v>
      </c>
      <c r="AI64" s="87" t="e">
        <f ca="1">BarriarOptionPrice($T$9,$T$6,W64,($AE$67-$AE64)/(52*7),$T$7,$T$8,$AC$4:$AC$9)*$T$5</f>
        <v>#VALUE!</v>
      </c>
      <c r="AJ64" s="87" t="e">
        <f ca="1">BarriarOptionPrice($T$9,$T$6,X64,($AE$67-$AE64)/(52*7),$T$7,$T$8,$AC$4:$AC$9)*$T$5</f>
        <v>#VALUE!</v>
      </c>
      <c r="AK64" s="87" t="e">
        <f ca="1">BarriarOptionPrice($T$9,$T$6,Y64,($AE$67-$AE64)/(52*7),$T$7,$T$8,$AC$4:$AC$9)*$T$5</f>
        <v>#VALUE!</v>
      </c>
      <c r="AL64" s="87" t="e">
        <f ca="1">BarriarOptionPrice($T$9,$T$6,Z64,($AE$67-$AE64)/(52*7),$T$7,$T$8,$AC$4:$AC$9)*$T$5</f>
        <v>#VALUE!</v>
      </c>
      <c r="AM64" s="87" t="e">
        <f ca="1">BarriarOptionPrice($T$9,$T$6,AA64,($AE$67-$AE64)/(52*7),$T$7,$T$8,$AC$4:$AC$9)*$T$5</f>
        <v>#VALUE!</v>
      </c>
      <c r="AN64" s="87" t="e">
        <f ca="1">BarriarOptionPrice($T$9,$T$6,AB64,($AE$67-$AE64)/(52*7),$T$7,$T$8,$AC$4:$AC$9)*$T$5</f>
        <v>#VALUE!</v>
      </c>
      <c r="AO64" s="44" t="e">
        <f ca="1">BarriarOptionPrice($T$9,$T$6,AC64,($AE$67-$AE64)/(52*7),$T$7,$T$8,$AC$4:$AC$9)*$T$5</f>
        <v>#VALUE!</v>
      </c>
      <c r="AQ64" s="57">
        <f t="shared" si="6"/>
        <v>343</v>
      </c>
      <c r="AR64" s="87" t="e">
        <f ca="1">BarriarOptionPrice($U$9,$U$6,T64,($AQ$67-$AQ64)/(52*7),$U$7,$U$8,$AC$4:$AC$9)*$U$5</f>
        <v>#VALUE!</v>
      </c>
      <c r="AS64" s="87" t="e">
        <f ca="1">BarriarOptionPrice($U$9,$U$6,U64,($AQ$67-$AQ64)/(52*7),$U$7,$U$8,$AC$4:$AC$9)*$U$5</f>
        <v>#VALUE!</v>
      </c>
      <c r="AT64" s="87" t="e">
        <f ca="1">BarriarOptionPrice($U$9,$U$6,V64,($AQ$67-$AQ64)/(52*7),$U$7,$U$8,$AC$4:$AC$9)*$U$5</f>
        <v>#VALUE!</v>
      </c>
      <c r="AU64" s="87" t="e">
        <f ca="1">BarriarOptionPrice($U$9,$U$6,W64,($AQ$67-$AQ64)/(52*7),$U$7,$U$8,$AC$4:$AC$9)*$U$5</f>
        <v>#VALUE!</v>
      </c>
      <c r="AV64" s="87" t="e">
        <f ca="1">BarriarOptionPrice($U$9,$U$6,X64,($AQ$67-$AQ64)/(52*7),$U$7,$U$8,$AC$4:$AC$9)*$U$5</f>
        <v>#VALUE!</v>
      </c>
      <c r="AW64" s="87" t="e">
        <f ca="1">BarriarOptionPrice($U$9,$U$6,Y64,($AQ$67-$AQ64)/(52*7),$U$7,$U$8,$AC$4:$AC$9)*$U$5</f>
        <v>#VALUE!</v>
      </c>
      <c r="AX64" s="87" t="e">
        <f ca="1">BarriarOptionPrice($U$9,$U$6,Z64,($AQ$67-$AQ64)/(52*7),$U$7,$U$8,$AC$4:$AC$9)*$U$5</f>
        <v>#VALUE!</v>
      </c>
      <c r="AY64" s="87" t="e">
        <f ca="1">BarriarOptionPrice($U$9,$U$6,AA64,($AQ$67-$AQ64)/(52*7),$U$7,$U$8,$AC$4:$AC$9)*$U$5</f>
        <v>#VALUE!</v>
      </c>
      <c r="AZ64" s="87" t="e">
        <f ca="1">BarriarOptionPrice($U$9,$U$6,AB64,($AQ$67-$AQ64)/(52*7),$U$7,$U$8,$AC$4:$AC$9)*$U$5</f>
        <v>#VALUE!</v>
      </c>
      <c r="BA64" s="44" t="e">
        <f ca="1">BarriarOptionPrice($U$9,$U$6,AC64,($AQ$67-$AQ64)/(52*7),$U$7,$U$8,$AC$4:$AC$9)*$U$5</f>
        <v>#VALUE!</v>
      </c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</row>
    <row r="65" spans="2:77" x14ac:dyDescent="0.15">
      <c r="B65" s="16">
        <v>40270</v>
      </c>
      <c r="C65" s="29">
        <f t="array" ref="C65">SUMPRODUCT('ファンドデータ(変更不要)'!K65:P65,TRANSPOSE(戦略の決定!$D$13:$D$18))</f>
        <v>2.2125775250230011E-2</v>
      </c>
      <c r="D65" s="29">
        <f t="array" ref="D65">SUMPRODUCT('ファンドデータ(変更不要)'!K65:P65,TRANSPOSE(戦略の決定!$E$13:$E$18))</f>
        <v>2.6397889330161142E-2</v>
      </c>
      <c r="E65" s="29">
        <f t="array" ref="E65">SUMPRODUCT('ファンドデータ(変更不要)'!K65:P65,TRANSPOSE(戦略の決定!$F$13:$F$18))</f>
        <v>2.6397889330161142E-2</v>
      </c>
      <c r="F65" s="183">
        <f t="shared" si="7"/>
        <v>1.161879959148425</v>
      </c>
      <c r="G65" s="183">
        <f t="shared" si="8"/>
        <v>1.1974890829754139</v>
      </c>
      <c r="H65" s="75">
        <f t="shared" si="9"/>
        <v>1.1974890829754139</v>
      </c>
      <c r="J65"/>
      <c r="K65"/>
      <c r="L65"/>
      <c r="M65"/>
      <c r="N65"/>
      <c r="O65"/>
      <c r="P65"/>
      <c r="S65" s="57">
        <f t="shared" si="4"/>
        <v>350</v>
      </c>
      <c r="T65" s="87" t="e">
        <f ca="1">戦略の決定!$R$10*OFFSET($E$3,MATCH(T$11+$S65,$B$4:$B$656,0),$Z$3)/OFFSET($E$3,MATCH(T$11,$B$4:$B$656,0),$Z$3)</f>
        <v>#VALUE!</v>
      </c>
      <c r="U65" s="87" t="e">
        <f ca="1">戦略の決定!$R$10*OFFSET($E$3,MATCH(U$11+$S65,$B$4:$B$656,0),$Z$3)/OFFSET($E$3,MATCH(U$11,$B$4:$B$656,0),$Z$3)</f>
        <v>#VALUE!</v>
      </c>
      <c r="V65" s="87" t="e">
        <f ca="1">戦略の決定!$R$10*OFFSET($E$3,MATCH(V$11+$S65,$B$4:$B$656,0),$Z$3)/OFFSET($E$3,MATCH(V$11,$B$4:$B$656,0),$Z$3)</f>
        <v>#VALUE!</v>
      </c>
      <c r="W65" s="87" t="e">
        <f ca="1">戦略の決定!$R$10*OFFSET($E$3,MATCH(W$11+$S65,$B$4:$B$656,0),$Z$3)/OFFSET($E$3,MATCH(W$11,$B$4:$B$656,0),$Z$3)</f>
        <v>#VALUE!</v>
      </c>
      <c r="X65" s="87" t="e">
        <f ca="1">戦略の決定!$R$10*OFFSET($E$3,MATCH(X$11+$S65,$B$4:$B$656,0),$Z$3)/OFFSET($E$3,MATCH(X$11,$B$4:$B$656,0),$Z$3)</f>
        <v>#VALUE!</v>
      </c>
      <c r="Y65" s="87" t="e">
        <f ca="1">戦略の決定!$R$10*OFFSET($E$3,MATCH(Y$11+$S65,$B$4:$B$656,0),$Z$3)/OFFSET($E$3,MATCH(Y$11,$B$4:$B$656,0),$Z$3)</f>
        <v>#VALUE!</v>
      </c>
      <c r="Z65" s="87" t="e">
        <f ca="1">戦略の決定!$R$10*OFFSET($E$3,MATCH(Z$11+$S65,$B$4:$B$656,0),$Z$3)/OFFSET($E$3,MATCH(Z$11,$B$4:$B$656,0),$Z$3)</f>
        <v>#VALUE!</v>
      </c>
      <c r="AA65" s="87" t="e">
        <f ca="1">戦略の決定!$R$10*OFFSET($E$3,MATCH(AA$11+$S65,$B$4:$B$656,0),$Z$3)/OFFSET($E$3,MATCH(AA$11,$B$4:$B$656,0),$Z$3)</f>
        <v>#VALUE!</v>
      </c>
      <c r="AB65" s="87" t="e">
        <f ca="1">戦略の決定!$R$10*OFFSET($E$3,MATCH(AB$11+$S65,$B$4:$B$656,0),$Z$3)/OFFSET($E$3,MATCH(AB$11,$B$4:$B$656,0),$Z$3)</f>
        <v>#VALUE!</v>
      </c>
      <c r="AC65" s="44" t="e">
        <f ca="1">戦略の決定!$R$10*OFFSET($E$3,MATCH(AC$11+$S65,$B$4:$B$656,0),$Z$3)/OFFSET($E$3,MATCH(AC$11,$B$4:$B$656,0),$Z$3)</f>
        <v>#VALUE!</v>
      </c>
      <c r="AE65" s="57">
        <f t="shared" si="5"/>
        <v>350</v>
      </c>
      <c r="AF65" s="87" t="e">
        <f ca="1">BarriarOptionPrice($T$9,$T$6,T65,($AE$67-$AE65)/(52*7),$T$7,$T$8,$AC$4:$AC$9)*$T$5</f>
        <v>#VALUE!</v>
      </c>
      <c r="AG65" s="87" t="e">
        <f ca="1">BarriarOptionPrice($T$9,$T$6,U65,($AE$67-$AE65)/(52*7),$T$7,$T$8,$AC$4:$AC$9)*$T$5</f>
        <v>#VALUE!</v>
      </c>
      <c r="AH65" s="87" t="e">
        <f ca="1">BarriarOptionPrice($T$9,$T$6,V65,($AE$67-$AE65)/(52*7),$T$7,$T$8,$AC$4:$AC$9)*$T$5</f>
        <v>#VALUE!</v>
      </c>
      <c r="AI65" s="87" t="e">
        <f ca="1">BarriarOptionPrice($T$9,$T$6,W65,($AE$67-$AE65)/(52*7),$T$7,$T$8,$AC$4:$AC$9)*$T$5</f>
        <v>#VALUE!</v>
      </c>
      <c r="AJ65" s="87" t="e">
        <f ca="1">BarriarOptionPrice($T$9,$T$6,X65,($AE$67-$AE65)/(52*7),$T$7,$T$8,$AC$4:$AC$9)*$T$5</f>
        <v>#VALUE!</v>
      </c>
      <c r="AK65" s="87" t="e">
        <f ca="1">BarriarOptionPrice($T$9,$T$6,Y65,($AE$67-$AE65)/(52*7),$T$7,$T$8,$AC$4:$AC$9)*$T$5</f>
        <v>#VALUE!</v>
      </c>
      <c r="AL65" s="87" t="e">
        <f ca="1">BarriarOptionPrice($T$9,$T$6,Z65,($AE$67-$AE65)/(52*7),$T$7,$T$8,$AC$4:$AC$9)*$T$5</f>
        <v>#VALUE!</v>
      </c>
      <c r="AM65" s="87" t="e">
        <f ca="1">BarriarOptionPrice($T$9,$T$6,AA65,($AE$67-$AE65)/(52*7),$T$7,$T$8,$AC$4:$AC$9)*$T$5</f>
        <v>#VALUE!</v>
      </c>
      <c r="AN65" s="87" t="e">
        <f ca="1">BarriarOptionPrice($T$9,$T$6,AB65,($AE$67-$AE65)/(52*7),$T$7,$T$8,$AC$4:$AC$9)*$T$5</f>
        <v>#VALUE!</v>
      </c>
      <c r="AO65" s="44" t="e">
        <f ca="1">BarriarOptionPrice($T$9,$T$6,AC65,($AE$67-$AE65)/(52*7),$T$7,$T$8,$AC$4:$AC$9)*$T$5</f>
        <v>#VALUE!</v>
      </c>
      <c r="AQ65" s="57">
        <f t="shared" si="6"/>
        <v>350</v>
      </c>
      <c r="AR65" s="87" t="e">
        <f ca="1">BarriarOptionPrice($U$9,$U$6,T65,($AQ$67-$AQ65)/(52*7),$U$7,$U$8,$AC$4:$AC$9)*$U$5</f>
        <v>#VALUE!</v>
      </c>
      <c r="AS65" s="87" t="e">
        <f ca="1">BarriarOptionPrice($U$9,$U$6,U65,($AQ$67-$AQ65)/(52*7),$U$7,$U$8,$AC$4:$AC$9)*$U$5</f>
        <v>#VALUE!</v>
      </c>
      <c r="AT65" s="87" t="e">
        <f ca="1">BarriarOptionPrice($U$9,$U$6,V65,($AQ$67-$AQ65)/(52*7),$U$7,$U$8,$AC$4:$AC$9)*$U$5</f>
        <v>#VALUE!</v>
      </c>
      <c r="AU65" s="87" t="e">
        <f ca="1">BarriarOptionPrice($U$9,$U$6,W65,($AQ$67-$AQ65)/(52*7),$U$7,$U$8,$AC$4:$AC$9)*$U$5</f>
        <v>#VALUE!</v>
      </c>
      <c r="AV65" s="87" t="e">
        <f ca="1">BarriarOptionPrice($U$9,$U$6,X65,($AQ$67-$AQ65)/(52*7),$U$7,$U$8,$AC$4:$AC$9)*$U$5</f>
        <v>#VALUE!</v>
      </c>
      <c r="AW65" s="87" t="e">
        <f ca="1">BarriarOptionPrice($U$9,$U$6,Y65,($AQ$67-$AQ65)/(52*7),$U$7,$U$8,$AC$4:$AC$9)*$U$5</f>
        <v>#VALUE!</v>
      </c>
      <c r="AX65" s="87" t="e">
        <f ca="1">BarriarOptionPrice($U$9,$U$6,Z65,($AQ$67-$AQ65)/(52*7),$U$7,$U$8,$AC$4:$AC$9)*$U$5</f>
        <v>#VALUE!</v>
      </c>
      <c r="AY65" s="87" t="e">
        <f ca="1">BarriarOptionPrice($U$9,$U$6,AA65,($AQ$67-$AQ65)/(52*7),$U$7,$U$8,$AC$4:$AC$9)*$U$5</f>
        <v>#VALUE!</v>
      </c>
      <c r="AZ65" s="87" t="e">
        <f ca="1">BarriarOptionPrice($U$9,$U$6,AB65,($AQ$67-$AQ65)/(52*7),$U$7,$U$8,$AC$4:$AC$9)*$U$5</f>
        <v>#VALUE!</v>
      </c>
      <c r="BA65" s="44" t="e">
        <f ca="1">BarriarOptionPrice($U$9,$U$6,AC65,($AQ$67-$AQ65)/(52*7),$U$7,$U$8,$AC$4:$AC$9)*$U$5</f>
        <v>#VALUE!</v>
      </c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</row>
    <row r="66" spans="2:77" x14ac:dyDescent="0.15">
      <c r="B66" s="16">
        <v>40277</v>
      </c>
      <c r="C66" s="29">
        <f t="array" ref="C66">SUMPRODUCT('ファンドデータ(変更不要)'!K66:P66,TRANSPOSE(戦略の決定!$D$13:$D$18))</f>
        <v>-4.392255776270137E-3</v>
      </c>
      <c r="D66" s="29">
        <f t="array" ref="D66">SUMPRODUCT('ファンドデータ(変更不要)'!K66:P66,TRANSPOSE(戦略の決定!$E$13:$E$18))</f>
        <v>-3.3952976195639E-3</v>
      </c>
      <c r="E66" s="29">
        <f t="array" ref="E66">SUMPRODUCT('ファンドデータ(変更不要)'!K66:P66,TRANSPOSE(戦略の決定!$F$13:$F$18))</f>
        <v>-3.3952976195639E-3</v>
      </c>
      <c r="F66" s="183">
        <f t="shared" si="7"/>
        <v>1.1567766851865229</v>
      </c>
      <c r="G66" s="183">
        <f t="shared" si="8"/>
        <v>1.1934232511425338</v>
      </c>
      <c r="H66" s="75">
        <f t="shared" si="9"/>
        <v>1.1934232511425338</v>
      </c>
      <c r="J66"/>
      <c r="K66"/>
      <c r="L66"/>
      <c r="M66"/>
      <c r="N66"/>
      <c r="O66"/>
      <c r="P66"/>
      <c r="S66" s="57">
        <f t="shared" si="4"/>
        <v>357</v>
      </c>
      <c r="T66" s="87" t="e">
        <f ca="1">戦略の決定!$R$10*OFFSET($E$3,MATCH(T$11+$S66,$B$4:$B$656,0),$Z$3)/OFFSET($E$3,MATCH(T$11,$B$4:$B$656,0),$Z$3)</f>
        <v>#VALUE!</v>
      </c>
      <c r="U66" s="87" t="e">
        <f ca="1">戦略の決定!$R$10*OFFSET($E$3,MATCH(U$11+$S66,$B$4:$B$656,0),$Z$3)/OFFSET($E$3,MATCH(U$11,$B$4:$B$656,0),$Z$3)</f>
        <v>#VALUE!</v>
      </c>
      <c r="V66" s="87" t="e">
        <f ca="1">戦略の決定!$R$10*OFFSET($E$3,MATCH(V$11+$S66,$B$4:$B$656,0),$Z$3)/OFFSET($E$3,MATCH(V$11,$B$4:$B$656,0),$Z$3)</f>
        <v>#VALUE!</v>
      </c>
      <c r="W66" s="87" t="e">
        <f ca="1">戦略の決定!$R$10*OFFSET($E$3,MATCH(W$11+$S66,$B$4:$B$656,0),$Z$3)/OFFSET($E$3,MATCH(W$11,$B$4:$B$656,0),$Z$3)</f>
        <v>#VALUE!</v>
      </c>
      <c r="X66" s="87" t="e">
        <f ca="1">戦略の決定!$R$10*OFFSET($E$3,MATCH(X$11+$S66,$B$4:$B$656,0),$Z$3)/OFFSET($E$3,MATCH(X$11,$B$4:$B$656,0),$Z$3)</f>
        <v>#VALUE!</v>
      </c>
      <c r="Y66" s="87" t="e">
        <f ca="1">戦略の決定!$R$10*OFFSET($E$3,MATCH(Y$11+$S66,$B$4:$B$656,0),$Z$3)/OFFSET($E$3,MATCH(Y$11,$B$4:$B$656,0),$Z$3)</f>
        <v>#VALUE!</v>
      </c>
      <c r="Z66" s="87" t="e">
        <f ca="1">戦略の決定!$R$10*OFFSET($E$3,MATCH(Z$11+$S66,$B$4:$B$656,0),$Z$3)/OFFSET($E$3,MATCH(Z$11,$B$4:$B$656,0),$Z$3)</f>
        <v>#VALUE!</v>
      </c>
      <c r="AA66" s="87" t="e">
        <f ca="1">戦略の決定!$R$10*OFFSET($E$3,MATCH(AA$11+$S66,$B$4:$B$656,0),$Z$3)/OFFSET($E$3,MATCH(AA$11,$B$4:$B$656,0),$Z$3)</f>
        <v>#VALUE!</v>
      </c>
      <c r="AB66" s="87" t="e">
        <f ca="1">戦略の決定!$R$10*OFFSET($E$3,MATCH(AB$11+$S66,$B$4:$B$656,0),$Z$3)/OFFSET($E$3,MATCH(AB$11,$B$4:$B$656,0),$Z$3)</f>
        <v>#VALUE!</v>
      </c>
      <c r="AC66" s="44" t="e">
        <f ca="1">戦略の決定!$R$10*OFFSET($E$3,MATCH(AC$11+$S66,$B$4:$B$656,0),$Z$3)/OFFSET($E$3,MATCH(AC$11,$B$4:$B$656,0),$Z$3)</f>
        <v>#VALUE!</v>
      </c>
      <c r="AE66" s="57">
        <f t="shared" si="5"/>
        <v>357</v>
      </c>
      <c r="AF66" s="87" t="e">
        <f ca="1">BarriarOptionPrice($T$9,$T$6,T66,($AE$67-$AE66)/(52*7),$T$7,$T$8,$AC$4:$AC$9)*$T$5</f>
        <v>#VALUE!</v>
      </c>
      <c r="AG66" s="87" t="e">
        <f ca="1">BarriarOptionPrice($T$9,$T$6,U66,($AE$67-$AE66)/(52*7),$T$7,$T$8,$AC$4:$AC$9)*$T$5</f>
        <v>#VALUE!</v>
      </c>
      <c r="AH66" s="87" t="e">
        <f ca="1">BarriarOptionPrice($T$9,$T$6,V66,($AE$67-$AE66)/(52*7),$T$7,$T$8,$AC$4:$AC$9)*$T$5</f>
        <v>#VALUE!</v>
      </c>
      <c r="AI66" s="87" t="e">
        <f ca="1">BarriarOptionPrice($T$9,$T$6,W66,($AE$67-$AE66)/(52*7),$T$7,$T$8,$AC$4:$AC$9)*$T$5</f>
        <v>#VALUE!</v>
      </c>
      <c r="AJ66" s="87" t="e">
        <f ca="1">BarriarOptionPrice($T$9,$T$6,X66,($AE$67-$AE66)/(52*7),$T$7,$T$8,$AC$4:$AC$9)*$T$5</f>
        <v>#VALUE!</v>
      </c>
      <c r="AK66" s="87" t="e">
        <f ca="1">BarriarOptionPrice($T$9,$T$6,Y66,($AE$67-$AE66)/(52*7),$T$7,$T$8,$AC$4:$AC$9)*$T$5</f>
        <v>#VALUE!</v>
      </c>
      <c r="AL66" s="87" t="e">
        <f ca="1">BarriarOptionPrice($T$9,$T$6,Z66,($AE$67-$AE66)/(52*7),$T$7,$T$8,$AC$4:$AC$9)*$T$5</f>
        <v>#VALUE!</v>
      </c>
      <c r="AM66" s="87" t="e">
        <f ca="1">BarriarOptionPrice($T$9,$T$6,AA66,($AE$67-$AE66)/(52*7),$T$7,$T$8,$AC$4:$AC$9)*$T$5</f>
        <v>#VALUE!</v>
      </c>
      <c r="AN66" s="87" t="e">
        <f ca="1">BarriarOptionPrice($T$9,$T$6,AB66,($AE$67-$AE66)/(52*7),$T$7,$T$8,$AC$4:$AC$9)*$T$5</f>
        <v>#VALUE!</v>
      </c>
      <c r="AO66" s="44" t="e">
        <f ca="1">BarriarOptionPrice($T$9,$T$6,AC66,($AE$67-$AE66)/(52*7),$T$7,$T$8,$AC$4:$AC$9)*$T$5</f>
        <v>#VALUE!</v>
      </c>
      <c r="AQ66" s="57">
        <f t="shared" si="6"/>
        <v>357</v>
      </c>
      <c r="AR66" s="87" t="e">
        <f ca="1">BarriarOptionPrice($U$9,$U$6,T66,($AQ$67-$AQ66)/(52*7),$U$7,$U$8,$AC$4:$AC$9)*$U$5</f>
        <v>#VALUE!</v>
      </c>
      <c r="AS66" s="87" t="e">
        <f ca="1">BarriarOptionPrice($U$9,$U$6,U66,($AQ$67-$AQ66)/(52*7),$U$7,$U$8,$AC$4:$AC$9)*$U$5</f>
        <v>#VALUE!</v>
      </c>
      <c r="AT66" s="87" t="e">
        <f ca="1">BarriarOptionPrice($U$9,$U$6,V66,($AQ$67-$AQ66)/(52*7),$U$7,$U$8,$AC$4:$AC$9)*$U$5</f>
        <v>#VALUE!</v>
      </c>
      <c r="AU66" s="87" t="e">
        <f ca="1">BarriarOptionPrice($U$9,$U$6,W66,($AQ$67-$AQ66)/(52*7),$U$7,$U$8,$AC$4:$AC$9)*$U$5</f>
        <v>#VALUE!</v>
      </c>
      <c r="AV66" s="87" t="e">
        <f ca="1">BarriarOptionPrice($U$9,$U$6,X66,($AQ$67-$AQ66)/(52*7),$U$7,$U$8,$AC$4:$AC$9)*$U$5</f>
        <v>#VALUE!</v>
      </c>
      <c r="AW66" s="87" t="e">
        <f ca="1">BarriarOptionPrice($U$9,$U$6,Y66,($AQ$67-$AQ66)/(52*7),$U$7,$U$8,$AC$4:$AC$9)*$U$5</f>
        <v>#VALUE!</v>
      </c>
      <c r="AX66" s="87" t="e">
        <f ca="1">BarriarOptionPrice($U$9,$U$6,Z66,($AQ$67-$AQ66)/(52*7),$U$7,$U$8,$AC$4:$AC$9)*$U$5</f>
        <v>#VALUE!</v>
      </c>
      <c r="AY66" s="87" t="e">
        <f ca="1">BarriarOptionPrice($U$9,$U$6,AA66,($AQ$67-$AQ66)/(52*7),$U$7,$U$8,$AC$4:$AC$9)*$U$5</f>
        <v>#VALUE!</v>
      </c>
      <c r="AZ66" s="87" t="e">
        <f ca="1">BarriarOptionPrice($U$9,$U$6,AB66,($AQ$67-$AQ66)/(52*7),$U$7,$U$8,$AC$4:$AC$9)*$U$5</f>
        <v>#VALUE!</v>
      </c>
      <c r="BA66" s="44" t="e">
        <f ca="1">BarriarOptionPrice($U$9,$U$6,AC66,($AQ$67-$AQ66)/(52*7),$U$7,$U$8,$AC$4:$AC$9)*$U$5</f>
        <v>#VALUE!</v>
      </c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</row>
    <row r="67" spans="2:77" ht="16.5" thickBot="1" x14ac:dyDescent="0.2">
      <c r="B67" s="16">
        <v>40284</v>
      </c>
      <c r="C67" s="29">
        <f t="array" ref="C67">SUMPRODUCT('ファンドデータ(変更不要)'!K67:P67,TRANSPOSE(戦略の決定!$D$13:$D$18))</f>
        <v>6.3779421419559376E-3</v>
      </c>
      <c r="D67" s="29">
        <f t="array" ref="D67">SUMPRODUCT('ファンドデータ(変更不要)'!K67:P67,TRANSPOSE(戦略の決定!$E$13:$E$18))</f>
        <v>1.2885535762072154E-2</v>
      </c>
      <c r="E67" s="29">
        <f t="array" ref="E67">SUMPRODUCT('ファンドデータ(変更不要)'!K67:P67,TRANSPOSE(戦略の決定!$F$13:$F$18))</f>
        <v>1.2885535762072154E-2</v>
      </c>
      <c r="F67" s="183">
        <f t="shared" si="7"/>
        <v>1.164154539955806</v>
      </c>
      <c r="G67" s="183">
        <f t="shared" si="8"/>
        <v>1.2088011491244193</v>
      </c>
      <c r="H67" s="75">
        <f t="shared" si="9"/>
        <v>1.2088011491244193</v>
      </c>
      <c r="J67"/>
      <c r="K67"/>
      <c r="L67"/>
      <c r="M67"/>
      <c r="N67"/>
      <c r="O67"/>
      <c r="P67"/>
      <c r="S67" s="34">
        <f t="shared" si="4"/>
        <v>364</v>
      </c>
      <c r="T67" s="88" t="e">
        <f ca="1">戦略の決定!$R$10*OFFSET($E$3,MATCH(T$11+$S67,$B$4:$B$656,0),$Z$3)/OFFSET($E$3,MATCH(T$11,$B$4:$B$656,0),$Z$3)</f>
        <v>#VALUE!</v>
      </c>
      <c r="U67" s="88" t="e">
        <f ca="1">戦略の決定!$R$10*OFFSET($E$3,MATCH(U$11+$S67,$B$4:$B$656,0),$Z$3)/OFFSET($E$3,MATCH(U$11,$B$4:$B$656,0),$Z$3)</f>
        <v>#VALUE!</v>
      </c>
      <c r="V67" s="88" t="e">
        <f ca="1">戦略の決定!$R$10*OFFSET($E$3,MATCH(V$11+$S67,$B$4:$B$656,0),$Z$3)/OFFSET($E$3,MATCH(V$11,$B$4:$B$656,0),$Z$3)</f>
        <v>#VALUE!</v>
      </c>
      <c r="W67" s="88" t="e">
        <f ca="1">戦略の決定!$R$10*OFFSET($E$3,MATCH(W$11+$S67,$B$4:$B$656,0),$Z$3)/OFFSET($E$3,MATCH(W$11,$B$4:$B$656,0),$Z$3)</f>
        <v>#VALUE!</v>
      </c>
      <c r="X67" s="88" t="e">
        <f ca="1">戦略の決定!$R$10*OFFSET($E$3,MATCH(X$11+$S67,$B$4:$B$656,0),$Z$3)/OFFSET($E$3,MATCH(X$11,$B$4:$B$656,0),$Z$3)</f>
        <v>#VALUE!</v>
      </c>
      <c r="Y67" s="88" t="e">
        <f ca="1">戦略の決定!$R$10*OFFSET($E$3,MATCH(Y$11+$S67,$B$4:$B$656,0),$Z$3)/OFFSET($E$3,MATCH(Y$11,$B$4:$B$656,0),$Z$3)</f>
        <v>#VALUE!</v>
      </c>
      <c r="Z67" s="88" t="e">
        <f ca="1">戦略の決定!$R$10*OFFSET($E$3,MATCH(Z$11+$S67,$B$4:$B$656,0),$Z$3)/OFFSET($E$3,MATCH(Z$11,$B$4:$B$656,0),$Z$3)</f>
        <v>#VALUE!</v>
      </c>
      <c r="AA67" s="88" t="e">
        <f ca="1">戦略の決定!$R$10*OFFSET($E$3,MATCH(AA$11+$S67,$B$4:$B$656,0),$Z$3)/OFFSET($E$3,MATCH(AA$11,$B$4:$B$656,0),$Z$3)</f>
        <v>#VALUE!</v>
      </c>
      <c r="AB67" s="88" t="e">
        <f ca="1">戦略の決定!$R$10*OFFSET($E$3,MATCH(AB$11+$S67,$B$4:$B$656,0),$Z$3)/OFFSET($E$3,MATCH(AB$11,$B$4:$B$656,0),$Z$3)</f>
        <v>#VALUE!</v>
      </c>
      <c r="AC67" s="45" t="e">
        <f ca="1">戦略の決定!$R$10*OFFSET($E$3,MATCH(AC$11+$S67,$B$4:$B$656,0),$Z$3)/OFFSET($E$3,MATCH(AC$11,$B$4:$B$656,0),$Z$3)</f>
        <v>#VALUE!</v>
      </c>
      <c r="AE67" s="34">
        <f t="shared" si="5"/>
        <v>364</v>
      </c>
      <c r="AF67" s="88" t="e">
        <f ca="1">BarriarOptionPrice($T$9,$T$6,T67,($AE$67-$AE67)/(52*7),$T$7,$T$8,$AC$4:$AC$9)*$T$5</f>
        <v>#VALUE!</v>
      </c>
      <c r="AG67" s="88" t="e">
        <f ca="1">BarriarOptionPrice($T$9,$T$6,U67,($AE$67-$AE67)/(52*7),$T$7,$T$8,$AC$4:$AC$9)*$T$5</f>
        <v>#VALUE!</v>
      </c>
      <c r="AH67" s="88" t="e">
        <f ca="1">BarriarOptionPrice($T$9,$T$6,V67,($AE$67-$AE67)/(52*7),$T$7,$T$8,$AC$4:$AC$9)*$T$5</f>
        <v>#VALUE!</v>
      </c>
      <c r="AI67" s="88" t="e">
        <f ca="1">BarriarOptionPrice($T$9,$T$6,W67,($AE$67-$AE67)/(52*7),$T$7,$T$8,$AC$4:$AC$9)*$T$5</f>
        <v>#VALUE!</v>
      </c>
      <c r="AJ67" s="88" t="e">
        <f ca="1">BarriarOptionPrice($T$9,$T$6,X67,($AE$67-$AE67)/(52*7),$T$7,$T$8,$AC$4:$AC$9)*$T$5</f>
        <v>#VALUE!</v>
      </c>
      <c r="AK67" s="88" t="e">
        <f ca="1">BarriarOptionPrice($T$9,$T$6,Y67,($AE$67-$AE67)/(52*7),$T$7,$T$8,$AC$4:$AC$9)*$T$5</f>
        <v>#VALUE!</v>
      </c>
      <c r="AL67" s="88" t="e">
        <f ca="1">BarriarOptionPrice($T$9,$T$6,Z67,($AE$67-$AE67)/(52*7),$T$7,$T$8,$AC$4:$AC$9)*$T$5</f>
        <v>#VALUE!</v>
      </c>
      <c r="AM67" s="88" t="e">
        <f ca="1">BarriarOptionPrice($T$9,$T$6,AA67,($AE$67-$AE67)/(52*7),$T$7,$T$8,$AC$4:$AC$9)*$T$5</f>
        <v>#VALUE!</v>
      </c>
      <c r="AN67" s="88" t="e">
        <f ca="1">BarriarOptionPrice($T$9,$T$6,AB67,($AE$67-$AE67)/(52*7),$T$7,$T$8,$AC$4:$AC$9)*$T$5</f>
        <v>#VALUE!</v>
      </c>
      <c r="AO67" s="45" t="e">
        <f ca="1">BarriarOptionPrice($T$9,$T$6,AC67,($AE$67-$AE67)/(52*7),$T$7,$T$8,$AC$4:$AC$9)*$T$5</f>
        <v>#VALUE!</v>
      </c>
      <c r="AQ67" s="34">
        <f t="shared" si="6"/>
        <v>364</v>
      </c>
      <c r="AR67" s="88" t="e">
        <f ca="1">BarriarOptionPrice($U$9,$U$6,T67,($AQ$67-$AQ67)/(52*7),$U$7,$U$8,$AC$4:$AC$9)*$U$5</f>
        <v>#VALUE!</v>
      </c>
      <c r="AS67" s="88" t="e">
        <f ca="1">BarriarOptionPrice($U$9,$U$6,U67,($AQ$67-$AQ67)/(52*7),$U$7,$U$8,$AC$4:$AC$9)*$U$5</f>
        <v>#VALUE!</v>
      </c>
      <c r="AT67" s="88" t="e">
        <f ca="1">BarriarOptionPrice($U$9,$U$6,V67,($AQ$67-$AQ67)/(52*7),$U$7,$U$8,$AC$4:$AC$9)*$U$5</f>
        <v>#VALUE!</v>
      </c>
      <c r="AU67" s="88" t="e">
        <f ca="1">BarriarOptionPrice($U$9,$U$6,W67,($AQ$67-$AQ67)/(52*7),$U$7,$U$8,$AC$4:$AC$9)*$U$5</f>
        <v>#VALUE!</v>
      </c>
      <c r="AV67" s="88" t="e">
        <f ca="1">BarriarOptionPrice($U$9,$U$6,X67,($AQ$67-$AQ67)/(52*7),$U$7,$U$8,$AC$4:$AC$9)*$U$5</f>
        <v>#VALUE!</v>
      </c>
      <c r="AW67" s="88" t="e">
        <f ca="1">BarriarOptionPrice($U$9,$U$6,Y67,($AQ$67-$AQ67)/(52*7),$U$7,$U$8,$AC$4:$AC$9)*$U$5</f>
        <v>#VALUE!</v>
      </c>
      <c r="AX67" s="88" t="e">
        <f ca="1">BarriarOptionPrice($U$9,$U$6,Z67,($AQ$67-$AQ67)/(52*7),$U$7,$U$8,$AC$4:$AC$9)*$U$5</f>
        <v>#VALUE!</v>
      </c>
      <c r="AY67" s="88" t="e">
        <f ca="1">BarriarOptionPrice($U$9,$U$6,AA67,($AQ$67-$AQ67)/(52*7),$U$7,$U$8,$AC$4:$AC$9)*$U$5</f>
        <v>#VALUE!</v>
      </c>
      <c r="AZ67" s="88" t="e">
        <f ca="1">BarriarOptionPrice($U$9,$U$6,AB67,($AQ$67-$AQ67)/(52*7),$U$7,$U$8,$AC$4:$AC$9)*$U$5</f>
        <v>#VALUE!</v>
      </c>
      <c r="BA67" s="45" t="e">
        <f ca="1">BarriarOptionPrice($U$9,$U$6,AC67,($AQ$67-$AQ67)/(52*7),$U$7,$U$8,$AC$4:$AC$9)*$U$5</f>
        <v>#VALUE!</v>
      </c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</row>
    <row r="68" spans="2:77" x14ac:dyDescent="0.15">
      <c r="B68" s="16">
        <v>40291</v>
      </c>
      <c r="C68" s="29">
        <f t="array" ref="C68">SUMPRODUCT('ファンドデータ(変更不要)'!K68:P68,TRANSPOSE(戦略の決定!$D$13:$D$18))</f>
        <v>-1.8252857098324852E-3</v>
      </c>
      <c r="D68" s="29">
        <f t="array" ref="D68">SUMPRODUCT('ファンドデータ(変更不要)'!K68:P68,TRANSPOSE(戦略の決定!$E$13:$E$18))</f>
        <v>1.9442575558993461E-4</v>
      </c>
      <c r="E68" s="29">
        <f t="array" ref="E68">SUMPRODUCT('ファンドデータ(変更不要)'!K68:P68,TRANSPOSE(戦略の決定!$F$13:$F$18))</f>
        <v>1.9442575558993461E-4</v>
      </c>
      <c r="F68" s="183">
        <f t="shared" si="7"/>
        <v>1.162029625309988</v>
      </c>
      <c r="G68" s="183">
        <f t="shared" si="8"/>
        <v>1.2090361712011957</v>
      </c>
      <c r="H68" s="75">
        <f t="shared" si="9"/>
        <v>1.2090361712011957</v>
      </c>
      <c r="J68"/>
      <c r="K68"/>
      <c r="L68"/>
      <c r="M68"/>
      <c r="N68"/>
      <c r="O68"/>
      <c r="P68"/>
    </row>
    <row r="69" spans="2:77" ht="16.5" thickBot="1" x14ac:dyDescent="0.2">
      <c r="B69" s="16">
        <v>40298</v>
      </c>
      <c r="C69" s="29">
        <f t="array" ref="C69">SUMPRODUCT('ファンドデータ(変更不要)'!K69:P69,TRANSPOSE(戦略の決定!$D$13:$D$18))</f>
        <v>8.8898728607748213E-3</v>
      </c>
      <c r="D69" s="29">
        <f t="array" ref="D69">SUMPRODUCT('ファンドデータ(変更不要)'!K69:P69,TRANSPOSE(戦略の決定!$E$13:$E$18))</f>
        <v>1.13981345951897E-2</v>
      </c>
      <c r="E69" s="29">
        <f t="array" ref="E69">SUMPRODUCT('ファンドデータ(変更不要)'!K69:P69,TRANSPOSE(戦略の決定!$F$13:$F$18))</f>
        <v>1.13981345951897E-2</v>
      </c>
      <c r="F69" s="183">
        <f t="shared" ref="F69:F132" si="11">F68*(1+C69)</f>
        <v>1.1723599209394477</v>
      </c>
      <c r="G69" s="183">
        <f t="shared" ref="G69:G132" si="12">G68*(1+D69)</f>
        <v>1.2228169282109997</v>
      </c>
      <c r="H69" s="75">
        <f t="shared" ref="H69:H132" si="13">H68*(1+E69)</f>
        <v>1.2228169282109997</v>
      </c>
      <c r="J69"/>
      <c r="K69"/>
      <c r="L69"/>
      <c r="M69"/>
      <c r="N69"/>
      <c r="O69"/>
      <c r="P69"/>
    </row>
    <row r="70" spans="2:77" x14ac:dyDescent="0.15">
      <c r="B70" s="16">
        <v>40305</v>
      </c>
      <c r="C70" s="29">
        <f t="array" ref="C70">SUMPRODUCT('ファンドデータ(変更不要)'!K70:P70,TRANSPOSE(戦略の決定!$D$13:$D$18))</f>
        <v>-3.2685273158726158E-2</v>
      </c>
      <c r="D70" s="29">
        <f t="array" ref="D70">SUMPRODUCT('ファンドデータ(変更不要)'!K70:P70,TRANSPOSE(戦略の決定!$E$13:$E$18))</f>
        <v>-3.9604471525201232E-2</v>
      </c>
      <c r="E70" s="29">
        <f t="array" ref="E70">SUMPRODUCT('ファンドデータ(変更不要)'!K70:P70,TRANSPOSE(戦略の決定!$F$13:$F$18))</f>
        <v>-3.9604471525201232E-2</v>
      </c>
      <c r="F70" s="183">
        <f t="shared" si="11"/>
        <v>1.1340410166831993</v>
      </c>
      <c r="G70" s="183">
        <f t="shared" si="12"/>
        <v>1.1743879099971333</v>
      </c>
      <c r="H70" s="75">
        <f t="shared" si="13"/>
        <v>1.1743879099971333</v>
      </c>
      <c r="J70"/>
      <c r="K70"/>
      <c r="L70"/>
      <c r="M70"/>
      <c r="N70"/>
      <c r="O70"/>
      <c r="P70"/>
      <c r="AE70" s="13"/>
      <c r="AF70" s="119"/>
      <c r="AG70" s="54"/>
      <c r="AH70" s="54" t="s">
        <v>93</v>
      </c>
      <c r="AI70" s="54"/>
      <c r="AJ70" s="54"/>
      <c r="AK70" s="54"/>
      <c r="AL70" s="54"/>
      <c r="AM70" s="54"/>
      <c r="AN70" s="54"/>
      <c r="AO70" s="55"/>
      <c r="AQ70" s="13"/>
      <c r="AR70" s="119"/>
      <c r="AS70" s="54"/>
      <c r="AT70" s="54" t="s">
        <v>93</v>
      </c>
      <c r="AU70" s="54"/>
      <c r="AV70" s="54"/>
      <c r="AW70" s="54"/>
      <c r="AX70" s="54"/>
      <c r="AY70" s="54"/>
      <c r="AZ70" s="54"/>
      <c r="BA70" s="55"/>
    </row>
    <row r="71" spans="2:77" x14ac:dyDescent="0.15">
      <c r="B71" s="16">
        <v>40312</v>
      </c>
      <c r="C71" s="29">
        <f t="array" ref="C71">SUMPRODUCT('ファンドデータ(変更不要)'!K71:P71,TRANSPOSE(戦略の決定!$D$13:$D$18))</f>
        <v>8.4944061993186201E-3</v>
      </c>
      <c r="D71" s="29">
        <f t="array" ref="D71">SUMPRODUCT('ファンドデータ(変更不要)'!K71:P71,TRANSPOSE(戦略の決定!$E$13:$E$18))</f>
        <v>1.2106752469543961E-2</v>
      </c>
      <c r="E71" s="29">
        <f t="array" ref="E71">SUMPRODUCT('ファンドデータ(変更不要)'!K71:P71,TRANSPOSE(戦略の決定!$F$13:$F$18))</f>
        <v>1.2106752469543961E-2</v>
      </c>
      <c r="F71" s="183">
        <f t="shared" si="11"/>
        <v>1.1436740217255947</v>
      </c>
      <c r="G71" s="183">
        <f t="shared" si="12"/>
        <v>1.1886059337266937</v>
      </c>
      <c r="H71" s="75">
        <f t="shared" si="13"/>
        <v>1.1886059337266937</v>
      </c>
      <c r="J71"/>
      <c r="K71"/>
      <c r="L71"/>
      <c r="M71"/>
      <c r="N71"/>
      <c r="O71"/>
      <c r="P71"/>
      <c r="AE71" s="57">
        <v>0</v>
      </c>
      <c r="AF71" s="258">
        <f t="shared" ref="AF71:AO71" ca="1" si="14">Judge_01($T$9,T15,$T$8)</f>
        <v>0</v>
      </c>
      <c r="AG71" s="258">
        <f t="shared" ca="1" si="14"/>
        <v>0</v>
      </c>
      <c r="AH71" s="258">
        <f t="shared" ca="1" si="14"/>
        <v>0</v>
      </c>
      <c r="AI71" s="258">
        <f t="shared" ca="1" si="14"/>
        <v>0</v>
      </c>
      <c r="AJ71" s="258">
        <f t="shared" ca="1" si="14"/>
        <v>0</v>
      </c>
      <c r="AK71" s="258">
        <f t="shared" ca="1" si="14"/>
        <v>0</v>
      </c>
      <c r="AL71" s="258">
        <f t="shared" ca="1" si="14"/>
        <v>0</v>
      </c>
      <c r="AM71" s="258">
        <f t="shared" ca="1" si="14"/>
        <v>0</v>
      </c>
      <c r="AN71" s="258">
        <f t="shared" ca="1" si="14"/>
        <v>0</v>
      </c>
      <c r="AO71" s="225">
        <f t="shared" ca="1" si="14"/>
        <v>0</v>
      </c>
      <c r="AQ71" s="57">
        <v>0</v>
      </c>
      <c r="AR71" s="258">
        <f t="shared" ref="AR71:BA71" ca="1" si="15">Judge_01($U$9,T15,$U$8)</f>
        <v>0</v>
      </c>
      <c r="AS71" s="258">
        <f t="shared" ca="1" si="15"/>
        <v>0</v>
      </c>
      <c r="AT71" s="258">
        <f t="shared" ca="1" si="15"/>
        <v>0</v>
      </c>
      <c r="AU71" s="258">
        <f t="shared" ca="1" si="15"/>
        <v>0</v>
      </c>
      <c r="AV71" s="258">
        <f t="shared" ca="1" si="15"/>
        <v>0</v>
      </c>
      <c r="AW71" s="258">
        <f t="shared" ca="1" si="15"/>
        <v>0</v>
      </c>
      <c r="AX71" s="258">
        <f t="shared" ca="1" si="15"/>
        <v>0</v>
      </c>
      <c r="AY71" s="258">
        <f t="shared" ca="1" si="15"/>
        <v>0</v>
      </c>
      <c r="AZ71" s="258">
        <f t="shared" ca="1" si="15"/>
        <v>0</v>
      </c>
      <c r="BA71" s="225">
        <f t="shared" ca="1" si="15"/>
        <v>0</v>
      </c>
    </row>
    <row r="72" spans="2:77" x14ac:dyDescent="0.15">
      <c r="B72" s="16">
        <v>40319</v>
      </c>
      <c r="C72" s="29">
        <f t="array" ref="C72">SUMPRODUCT('ファンドデータ(変更不要)'!K72:P72,TRANSPOSE(戦略の決定!$D$13:$D$18))</f>
        <v>-3.3259377364525347E-2</v>
      </c>
      <c r="D72" s="29">
        <f t="array" ref="D72">SUMPRODUCT('ファンドデータ(変更不要)'!K72:P72,TRANSPOSE(戦略の決定!$E$13:$E$18))</f>
        <v>-4.8116736459978424E-2</v>
      </c>
      <c r="E72" s="29">
        <f t="array" ref="E72">SUMPRODUCT('ファンドデータ(変更不要)'!K72:P72,TRANSPOSE(戦略の決定!$F$13:$F$18))</f>
        <v>-4.8116736459978424E-2</v>
      </c>
      <c r="F72" s="183">
        <f t="shared" si="11"/>
        <v>1.1056361358550189</v>
      </c>
      <c r="G72" s="183">
        <f t="shared" si="12"/>
        <v>1.1314140952587999</v>
      </c>
      <c r="H72" s="75">
        <f t="shared" si="13"/>
        <v>1.1314140952587999</v>
      </c>
      <c r="J72"/>
      <c r="K72"/>
      <c r="L72"/>
      <c r="M72"/>
      <c r="N72"/>
      <c r="O72"/>
      <c r="P72"/>
      <c r="AE72" s="57">
        <f>AE71+7</f>
        <v>7</v>
      </c>
      <c r="AF72" s="258">
        <f ca="1">IF(State_after_knock($T$9)=AF71,State_after_knock($T$9),Judge_01($T$9,T16,$T$8))</f>
        <v>0</v>
      </c>
      <c r="AG72" s="258">
        <f ca="1">IF(State_after_knock($T$9)=AG71,State_after_knock($T$9),Judge_01($T$9,U16,$T$8))</f>
        <v>0</v>
      </c>
      <c r="AH72" s="258">
        <f ca="1">IF(State_after_knock($T$9)=AH71,State_after_knock($T$9),Judge_01($T$9,V16,$T$8))</f>
        <v>0</v>
      </c>
      <c r="AI72" s="258">
        <f ca="1">IF(State_after_knock($T$9)=AI71,State_after_knock($T$9),Judge_01($T$9,W16,$T$8))</f>
        <v>0</v>
      </c>
      <c r="AJ72" s="258">
        <f ca="1">IF(State_after_knock($T$9)=AJ71,State_after_knock($T$9),Judge_01($T$9,X16,$T$8))</f>
        <v>0</v>
      </c>
      <c r="AK72" s="258">
        <f ca="1">IF(State_after_knock($T$9)=AK71,State_after_knock($T$9),Judge_01($T$9,Y16,$T$8))</f>
        <v>0</v>
      </c>
      <c r="AL72" s="258">
        <f ca="1">IF(State_after_knock($T$9)=AL71,State_after_knock($T$9),Judge_01($T$9,Z16,$T$8))</f>
        <v>0</v>
      </c>
      <c r="AM72" s="258">
        <f ca="1">IF(State_after_knock($T$9)=AM71,State_after_knock($T$9),Judge_01($T$9,AA16,$T$8))</f>
        <v>0</v>
      </c>
      <c r="AN72" s="258">
        <f ca="1">IF(State_after_knock($T$9)=AN71,State_after_knock($T$9),Judge_01($T$9,AB16,$T$8))</f>
        <v>0</v>
      </c>
      <c r="AO72" s="225">
        <f ca="1">IF(State_after_knock($T$9)=AO71,State_after_knock($T$9),Judge_01($T$9,AC16,$T$8))</f>
        <v>0</v>
      </c>
      <c r="AQ72" s="57">
        <f>AQ71+7</f>
        <v>7</v>
      </c>
      <c r="AR72" s="258">
        <f ca="1">IF(State_after_knock($U$9)=AR71,State_after_knock($U$9),Judge_01($U$9,T16,$U$8))</f>
        <v>0</v>
      </c>
      <c r="AS72" s="258">
        <f ca="1">IF(State_after_knock($U$9)=AS71,State_after_knock($U$9),Judge_01($U$9,U16,$U$8))</f>
        <v>0</v>
      </c>
      <c r="AT72" s="258">
        <f ca="1">IF(State_after_knock($U$9)=AT71,State_after_knock($U$9),Judge_01($U$9,V16,$U$8))</f>
        <v>0</v>
      </c>
      <c r="AU72" s="258">
        <f ca="1">IF(State_after_knock($U$9)=AU71,State_after_knock($U$9),Judge_01($U$9,W16,$U$8))</f>
        <v>0</v>
      </c>
      <c r="AV72" s="258">
        <f ca="1">IF(State_after_knock($U$9)=AV71,State_after_knock($U$9),Judge_01($U$9,X16,$U$8))</f>
        <v>0</v>
      </c>
      <c r="AW72" s="258">
        <f ca="1">IF(State_after_knock($U$9)=AW71,State_after_knock($U$9),Judge_01($U$9,Y16,$U$8))</f>
        <v>0</v>
      </c>
      <c r="AX72" s="258">
        <f ca="1">IF(State_after_knock($U$9)=AX71,State_after_knock($U$9),Judge_01($U$9,Z16,$U$8))</f>
        <v>0</v>
      </c>
      <c r="AY72" s="258">
        <f ca="1">IF(State_after_knock($U$9)=AY71,State_after_knock($U$9),Judge_01($U$9,AA16,$U$8))</f>
        <v>0</v>
      </c>
      <c r="AZ72" s="258">
        <f ca="1">IF(State_after_knock($U$9)=AZ71,State_after_knock($U$9),Judge_01($U$9,AB16,$U$8))</f>
        <v>0</v>
      </c>
      <c r="BA72" s="225">
        <f ca="1">IF(State_after_knock($U$9)=BA71,State_after_knock($U$9),Judge_01($U$9,AC16,$U$8))</f>
        <v>0</v>
      </c>
    </row>
    <row r="73" spans="2:77" x14ac:dyDescent="0.15">
      <c r="B73" s="16">
        <v>40326</v>
      </c>
      <c r="C73" s="29">
        <f t="array" ref="C73">SUMPRODUCT('ファンドデータ(変更不要)'!K73:P73,TRANSPOSE(戦略の決定!$D$13:$D$18))</f>
        <v>2.9428530612427835E-3</v>
      </c>
      <c r="D73" s="29">
        <f t="array" ref="D73">SUMPRODUCT('ファンドデータ(変更不要)'!K73:P73,TRANSPOSE(戦略の決定!$E$13:$E$18))</f>
        <v>5.6048960557367597E-3</v>
      </c>
      <c r="E73" s="29">
        <f t="array" ref="E73">SUMPRODUCT('ファンドデータ(変更不要)'!K73:P73,TRANSPOSE(戦略の決定!$F$13:$F$18))</f>
        <v>5.6048960557367597E-3</v>
      </c>
      <c r="F73" s="183">
        <f t="shared" si="11"/>
        <v>1.1088898605420403</v>
      </c>
      <c r="G73" s="183">
        <f t="shared" si="12"/>
        <v>1.1377555536587207</v>
      </c>
      <c r="H73" s="75">
        <f t="shared" si="13"/>
        <v>1.1377555536587207</v>
      </c>
      <c r="J73"/>
      <c r="K73"/>
      <c r="L73"/>
      <c r="M73"/>
      <c r="N73"/>
      <c r="O73"/>
      <c r="P73"/>
      <c r="AE73" s="57">
        <f t="shared" ref="AE73:AE123" si="16">AE72+7</f>
        <v>14</v>
      </c>
      <c r="AF73" s="258">
        <f ca="1">IF(State_after_knock($T$9)=AF72,State_after_knock($T$9),Judge_01($T$9,T17,$T$8))</f>
        <v>0</v>
      </c>
      <c r="AG73" s="258">
        <f ca="1">IF(State_after_knock($T$9)=AG72,State_after_knock($T$9),Judge_01($T$9,U17,$T$8))</f>
        <v>0</v>
      </c>
      <c r="AH73" s="258">
        <f ca="1">IF(State_after_knock($T$9)=AH72,State_after_knock($T$9),Judge_01($T$9,V17,$T$8))</f>
        <v>0</v>
      </c>
      <c r="AI73" s="258">
        <f ca="1">IF(State_after_knock($T$9)=AI72,State_after_knock($T$9),Judge_01($T$9,W17,$T$8))</f>
        <v>0</v>
      </c>
      <c r="AJ73" s="258">
        <f ca="1">IF(State_after_knock($T$9)=AJ72,State_after_knock($T$9),Judge_01($T$9,X17,$T$8))</f>
        <v>0</v>
      </c>
      <c r="AK73" s="258">
        <f ca="1">IF(State_after_knock($T$9)=AK72,State_after_knock($T$9),Judge_01($T$9,Y17,$T$8))</f>
        <v>0</v>
      </c>
      <c r="AL73" s="258">
        <f ca="1">IF(State_after_knock($T$9)=AL72,State_after_knock($T$9),Judge_01($T$9,Z17,$T$8))</f>
        <v>0</v>
      </c>
      <c r="AM73" s="258">
        <f ca="1">IF(State_after_knock($T$9)=AM72,State_after_knock($T$9),Judge_01($T$9,AA17,$T$8))</f>
        <v>0</v>
      </c>
      <c r="AN73" s="258">
        <f ca="1">IF(State_after_knock($T$9)=AN72,State_after_knock($T$9),Judge_01($T$9,AB17,$T$8))</f>
        <v>0</v>
      </c>
      <c r="AO73" s="225">
        <f ca="1">IF(State_after_knock($T$9)=AO72,State_after_knock($T$9),Judge_01($T$9,AC17,$T$8))</f>
        <v>0</v>
      </c>
      <c r="AQ73" s="57">
        <f t="shared" ref="AQ73:AQ123" si="17">AQ72+7</f>
        <v>14</v>
      </c>
      <c r="AR73" s="258">
        <f ca="1">IF(State_after_knock($U$9)=AR72,State_after_knock($U$9),Judge_01($U$9,T17,$U$8))</f>
        <v>0</v>
      </c>
      <c r="AS73" s="258">
        <f ca="1">IF(State_after_knock($U$9)=AS72,State_after_knock($U$9),Judge_01($U$9,U17,$U$8))</f>
        <v>0</v>
      </c>
      <c r="AT73" s="258">
        <f ca="1">IF(State_after_knock($U$9)=AT72,State_after_knock($U$9),Judge_01($U$9,V17,$U$8))</f>
        <v>0</v>
      </c>
      <c r="AU73" s="258">
        <f ca="1">IF(State_after_knock($U$9)=AU72,State_after_knock($U$9),Judge_01($U$9,W17,$U$8))</f>
        <v>0</v>
      </c>
      <c r="AV73" s="258">
        <f ca="1">IF(State_after_knock($U$9)=AV72,State_after_knock($U$9),Judge_01($U$9,X17,$U$8))</f>
        <v>0</v>
      </c>
      <c r="AW73" s="258">
        <f ca="1">IF(State_after_knock($U$9)=AW72,State_after_knock($U$9),Judge_01($U$9,Y17,$U$8))</f>
        <v>0</v>
      </c>
      <c r="AX73" s="258">
        <f ca="1">IF(State_after_knock($U$9)=AX72,State_after_knock($U$9),Judge_01($U$9,Z17,$U$8))</f>
        <v>0</v>
      </c>
      <c r="AY73" s="258">
        <f ca="1">IF(State_after_knock($U$9)=AY72,State_after_knock($U$9),Judge_01($U$9,AA17,$U$8))</f>
        <v>0</v>
      </c>
      <c r="AZ73" s="258">
        <f ca="1">IF(State_after_knock($U$9)=AZ72,State_after_knock($U$9),Judge_01($U$9,AB17,$U$8))</f>
        <v>0</v>
      </c>
      <c r="BA73" s="225">
        <f ca="1">IF(State_after_knock($U$9)=BA72,State_after_knock($U$9),Judge_01($U$9,AC17,$U$8))</f>
        <v>0</v>
      </c>
    </row>
    <row r="74" spans="2:77" x14ac:dyDescent="0.15">
      <c r="B74" s="16">
        <v>40333</v>
      </c>
      <c r="C74" s="29">
        <f t="array" ref="C74">SUMPRODUCT('ファンドデータ(変更不要)'!K74:P74,TRANSPOSE(戦略の決定!$D$13:$D$18))</f>
        <v>6.3667099949822562E-3</v>
      </c>
      <c r="D74" s="29">
        <f t="array" ref="D74">SUMPRODUCT('ファンドデータ(変更不要)'!K74:P74,TRANSPOSE(戦略の決定!$E$13:$E$18))</f>
        <v>7.2402678945122593E-3</v>
      </c>
      <c r="E74" s="29">
        <f t="array" ref="E74">SUMPRODUCT('ファンドデータ(変更不要)'!K74:P74,TRANSPOSE(戦略の決定!$F$13:$F$18))</f>
        <v>7.2402678945122593E-3</v>
      </c>
      <c r="F74" s="183">
        <f t="shared" si="11"/>
        <v>1.1159498407004877</v>
      </c>
      <c r="G74" s="183">
        <f t="shared" si="12"/>
        <v>1.145993208665679</v>
      </c>
      <c r="H74" s="75">
        <f t="shared" si="13"/>
        <v>1.145993208665679</v>
      </c>
      <c r="J74"/>
      <c r="K74"/>
      <c r="L74"/>
      <c r="M74"/>
      <c r="N74"/>
      <c r="O74"/>
      <c r="P74"/>
      <c r="AE74" s="57">
        <f t="shared" si="16"/>
        <v>21</v>
      </c>
      <c r="AF74" s="258">
        <f ca="1">IF(State_after_knock($T$9)=AF73,State_after_knock($T$9),Judge_01($T$9,T18,$T$8))</f>
        <v>0</v>
      </c>
      <c r="AG74" s="258">
        <f ca="1">IF(State_after_knock($T$9)=AG73,State_after_knock($T$9),Judge_01($T$9,U18,$T$8))</f>
        <v>0</v>
      </c>
      <c r="AH74" s="258">
        <f ca="1">IF(State_after_knock($T$9)=AH73,State_after_knock($T$9),Judge_01($T$9,V18,$T$8))</f>
        <v>0</v>
      </c>
      <c r="AI74" s="258">
        <f ca="1">IF(State_after_knock($T$9)=AI73,State_after_knock($T$9),Judge_01($T$9,W18,$T$8))</f>
        <v>0</v>
      </c>
      <c r="AJ74" s="258">
        <f ca="1">IF(State_after_knock($T$9)=AJ73,State_after_knock($T$9),Judge_01($T$9,X18,$T$8))</f>
        <v>0</v>
      </c>
      <c r="AK74" s="258">
        <f ca="1">IF(State_after_knock($T$9)=AK73,State_after_knock($T$9),Judge_01($T$9,Y18,$T$8))</f>
        <v>0</v>
      </c>
      <c r="AL74" s="258">
        <f ca="1">IF(State_after_knock($T$9)=AL73,State_after_knock($T$9),Judge_01($T$9,Z18,$T$8))</f>
        <v>0</v>
      </c>
      <c r="AM74" s="258">
        <f ca="1">IF(State_after_knock($T$9)=AM73,State_after_knock($T$9),Judge_01($T$9,AA18,$T$8))</f>
        <v>0</v>
      </c>
      <c r="AN74" s="258">
        <f ca="1">IF(State_after_knock($T$9)=AN73,State_after_knock($T$9),Judge_01($T$9,AB18,$T$8))</f>
        <v>0</v>
      </c>
      <c r="AO74" s="225">
        <f ca="1">IF(State_after_knock($T$9)=AO73,State_after_knock($T$9),Judge_01($T$9,AC18,$T$8))</f>
        <v>0</v>
      </c>
      <c r="AQ74" s="57">
        <f t="shared" si="17"/>
        <v>21</v>
      </c>
      <c r="AR74" s="258">
        <f ca="1">IF(State_after_knock($U$9)=AR73,State_after_knock($U$9),Judge_01($U$9,T18,$U$8))</f>
        <v>0</v>
      </c>
      <c r="AS74" s="258">
        <f ca="1">IF(State_after_knock($U$9)=AS73,State_after_knock($U$9),Judge_01($U$9,U18,$U$8))</f>
        <v>0</v>
      </c>
      <c r="AT74" s="258">
        <f ca="1">IF(State_after_knock($U$9)=AT73,State_after_knock($U$9),Judge_01($U$9,V18,$U$8))</f>
        <v>0</v>
      </c>
      <c r="AU74" s="258">
        <f ca="1">IF(State_after_knock($U$9)=AU73,State_after_knock($U$9),Judge_01($U$9,W18,$U$8))</f>
        <v>0</v>
      </c>
      <c r="AV74" s="258">
        <f ca="1">IF(State_after_knock($U$9)=AV73,State_after_knock($U$9),Judge_01($U$9,X18,$U$8))</f>
        <v>0</v>
      </c>
      <c r="AW74" s="258">
        <f ca="1">IF(State_after_knock($U$9)=AW73,State_after_knock($U$9),Judge_01($U$9,Y18,$U$8))</f>
        <v>0</v>
      </c>
      <c r="AX74" s="258">
        <f ca="1">IF(State_after_knock($U$9)=AX73,State_after_knock($U$9),Judge_01($U$9,Z18,$U$8))</f>
        <v>0</v>
      </c>
      <c r="AY74" s="258">
        <f ca="1">IF(State_after_knock($U$9)=AY73,State_after_knock($U$9),Judge_01($U$9,AA18,$U$8))</f>
        <v>0</v>
      </c>
      <c r="AZ74" s="258">
        <f ca="1">IF(State_after_knock($U$9)=AZ73,State_after_knock($U$9),Judge_01($U$9,AB18,$U$8))</f>
        <v>0</v>
      </c>
      <c r="BA74" s="225">
        <f ca="1">IF(State_after_knock($U$9)=BA73,State_after_knock($U$9),Judge_01($U$9,AC18,$U$8))</f>
        <v>0</v>
      </c>
    </row>
    <row r="75" spans="2:77" x14ac:dyDescent="0.15">
      <c r="B75" s="16">
        <v>40340</v>
      </c>
      <c r="C75" s="29">
        <f t="array" ref="C75">SUMPRODUCT('ファンドデータ(変更不要)'!K75:P75,TRANSPOSE(戦略の決定!$D$13:$D$18))</f>
        <v>-8.8168765937828089E-3</v>
      </c>
      <c r="D75" s="29">
        <f t="array" ref="D75">SUMPRODUCT('ファンドデータ(変更不要)'!K75:P75,TRANSPOSE(戦略の決定!$E$13:$E$18))</f>
        <v>-1.1161943595889713E-2</v>
      </c>
      <c r="E75" s="29">
        <f t="array" ref="E75">SUMPRODUCT('ファンドデータ(変更不要)'!K75:P75,TRANSPOSE(戦略の決定!$F$13:$F$18))</f>
        <v>-1.1161943595889713E-2</v>
      </c>
      <c r="F75" s="183">
        <f t="shared" si="11"/>
        <v>1.1061106486701799</v>
      </c>
      <c r="G75" s="183">
        <f t="shared" si="12"/>
        <v>1.13320169710928</v>
      </c>
      <c r="H75" s="75">
        <f t="shared" si="13"/>
        <v>1.13320169710928</v>
      </c>
      <c r="J75"/>
      <c r="K75"/>
      <c r="L75"/>
      <c r="M75"/>
      <c r="N75"/>
      <c r="O75"/>
      <c r="P75"/>
      <c r="AE75" s="57">
        <f t="shared" si="16"/>
        <v>28</v>
      </c>
      <c r="AF75" s="258">
        <f ca="1">IF(State_after_knock($T$9)=AF74,State_after_knock($T$9),Judge_01($T$9,T19,$T$8))</f>
        <v>0</v>
      </c>
      <c r="AG75" s="258">
        <f ca="1">IF(State_after_knock($T$9)=AG74,State_after_knock($T$9),Judge_01($T$9,U19,$T$8))</f>
        <v>0</v>
      </c>
      <c r="AH75" s="258">
        <f ca="1">IF(State_after_knock($T$9)=AH74,State_after_knock($T$9),Judge_01($T$9,V19,$T$8))</f>
        <v>0</v>
      </c>
      <c r="AI75" s="258">
        <f ca="1">IF(State_after_knock($T$9)=AI74,State_after_knock($T$9),Judge_01($T$9,W19,$T$8))</f>
        <v>0</v>
      </c>
      <c r="AJ75" s="258">
        <f ca="1">IF(State_after_knock($T$9)=AJ74,State_after_knock($T$9),Judge_01($T$9,X19,$T$8))</f>
        <v>0</v>
      </c>
      <c r="AK75" s="258">
        <f ca="1">IF(State_after_knock($T$9)=AK74,State_after_knock($T$9),Judge_01($T$9,Y19,$T$8))</f>
        <v>0</v>
      </c>
      <c r="AL75" s="258">
        <f ca="1">IF(State_after_knock($T$9)=AL74,State_after_knock($T$9),Judge_01($T$9,Z19,$T$8))</f>
        <v>0</v>
      </c>
      <c r="AM75" s="258">
        <f ca="1">IF(State_after_knock($T$9)=AM74,State_after_knock($T$9),Judge_01($T$9,AA19,$T$8))</f>
        <v>0</v>
      </c>
      <c r="AN75" s="258">
        <f ca="1">IF(State_after_knock($T$9)=AN74,State_after_knock($T$9),Judge_01($T$9,AB19,$T$8))</f>
        <v>0</v>
      </c>
      <c r="AO75" s="225">
        <f ca="1">IF(State_after_knock($T$9)=AO74,State_after_knock($T$9),Judge_01($T$9,AC19,$T$8))</f>
        <v>0</v>
      </c>
      <c r="AQ75" s="57">
        <f t="shared" si="17"/>
        <v>28</v>
      </c>
      <c r="AR75" s="258">
        <f ca="1">IF(State_after_knock($U$9)=AR74,State_after_knock($U$9),Judge_01($U$9,T19,$U$8))</f>
        <v>0</v>
      </c>
      <c r="AS75" s="258">
        <f ca="1">IF(State_after_knock($U$9)=AS74,State_after_knock($U$9),Judge_01($U$9,U19,$U$8))</f>
        <v>0</v>
      </c>
      <c r="AT75" s="258">
        <f ca="1">IF(State_after_knock($U$9)=AT74,State_after_knock($U$9),Judge_01($U$9,V19,$U$8))</f>
        <v>0</v>
      </c>
      <c r="AU75" s="258">
        <f ca="1">IF(State_after_knock($U$9)=AU74,State_after_knock($U$9),Judge_01($U$9,W19,$U$8))</f>
        <v>0</v>
      </c>
      <c r="AV75" s="258">
        <f ca="1">IF(State_after_knock($U$9)=AV74,State_after_knock($U$9),Judge_01($U$9,X19,$U$8))</f>
        <v>0</v>
      </c>
      <c r="AW75" s="258">
        <f ca="1">IF(State_after_knock($U$9)=AW74,State_after_knock($U$9),Judge_01($U$9,Y19,$U$8))</f>
        <v>0</v>
      </c>
      <c r="AX75" s="258">
        <f ca="1">IF(State_after_knock($U$9)=AX74,State_after_knock($U$9),Judge_01($U$9,Z19,$U$8))</f>
        <v>0</v>
      </c>
      <c r="AY75" s="258">
        <f ca="1">IF(State_after_knock($U$9)=AY74,State_after_knock($U$9),Judge_01($U$9,AA19,$U$8))</f>
        <v>0</v>
      </c>
      <c r="AZ75" s="258">
        <f ca="1">IF(State_after_knock($U$9)=AZ74,State_after_knock($U$9),Judge_01($U$9,AB19,$U$8))</f>
        <v>0</v>
      </c>
      <c r="BA75" s="225">
        <f ca="1">IF(State_after_knock($U$9)=BA74,State_after_knock($U$9),Judge_01($U$9,AC19,$U$8))</f>
        <v>0</v>
      </c>
    </row>
    <row r="76" spans="2:77" x14ac:dyDescent="0.15">
      <c r="B76" s="16">
        <v>40347</v>
      </c>
      <c r="C76" s="29">
        <f t="array" ref="C76">SUMPRODUCT('ファンドデータ(変更不要)'!K76:P76,TRANSPOSE(戦略の決定!$D$13:$D$18))</f>
        <v>3.1491685723618384E-3</v>
      </c>
      <c r="D76" s="29">
        <f t="array" ref="D76">SUMPRODUCT('ファンドデータ(変更不要)'!K76:P76,TRANSPOSE(戦略の決定!$E$13:$E$18))</f>
        <v>5.1147922353526887E-4</v>
      </c>
      <c r="E76" s="29">
        <f t="array" ref="E76">SUMPRODUCT('ファンドデータ(変更不要)'!K76:P76,TRANSPOSE(戦略の決定!$F$13:$F$18))</f>
        <v>5.1147922353526887E-4</v>
      </c>
      <c r="F76" s="183">
        <f t="shared" si="11"/>
        <v>1.109593977562527</v>
      </c>
      <c r="G76" s="183">
        <f t="shared" si="12"/>
        <v>1.1337813062334263</v>
      </c>
      <c r="H76" s="75">
        <f t="shared" si="13"/>
        <v>1.1337813062334263</v>
      </c>
      <c r="J76"/>
      <c r="K76"/>
      <c r="L76"/>
      <c r="M76"/>
      <c r="N76"/>
      <c r="O76"/>
      <c r="P76"/>
      <c r="AE76" s="57">
        <f t="shared" si="16"/>
        <v>35</v>
      </c>
      <c r="AF76" s="258">
        <f ca="1">IF(State_after_knock($T$9)=AF75,State_after_knock($T$9),Judge_01($T$9,T20,$T$8))</f>
        <v>0</v>
      </c>
      <c r="AG76" s="258">
        <f ca="1">IF(State_after_knock($T$9)=AG75,State_after_knock($T$9),Judge_01($T$9,U20,$T$8))</f>
        <v>0</v>
      </c>
      <c r="AH76" s="258">
        <f ca="1">IF(State_after_knock($T$9)=AH75,State_after_knock($T$9),Judge_01($T$9,V20,$T$8))</f>
        <v>0</v>
      </c>
      <c r="AI76" s="258">
        <f ca="1">IF(State_after_knock($T$9)=AI75,State_after_knock($T$9),Judge_01($T$9,W20,$T$8))</f>
        <v>0</v>
      </c>
      <c r="AJ76" s="258">
        <f ca="1">IF(State_after_knock($T$9)=AJ75,State_after_knock($T$9),Judge_01($T$9,X20,$T$8))</f>
        <v>0</v>
      </c>
      <c r="AK76" s="258">
        <f ca="1">IF(State_after_knock($T$9)=AK75,State_after_knock($T$9),Judge_01($T$9,Y20,$T$8))</f>
        <v>0</v>
      </c>
      <c r="AL76" s="258">
        <f ca="1">IF(State_after_knock($T$9)=AL75,State_after_knock($T$9),Judge_01($T$9,Z20,$T$8))</f>
        <v>0</v>
      </c>
      <c r="AM76" s="258">
        <f ca="1">IF(State_after_knock($T$9)=AM75,State_after_knock($T$9),Judge_01($T$9,AA20,$T$8))</f>
        <v>0</v>
      </c>
      <c r="AN76" s="258">
        <f ca="1">IF(State_after_knock($T$9)=AN75,State_after_knock($T$9),Judge_01($T$9,AB20,$T$8))</f>
        <v>0</v>
      </c>
      <c r="AO76" s="225">
        <f ca="1">IF(State_after_knock($T$9)=AO75,State_after_knock($T$9),Judge_01($T$9,AC20,$T$8))</f>
        <v>0</v>
      </c>
      <c r="AQ76" s="57">
        <f t="shared" si="17"/>
        <v>35</v>
      </c>
      <c r="AR76" s="258">
        <f ca="1">IF(State_after_knock($U$9)=AR75,State_after_knock($U$9),Judge_01($U$9,T20,$U$8))</f>
        <v>0</v>
      </c>
      <c r="AS76" s="258">
        <f ca="1">IF(State_after_knock($U$9)=AS75,State_after_knock($U$9),Judge_01($U$9,U20,$U$8))</f>
        <v>0</v>
      </c>
      <c r="AT76" s="258">
        <f ca="1">IF(State_after_knock($U$9)=AT75,State_after_knock($U$9),Judge_01($U$9,V20,$U$8))</f>
        <v>0</v>
      </c>
      <c r="AU76" s="258">
        <f ca="1">IF(State_after_knock($U$9)=AU75,State_after_knock($U$9),Judge_01($U$9,W20,$U$8))</f>
        <v>0</v>
      </c>
      <c r="AV76" s="258">
        <f ca="1">IF(State_after_knock($U$9)=AV75,State_after_knock($U$9),Judge_01($U$9,X20,$U$8))</f>
        <v>0</v>
      </c>
      <c r="AW76" s="258">
        <f ca="1">IF(State_after_knock($U$9)=AW75,State_after_knock($U$9),Judge_01($U$9,Y20,$U$8))</f>
        <v>0</v>
      </c>
      <c r="AX76" s="258">
        <f ca="1">IF(State_after_knock($U$9)=AX75,State_after_knock($U$9),Judge_01($U$9,Z20,$U$8))</f>
        <v>0</v>
      </c>
      <c r="AY76" s="258">
        <f ca="1">IF(State_after_knock($U$9)=AY75,State_after_knock($U$9),Judge_01($U$9,AA20,$U$8))</f>
        <v>0</v>
      </c>
      <c r="AZ76" s="258">
        <f ca="1">IF(State_after_knock($U$9)=AZ75,State_after_knock($U$9),Judge_01($U$9,AB20,$U$8))</f>
        <v>0</v>
      </c>
      <c r="BA76" s="225">
        <f ca="1">IF(State_after_knock($U$9)=BA75,State_after_knock($U$9),Judge_01($U$9,AC20,$U$8))</f>
        <v>0</v>
      </c>
    </row>
    <row r="77" spans="2:77" x14ac:dyDescent="0.15">
      <c r="B77" s="16">
        <v>40354</v>
      </c>
      <c r="C77" s="29">
        <f t="array" ref="C77">SUMPRODUCT('ファンドデータ(変更不要)'!K77:P77,TRANSPOSE(戦略の決定!$D$13:$D$18))</f>
        <v>-6.5735599525005416E-3</v>
      </c>
      <c r="D77" s="29">
        <f t="array" ref="D77">SUMPRODUCT('ファンドデータ(変更不要)'!K77:P77,TRANSPOSE(戦略の決定!$E$13:$E$18))</f>
        <v>-7.2125916411907385E-3</v>
      </c>
      <c r="E77" s="29">
        <f t="array" ref="E77">SUMPRODUCT('ファンドデータ(変更不要)'!K77:P77,TRANSPOSE(戦略の決定!$F$13:$F$18))</f>
        <v>-7.2125916411907385E-3</v>
      </c>
      <c r="F77" s="183">
        <f t="shared" si="11"/>
        <v>1.1022999950280863</v>
      </c>
      <c r="G77" s="183">
        <f t="shared" si="12"/>
        <v>1.1256038046611487</v>
      </c>
      <c r="H77" s="75">
        <f t="shared" si="13"/>
        <v>1.1256038046611487</v>
      </c>
      <c r="J77"/>
      <c r="K77"/>
      <c r="L77"/>
      <c r="M77"/>
      <c r="N77"/>
      <c r="O77"/>
      <c r="P77"/>
      <c r="AE77" s="57">
        <f t="shared" si="16"/>
        <v>42</v>
      </c>
      <c r="AF77" s="258">
        <f ca="1">IF(State_after_knock($T$9)=AF76,State_after_knock($T$9),Judge_01($T$9,T21,$T$8))</f>
        <v>0</v>
      </c>
      <c r="AG77" s="258">
        <f ca="1">IF(State_after_knock($T$9)=AG76,State_after_knock($T$9),Judge_01($T$9,U21,$T$8))</f>
        <v>0</v>
      </c>
      <c r="AH77" s="258">
        <f ca="1">IF(State_after_knock($T$9)=AH76,State_after_knock($T$9),Judge_01($T$9,V21,$T$8))</f>
        <v>0</v>
      </c>
      <c r="AI77" s="258">
        <f ca="1">IF(State_after_knock($T$9)=AI76,State_after_knock($T$9),Judge_01($T$9,W21,$T$8))</f>
        <v>0</v>
      </c>
      <c r="AJ77" s="258">
        <f ca="1">IF(State_after_knock($T$9)=AJ76,State_after_knock($T$9),Judge_01($T$9,X21,$T$8))</f>
        <v>0</v>
      </c>
      <c r="AK77" s="258">
        <f ca="1">IF(State_after_knock($T$9)=AK76,State_after_knock($T$9),Judge_01($T$9,Y21,$T$8))</f>
        <v>0</v>
      </c>
      <c r="AL77" s="258">
        <f ca="1">IF(State_after_knock($T$9)=AL76,State_after_knock($T$9),Judge_01($T$9,Z21,$T$8))</f>
        <v>0</v>
      </c>
      <c r="AM77" s="258">
        <f ca="1">IF(State_after_knock($T$9)=AM76,State_after_knock($T$9),Judge_01($T$9,AA21,$T$8))</f>
        <v>0</v>
      </c>
      <c r="AN77" s="258">
        <f ca="1">IF(State_after_knock($T$9)=AN76,State_after_knock($T$9),Judge_01($T$9,AB21,$T$8))</f>
        <v>0</v>
      </c>
      <c r="AO77" s="225">
        <f ca="1">IF(State_after_knock($T$9)=AO76,State_after_knock($T$9),Judge_01($T$9,AC21,$T$8))</f>
        <v>0</v>
      </c>
      <c r="AQ77" s="57">
        <f t="shared" si="17"/>
        <v>42</v>
      </c>
      <c r="AR77" s="258">
        <f ca="1">IF(State_after_knock($U$9)=AR76,State_after_knock($U$9),Judge_01($U$9,T21,$U$8))</f>
        <v>0</v>
      </c>
      <c r="AS77" s="258">
        <f ca="1">IF(State_after_knock($U$9)=AS76,State_after_knock($U$9),Judge_01($U$9,U21,$U$8))</f>
        <v>0</v>
      </c>
      <c r="AT77" s="258">
        <f ca="1">IF(State_after_knock($U$9)=AT76,State_after_knock($U$9),Judge_01($U$9,V21,$U$8))</f>
        <v>0</v>
      </c>
      <c r="AU77" s="258">
        <f ca="1">IF(State_after_knock($U$9)=AU76,State_after_knock($U$9),Judge_01($U$9,W21,$U$8))</f>
        <v>0</v>
      </c>
      <c r="AV77" s="258">
        <f ca="1">IF(State_after_knock($U$9)=AV76,State_after_knock($U$9),Judge_01($U$9,X21,$U$8))</f>
        <v>0</v>
      </c>
      <c r="AW77" s="258">
        <f ca="1">IF(State_after_knock($U$9)=AW76,State_after_knock($U$9),Judge_01($U$9,Y21,$U$8))</f>
        <v>0</v>
      </c>
      <c r="AX77" s="258">
        <f ca="1">IF(State_after_knock($U$9)=AX76,State_after_knock($U$9),Judge_01($U$9,Z21,$U$8))</f>
        <v>0</v>
      </c>
      <c r="AY77" s="258">
        <f ca="1">IF(State_after_knock($U$9)=AY76,State_after_knock($U$9),Judge_01($U$9,AA21,$U$8))</f>
        <v>0</v>
      </c>
      <c r="AZ77" s="258">
        <f ca="1">IF(State_after_knock($U$9)=AZ76,State_after_knock($U$9),Judge_01($U$9,AB21,$U$8))</f>
        <v>0</v>
      </c>
      <c r="BA77" s="225">
        <f ca="1">IF(State_after_knock($U$9)=BA76,State_after_knock($U$9),Judge_01($U$9,AC21,$U$8))</f>
        <v>0</v>
      </c>
    </row>
    <row r="78" spans="2:77" x14ac:dyDescent="0.15">
      <c r="B78" s="16">
        <v>40361</v>
      </c>
      <c r="C78" s="29">
        <f t="array" ref="C78">SUMPRODUCT('ファンドデータ(変更不要)'!K78:P78,TRANSPOSE(戦略の決定!$D$13:$D$18))</f>
        <v>-1.1796273118015439E-2</v>
      </c>
      <c r="D78" s="29">
        <f t="array" ref="D78">SUMPRODUCT('ファンドデータ(変更不要)'!K78:P78,TRANSPOSE(戦略の決定!$E$13:$E$18))</f>
        <v>-1.461110006898823E-2</v>
      </c>
      <c r="E78" s="29">
        <f t="array" ref="E78">SUMPRODUCT('ファンドデータ(変更不要)'!K78:P78,TRANSPOSE(戦略の決定!$F$13:$F$18))</f>
        <v>-1.461110006898823E-2</v>
      </c>
      <c r="F78" s="183">
        <f t="shared" si="11"/>
        <v>1.0892969632287479</v>
      </c>
      <c r="G78" s="183">
        <f t="shared" si="12"/>
        <v>1.1091574948332108</v>
      </c>
      <c r="H78" s="75">
        <f t="shared" si="13"/>
        <v>1.1091574948332108</v>
      </c>
      <c r="J78"/>
      <c r="K78"/>
      <c r="L78"/>
      <c r="M78"/>
      <c r="N78"/>
      <c r="O78"/>
      <c r="P78"/>
      <c r="AE78" s="57">
        <f t="shared" si="16"/>
        <v>49</v>
      </c>
      <c r="AF78" s="258">
        <f ca="1">IF(State_after_knock($T$9)=AF77,State_after_knock($T$9),Judge_01($T$9,T22,$T$8))</f>
        <v>0</v>
      </c>
      <c r="AG78" s="258">
        <f ca="1">IF(State_after_knock($T$9)=AG77,State_after_knock($T$9),Judge_01($T$9,U22,$T$8))</f>
        <v>0</v>
      </c>
      <c r="AH78" s="258">
        <f ca="1">IF(State_after_knock($T$9)=AH77,State_after_knock($T$9),Judge_01($T$9,V22,$T$8))</f>
        <v>0</v>
      </c>
      <c r="AI78" s="258">
        <f ca="1">IF(State_after_knock($T$9)=AI77,State_after_knock($T$9),Judge_01($T$9,W22,$T$8))</f>
        <v>0</v>
      </c>
      <c r="AJ78" s="258">
        <f ca="1">IF(State_after_knock($T$9)=AJ77,State_after_knock($T$9),Judge_01($T$9,X22,$T$8))</f>
        <v>0</v>
      </c>
      <c r="AK78" s="258">
        <f ca="1">IF(State_after_knock($T$9)=AK77,State_after_knock($T$9),Judge_01($T$9,Y22,$T$8))</f>
        <v>0</v>
      </c>
      <c r="AL78" s="258">
        <f ca="1">IF(State_after_knock($T$9)=AL77,State_after_knock($T$9),Judge_01($T$9,Z22,$T$8))</f>
        <v>0</v>
      </c>
      <c r="AM78" s="258">
        <f ca="1">IF(State_after_knock($T$9)=AM77,State_after_knock($T$9),Judge_01($T$9,AA22,$T$8))</f>
        <v>0</v>
      </c>
      <c r="AN78" s="258">
        <f ca="1">IF(State_after_knock($T$9)=AN77,State_after_knock($T$9),Judge_01($T$9,AB22,$T$8))</f>
        <v>0</v>
      </c>
      <c r="AO78" s="225">
        <f ca="1">IF(State_after_knock($T$9)=AO77,State_after_knock($T$9),Judge_01($T$9,AC22,$T$8))</f>
        <v>0</v>
      </c>
      <c r="AQ78" s="57">
        <f t="shared" si="17"/>
        <v>49</v>
      </c>
      <c r="AR78" s="258">
        <f ca="1">IF(State_after_knock($U$9)=AR77,State_after_knock($U$9),Judge_01($U$9,T22,$U$8))</f>
        <v>0</v>
      </c>
      <c r="AS78" s="258">
        <f ca="1">IF(State_after_knock($U$9)=AS77,State_after_knock($U$9),Judge_01($U$9,U22,$U$8))</f>
        <v>0</v>
      </c>
      <c r="AT78" s="258">
        <f ca="1">IF(State_after_knock($U$9)=AT77,State_after_knock($U$9),Judge_01($U$9,V22,$U$8))</f>
        <v>0</v>
      </c>
      <c r="AU78" s="258">
        <f ca="1">IF(State_after_knock($U$9)=AU77,State_after_knock($U$9),Judge_01($U$9,W22,$U$8))</f>
        <v>0</v>
      </c>
      <c r="AV78" s="258">
        <f ca="1">IF(State_after_knock($U$9)=AV77,State_after_knock($U$9),Judge_01($U$9,X22,$U$8))</f>
        <v>0</v>
      </c>
      <c r="AW78" s="258">
        <f ca="1">IF(State_after_knock($U$9)=AW77,State_after_knock($U$9),Judge_01($U$9,Y22,$U$8))</f>
        <v>0</v>
      </c>
      <c r="AX78" s="258">
        <f ca="1">IF(State_after_knock($U$9)=AX77,State_after_knock($U$9),Judge_01($U$9,Z22,$U$8))</f>
        <v>0</v>
      </c>
      <c r="AY78" s="258">
        <f ca="1">IF(State_after_knock($U$9)=AY77,State_after_knock($U$9),Judge_01($U$9,AA22,$U$8))</f>
        <v>0</v>
      </c>
      <c r="AZ78" s="258">
        <f ca="1">IF(State_after_knock($U$9)=AZ77,State_after_knock($U$9),Judge_01($U$9,AB22,$U$8))</f>
        <v>0</v>
      </c>
      <c r="BA78" s="225">
        <f ca="1">IF(State_after_knock($U$9)=BA77,State_after_knock($U$9),Judge_01($U$9,AC22,$U$8))</f>
        <v>0</v>
      </c>
    </row>
    <row r="79" spans="2:77" x14ac:dyDescent="0.15">
      <c r="B79" s="16">
        <v>40368</v>
      </c>
      <c r="C79" s="29">
        <f t="array" ref="C79">SUMPRODUCT('ファンドデータ(変更不要)'!K79:P79,TRANSPOSE(戦略の決定!$D$13:$D$18))</f>
        <v>1.0854796808904305E-2</v>
      </c>
      <c r="D79" s="29">
        <f t="array" ref="D79">SUMPRODUCT('ファンドデータ(変更不要)'!K79:P79,TRANSPOSE(戦略の決定!$E$13:$E$18))</f>
        <v>1.2991667884025013E-2</v>
      </c>
      <c r="E79" s="29">
        <f t="array" ref="E79">SUMPRODUCT('ファンドデータ(変更不要)'!K79:P79,TRANSPOSE(戦略の決定!$F$13:$F$18))</f>
        <v>1.2991667884025013E-2</v>
      </c>
      <c r="F79" s="183">
        <f t="shared" si="11"/>
        <v>1.1011210604291526</v>
      </c>
      <c r="G79" s="183">
        <f t="shared" si="12"/>
        <v>1.1235673006371609</v>
      </c>
      <c r="H79" s="75">
        <f t="shared" si="13"/>
        <v>1.1235673006371609</v>
      </c>
      <c r="J79"/>
      <c r="K79"/>
      <c r="L79"/>
      <c r="M79"/>
      <c r="N79"/>
      <c r="O79"/>
      <c r="P79"/>
      <c r="AE79" s="57">
        <f t="shared" si="16"/>
        <v>56</v>
      </c>
      <c r="AF79" s="258">
        <f ca="1">IF(State_after_knock($T$9)=AF78,State_after_knock($T$9),Judge_01($T$9,T23,$T$8))</f>
        <v>0</v>
      </c>
      <c r="AG79" s="258">
        <f ca="1">IF(State_after_knock($T$9)=AG78,State_after_knock($T$9),Judge_01($T$9,U23,$T$8))</f>
        <v>0</v>
      </c>
      <c r="AH79" s="258">
        <f ca="1">IF(State_after_knock($T$9)=AH78,State_after_knock($T$9),Judge_01($T$9,V23,$T$8))</f>
        <v>0</v>
      </c>
      <c r="AI79" s="258">
        <f ca="1">IF(State_after_knock($T$9)=AI78,State_after_knock($T$9),Judge_01($T$9,W23,$T$8))</f>
        <v>0</v>
      </c>
      <c r="AJ79" s="258">
        <f ca="1">IF(State_after_knock($T$9)=AJ78,State_after_knock($T$9),Judge_01($T$9,X23,$T$8))</f>
        <v>0</v>
      </c>
      <c r="AK79" s="258">
        <f ca="1">IF(State_after_knock($T$9)=AK78,State_after_knock($T$9),Judge_01($T$9,Y23,$T$8))</f>
        <v>0</v>
      </c>
      <c r="AL79" s="258">
        <f ca="1">IF(State_after_knock($T$9)=AL78,State_after_knock($T$9),Judge_01($T$9,Z23,$T$8))</f>
        <v>0</v>
      </c>
      <c r="AM79" s="258">
        <f ca="1">IF(State_after_knock($T$9)=AM78,State_after_knock($T$9),Judge_01($T$9,AA23,$T$8))</f>
        <v>0</v>
      </c>
      <c r="AN79" s="258">
        <f ca="1">IF(State_after_knock($T$9)=AN78,State_after_knock($T$9),Judge_01($T$9,AB23,$T$8))</f>
        <v>0</v>
      </c>
      <c r="AO79" s="225">
        <f ca="1">IF(State_after_knock($T$9)=AO78,State_after_knock($T$9),Judge_01($T$9,AC23,$T$8))</f>
        <v>0</v>
      </c>
      <c r="AQ79" s="57">
        <f t="shared" si="17"/>
        <v>56</v>
      </c>
      <c r="AR79" s="258">
        <f ca="1">IF(State_after_knock($U$9)=AR78,State_after_knock($U$9),Judge_01($U$9,T23,$U$8))</f>
        <v>0</v>
      </c>
      <c r="AS79" s="258">
        <f ca="1">IF(State_after_knock($U$9)=AS78,State_after_knock($U$9),Judge_01($U$9,U23,$U$8))</f>
        <v>0</v>
      </c>
      <c r="AT79" s="258">
        <f ca="1">IF(State_after_knock($U$9)=AT78,State_after_knock($U$9),Judge_01($U$9,V23,$U$8))</f>
        <v>0</v>
      </c>
      <c r="AU79" s="258">
        <f ca="1">IF(State_after_knock($U$9)=AU78,State_after_knock($U$9),Judge_01($U$9,W23,$U$8))</f>
        <v>0</v>
      </c>
      <c r="AV79" s="258">
        <f ca="1">IF(State_after_knock($U$9)=AV78,State_after_knock($U$9),Judge_01($U$9,X23,$U$8))</f>
        <v>0</v>
      </c>
      <c r="AW79" s="258">
        <f ca="1">IF(State_after_knock($U$9)=AW78,State_after_knock($U$9),Judge_01($U$9,Y23,$U$8))</f>
        <v>0</v>
      </c>
      <c r="AX79" s="258">
        <f ca="1">IF(State_after_knock($U$9)=AX78,State_after_knock($U$9),Judge_01($U$9,Z23,$U$8))</f>
        <v>0</v>
      </c>
      <c r="AY79" s="258">
        <f ca="1">IF(State_after_knock($U$9)=AY78,State_after_knock($U$9),Judge_01($U$9,AA23,$U$8))</f>
        <v>0</v>
      </c>
      <c r="AZ79" s="258">
        <f ca="1">IF(State_after_knock($U$9)=AZ78,State_after_knock($U$9),Judge_01($U$9,AB23,$U$8))</f>
        <v>0</v>
      </c>
      <c r="BA79" s="225">
        <f ca="1">IF(State_after_knock($U$9)=BA78,State_after_knock($U$9),Judge_01($U$9,AC23,$U$8))</f>
        <v>0</v>
      </c>
    </row>
    <row r="80" spans="2:77" x14ac:dyDescent="0.15">
      <c r="B80" s="16">
        <v>40375</v>
      </c>
      <c r="C80" s="29">
        <f t="array" ref="C80">SUMPRODUCT('ファンドデータ(変更不要)'!K80:P80,TRANSPOSE(戦略の決定!$D$13:$D$18))</f>
        <v>1.0585099536034081E-3</v>
      </c>
      <c r="D80" s="29">
        <f t="array" ref="D80">SUMPRODUCT('ファンドデータ(変更不要)'!K80:P80,TRANSPOSE(戦略の決定!$E$13:$E$18))</f>
        <v>4.3217447225768028E-3</v>
      </c>
      <c r="E80" s="29">
        <f t="array" ref="E80">SUMPRODUCT('ファンドデータ(変更不要)'!K80:P80,TRANSPOSE(戦略の決定!$F$13:$F$18))</f>
        <v>4.3217447225768028E-3</v>
      </c>
      <c r="F80" s="183">
        <f t="shared" si="11"/>
        <v>1.1022866080317391</v>
      </c>
      <c r="G80" s="183">
        <f t="shared" si="12"/>
        <v>1.1284230716891495</v>
      </c>
      <c r="H80" s="75">
        <f t="shared" si="13"/>
        <v>1.1284230716891495</v>
      </c>
      <c r="J80"/>
      <c r="K80"/>
      <c r="L80"/>
      <c r="M80"/>
      <c r="N80"/>
      <c r="O80"/>
      <c r="P80"/>
      <c r="AE80" s="57">
        <f t="shared" si="16"/>
        <v>63</v>
      </c>
      <c r="AF80" s="258">
        <f ca="1">IF(State_after_knock($T$9)=AF79,State_after_knock($T$9),Judge_01($T$9,T24,$T$8))</f>
        <v>0</v>
      </c>
      <c r="AG80" s="258">
        <f ca="1">IF(State_after_knock($T$9)=AG79,State_after_knock($T$9),Judge_01($T$9,U24,$T$8))</f>
        <v>0</v>
      </c>
      <c r="AH80" s="258">
        <f ca="1">IF(State_after_knock($T$9)=AH79,State_after_knock($T$9),Judge_01($T$9,V24,$T$8))</f>
        <v>0</v>
      </c>
      <c r="AI80" s="258">
        <f ca="1">IF(State_after_knock($T$9)=AI79,State_after_knock($T$9),Judge_01($T$9,W24,$T$8))</f>
        <v>0</v>
      </c>
      <c r="AJ80" s="258">
        <f ca="1">IF(State_after_knock($T$9)=AJ79,State_after_knock($T$9),Judge_01($T$9,X24,$T$8))</f>
        <v>0</v>
      </c>
      <c r="AK80" s="258">
        <f ca="1">IF(State_after_knock($T$9)=AK79,State_after_knock($T$9),Judge_01($T$9,Y24,$T$8))</f>
        <v>0</v>
      </c>
      <c r="AL80" s="258">
        <f ca="1">IF(State_after_knock($T$9)=AL79,State_after_knock($T$9),Judge_01($T$9,Z24,$T$8))</f>
        <v>0</v>
      </c>
      <c r="AM80" s="258">
        <f ca="1">IF(State_after_knock($T$9)=AM79,State_after_knock($T$9),Judge_01($T$9,AA24,$T$8))</f>
        <v>0</v>
      </c>
      <c r="AN80" s="258">
        <f ca="1">IF(State_after_knock($T$9)=AN79,State_after_knock($T$9),Judge_01($T$9,AB24,$T$8))</f>
        <v>0</v>
      </c>
      <c r="AO80" s="225">
        <f ca="1">IF(State_after_knock($T$9)=AO79,State_after_knock($T$9),Judge_01($T$9,AC24,$T$8))</f>
        <v>0</v>
      </c>
      <c r="AQ80" s="57">
        <f t="shared" si="17"/>
        <v>63</v>
      </c>
      <c r="AR80" s="258">
        <f ca="1">IF(State_after_knock($U$9)=AR79,State_after_knock($U$9),Judge_01($U$9,T24,$U$8))</f>
        <v>0</v>
      </c>
      <c r="AS80" s="258">
        <f ca="1">IF(State_after_knock($U$9)=AS79,State_after_knock($U$9),Judge_01($U$9,U24,$U$8))</f>
        <v>0</v>
      </c>
      <c r="AT80" s="258">
        <f ca="1">IF(State_after_knock($U$9)=AT79,State_after_knock($U$9),Judge_01($U$9,V24,$U$8))</f>
        <v>0</v>
      </c>
      <c r="AU80" s="258">
        <f ca="1">IF(State_after_knock($U$9)=AU79,State_after_knock($U$9),Judge_01($U$9,W24,$U$8))</f>
        <v>0</v>
      </c>
      <c r="AV80" s="258">
        <f ca="1">IF(State_after_knock($U$9)=AV79,State_after_knock($U$9),Judge_01($U$9,X24,$U$8))</f>
        <v>0</v>
      </c>
      <c r="AW80" s="258">
        <f ca="1">IF(State_after_knock($U$9)=AW79,State_after_knock($U$9),Judge_01($U$9,Y24,$U$8))</f>
        <v>0</v>
      </c>
      <c r="AX80" s="258">
        <f ca="1">IF(State_after_knock($U$9)=AX79,State_after_knock($U$9),Judge_01($U$9,Z24,$U$8))</f>
        <v>0</v>
      </c>
      <c r="AY80" s="258">
        <f ca="1">IF(State_after_knock($U$9)=AY79,State_after_knock($U$9),Judge_01($U$9,AA24,$U$8))</f>
        <v>0</v>
      </c>
      <c r="AZ80" s="258">
        <f ca="1">IF(State_after_knock($U$9)=AZ79,State_after_knock($U$9),Judge_01($U$9,AB24,$U$8))</f>
        <v>0</v>
      </c>
      <c r="BA80" s="225">
        <f ca="1">IF(State_after_knock($U$9)=BA79,State_after_knock($U$9),Judge_01($U$9,AC24,$U$8))</f>
        <v>0</v>
      </c>
    </row>
    <row r="81" spans="2:53" x14ac:dyDescent="0.15">
      <c r="B81" s="16">
        <v>40382</v>
      </c>
      <c r="C81" s="29">
        <f t="array" ref="C81">SUMPRODUCT('ファンドデータ(変更不要)'!K81:P81,TRANSPOSE(戦略の決定!$D$13:$D$18))</f>
        <v>4.2322352023814024E-3</v>
      </c>
      <c r="D81" s="29">
        <f t="array" ref="D81">SUMPRODUCT('ファンドデータ(変更不要)'!K81:P81,TRANSPOSE(戦略の決定!$E$13:$E$18))</f>
        <v>7.3989595470370763E-3</v>
      </c>
      <c r="E81" s="29">
        <f t="array" ref="E81">SUMPRODUCT('ファンドデータ(変更不要)'!K81:P81,TRANSPOSE(戦略の決定!$F$13:$F$18))</f>
        <v>7.3989595470370763E-3</v>
      </c>
      <c r="F81" s="183">
        <f t="shared" si="11"/>
        <v>1.1069517442173644</v>
      </c>
      <c r="G81" s="183">
        <f t="shared" si="12"/>
        <v>1.1367722283485209</v>
      </c>
      <c r="H81" s="75">
        <f t="shared" si="13"/>
        <v>1.1367722283485209</v>
      </c>
      <c r="J81"/>
      <c r="K81"/>
      <c r="L81"/>
      <c r="M81"/>
      <c r="N81"/>
      <c r="O81"/>
      <c r="P81"/>
      <c r="AE81" s="57">
        <f t="shared" si="16"/>
        <v>70</v>
      </c>
      <c r="AF81" s="258">
        <f ca="1">IF(State_after_knock($T$9)=AF80,State_after_knock($T$9),Judge_01($T$9,T25,$T$8))</f>
        <v>0</v>
      </c>
      <c r="AG81" s="258">
        <f ca="1">IF(State_after_knock($T$9)=AG80,State_after_knock($T$9),Judge_01($T$9,U25,$T$8))</f>
        <v>0</v>
      </c>
      <c r="AH81" s="258">
        <f ca="1">IF(State_after_knock($T$9)=AH80,State_after_knock($T$9),Judge_01($T$9,V25,$T$8))</f>
        <v>0</v>
      </c>
      <c r="AI81" s="258">
        <f ca="1">IF(State_after_knock($T$9)=AI80,State_after_knock($T$9),Judge_01($T$9,W25,$T$8))</f>
        <v>0</v>
      </c>
      <c r="AJ81" s="258">
        <f ca="1">IF(State_after_knock($T$9)=AJ80,State_after_knock($T$9),Judge_01($T$9,X25,$T$8))</f>
        <v>0</v>
      </c>
      <c r="AK81" s="258">
        <f ca="1">IF(State_after_knock($T$9)=AK80,State_after_knock($T$9),Judge_01($T$9,Y25,$T$8))</f>
        <v>0</v>
      </c>
      <c r="AL81" s="258">
        <f ca="1">IF(State_after_knock($T$9)=AL80,State_after_knock($T$9),Judge_01($T$9,Z25,$T$8))</f>
        <v>0</v>
      </c>
      <c r="AM81" s="258">
        <f ca="1">IF(State_after_knock($T$9)=AM80,State_after_knock($T$9),Judge_01($T$9,AA25,$T$8))</f>
        <v>0</v>
      </c>
      <c r="AN81" s="258">
        <f ca="1">IF(State_after_knock($T$9)=AN80,State_after_knock($T$9),Judge_01($T$9,AB25,$T$8))</f>
        <v>0</v>
      </c>
      <c r="AO81" s="225">
        <f ca="1">IF(State_after_knock($T$9)=AO80,State_after_knock($T$9),Judge_01($T$9,AC25,$T$8))</f>
        <v>0</v>
      </c>
      <c r="AQ81" s="57">
        <f t="shared" si="17"/>
        <v>70</v>
      </c>
      <c r="AR81" s="258">
        <f ca="1">IF(State_after_knock($U$9)=AR80,State_after_knock($U$9),Judge_01($U$9,T25,$U$8))</f>
        <v>0</v>
      </c>
      <c r="AS81" s="258">
        <f ca="1">IF(State_after_knock($U$9)=AS80,State_after_knock($U$9),Judge_01($U$9,U25,$U$8))</f>
        <v>0</v>
      </c>
      <c r="AT81" s="258">
        <f ca="1">IF(State_after_knock($U$9)=AT80,State_after_knock($U$9),Judge_01($U$9,V25,$U$8))</f>
        <v>0</v>
      </c>
      <c r="AU81" s="258">
        <f ca="1">IF(State_after_knock($U$9)=AU80,State_after_knock($U$9),Judge_01($U$9,W25,$U$8))</f>
        <v>0</v>
      </c>
      <c r="AV81" s="258">
        <f ca="1">IF(State_after_knock($U$9)=AV80,State_after_knock($U$9),Judge_01($U$9,X25,$U$8))</f>
        <v>0</v>
      </c>
      <c r="AW81" s="258">
        <f ca="1">IF(State_after_knock($U$9)=AW80,State_after_knock($U$9),Judge_01($U$9,Y25,$U$8))</f>
        <v>0</v>
      </c>
      <c r="AX81" s="258">
        <f ca="1">IF(State_after_knock($U$9)=AX80,State_after_knock($U$9),Judge_01($U$9,Z25,$U$8))</f>
        <v>0</v>
      </c>
      <c r="AY81" s="258">
        <f ca="1">IF(State_after_knock($U$9)=AY80,State_after_knock($U$9),Judge_01($U$9,AA25,$U$8))</f>
        <v>0</v>
      </c>
      <c r="AZ81" s="258">
        <f ca="1">IF(State_after_knock($U$9)=AZ80,State_after_knock($U$9),Judge_01($U$9,AB25,$U$8))</f>
        <v>0</v>
      </c>
      <c r="BA81" s="225">
        <f ca="1">IF(State_after_knock($U$9)=BA80,State_after_knock($U$9),Judge_01($U$9,AC25,$U$8))</f>
        <v>0</v>
      </c>
    </row>
    <row r="82" spans="2:53" x14ac:dyDescent="0.15">
      <c r="B82" s="16">
        <v>40389</v>
      </c>
      <c r="C82" s="29">
        <f t="array" ref="C82">SUMPRODUCT('ファンドデータ(変更不要)'!K82:P82,TRANSPOSE(戦略の決定!$D$13:$D$18))</f>
        <v>4.6440110361706706E-3</v>
      </c>
      <c r="D82" s="29">
        <f t="array" ref="D82">SUMPRODUCT('ファンドデータ(変更不要)'!K82:P82,TRANSPOSE(戦略の決定!$E$13:$E$18))</f>
        <v>6.2033547403411949E-3</v>
      </c>
      <c r="E82" s="29">
        <f t="array" ref="E82">SUMPRODUCT('ファンドデータ(変更不要)'!K82:P82,TRANSPOSE(戦略の決定!$F$13:$F$18))</f>
        <v>6.2033547403411949E-3</v>
      </c>
      <c r="F82" s="183">
        <f t="shared" si="11"/>
        <v>1.1120924403340182</v>
      </c>
      <c r="G82" s="183">
        <f t="shared" si="12"/>
        <v>1.1438240297399349</v>
      </c>
      <c r="H82" s="75">
        <f t="shared" si="13"/>
        <v>1.1438240297399349</v>
      </c>
      <c r="J82"/>
      <c r="K82"/>
      <c r="L82"/>
      <c r="M82"/>
      <c r="N82"/>
      <c r="O82"/>
      <c r="P82"/>
      <c r="AE82" s="57">
        <f t="shared" si="16"/>
        <v>77</v>
      </c>
      <c r="AF82" s="258">
        <f ca="1">IF(State_after_knock($T$9)=AF81,State_after_knock($T$9),Judge_01($T$9,T26,$T$8))</f>
        <v>0</v>
      </c>
      <c r="AG82" s="258">
        <f ca="1">IF(State_after_knock($T$9)=AG81,State_after_knock($T$9),Judge_01($T$9,U26,$T$8))</f>
        <v>0</v>
      </c>
      <c r="AH82" s="258">
        <f ca="1">IF(State_after_knock($T$9)=AH81,State_after_knock($T$9),Judge_01($T$9,V26,$T$8))</f>
        <v>0</v>
      </c>
      <c r="AI82" s="258">
        <f ca="1">IF(State_after_knock($T$9)=AI81,State_after_knock($T$9),Judge_01($T$9,W26,$T$8))</f>
        <v>0</v>
      </c>
      <c r="AJ82" s="258">
        <f ca="1">IF(State_after_knock($T$9)=AJ81,State_after_knock($T$9),Judge_01($T$9,X26,$T$8))</f>
        <v>0</v>
      </c>
      <c r="AK82" s="258">
        <f ca="1">IF(State_after_knock($T$9)=AK81,State_after_knock($T$9),Judge_01($T$9,Y26,$T$8))</f>
        <v>0</v>
      </c>
      <c r="AL82" s="258">
        <f ca="1">IF(State_after_knock($T$9)=AL81,State_after_knock($T$9),Judge_01($T$9,Z26,$T$8))</f>
        <v>0</v>
      </c>
      <c r="AM82" s="258">
        <f ca="1">IF(State_after_knock($T$9)=AM81,State_after_knock($T$9),Judge_01($T$9,AA26,$T$8))</f>
        <v>0</v>
      </c>
      <c r="AN82" s="258">
        <f ca="1">IF(State_after_knock($T$9)=AN81,State_after_knock($T$9),Judge_01($T$9,AB26,$T$8))</f>
        <v>0</v>
      </c>
      <c r="AO82" s="225">
        <f ca="1">IF(State_after_knock($T$9)=AO81,State_after_knock($T$9),Judge_01($T$9,AC26,$T$8))</f>
        <v>0</v>
      </c>
      <c r="AQ82" s="57">
        <f t="shared" si="17"/>
        <v>77</v>
      </c>
      <c r="AR82" s="258">
        <f ca="1">IF(State_after_knock($U$9)=AR81,State_after_knock($U$9),Judge_01($U$9,T26,$U$8))</f>
        <v>0</v>
      </c>
      <c r="AS82" s="258">
        <f ca="1">IF(State_after_knock($U$9)=AS81,State_after_knock($U$9),Judge_01($U$9,U26,$U$8))</f>
        <v>0</v>
      </c>
      <c r="AT82" s="258">
        <f ca="1">IF(State_after_knock($U$9)=AT81,State_after_knock($U$9),Judge_01($U$9,V26,$U$8))</f>
        <v>0</v>
      </c>
      <c r="AU82" s="258">
        <f ca="1">IF(State_after_knock($U$9)=AU81,State_after_knock($U$9),Judge_01($U$9,W26,$U$8))</f>
        <v>0</v>
      </c>
      <c r="AV82" s="258">
        <f ca="1">IF(State_after_knock($U$9)=AV81,State_after_knock($U$9),Judge_01($U$9,X26,$U$8))</f>
        <v>0</v>
      </c>
      <c r="AW82" s="258">
        <f ca="1">IF(State_after_knock($U$9)=AW81,State_after_knock($U$9),Judge_01($U$9,Y26,$U$8))</f>
        <v>0</v>
      </c>
      <c r="AX82" s="258">
        <f ca="1">IF(State_after_knock($U$9)=AX81,State_after_knock($U$9),Judge_01($U$9,Z26,$U$8))</f>
        <v>0</v>
      </c>
      <c r="AY82" s="258">
        <f ca="1">IF(State_after_knock($U$9)=AY81,State_after_knock($U$9),Judge_01($U$9,AA26,$U$8))</f>
        <v>0</v>
      </c>
      <c r="AZ82" s="258">
        <f ca="1">IF(State_after_knock($U$9)=AZ81,State_after_knock($U$9),Judge_01($U$9,AB26,$U$8))</f>
        <v>0</v>
      </c>
      <c r="BA82" s="225">
        <f ca="1">IF(State_after_knock($U$9)=BA81,State_after_knock($U$9),Judge_01($U$9,AC26,$U$8))</f>
        <v>0</v>
      </c>
    </row>
    <row r="83" spans="2:53" x14ac:dyDescent="0.15">
      <c r="B83" s="16">
        <v>40396</v>
      </c>
      <c r="C83" s="29">
        <f t="array" ref="C83">SUMPRODUCT('ファンドデータ(変更不要)'!K83:P83,TRANSPOSE(戦略の決定!$D$13:$D$18))</f>
        <v>3.9389275496638588E-3</v>
      </c>
      <c r="D83" s="29">
        <f t="array" ref="D83">SUMPRODUCT('ファンドデータ(変更不要)'!K83:P83,TRANSPOSE(戦略の決定!$E$13:$E$18))</f>
        <v>3.9183302448966952E-3</v>
      </c>
      <c r="E83" s="29">
        <f t="array" ref="E83">SUMPRODUCT('ファンドデータ(変更不要)'!K83:P83,TRANSPOSE(戦略の決定!$F$13:$F$18))</f>
        <v>3.9183302448966952E-3</v>
      </c>
      <c r="F83" s="183">
        <f t="shared" si="11"/>
        <v>1.1164728918850229</v>
      </c>
      <c r="G83" s="183">
        <f t="shared" si="12"/>
        <v>1.1483059100305044</v>
      </c>
      <c r="H83" s="75">
        <f t="shared" si="13"/>
        <v>1.1483059100305044</v>
      </c>
      <c r="J83"/>
      <c r="K83"/>
      <c r="L83"/>
      <c r="M83"/>
      <c r="N83"/>
      <c r="O83"/>
      <c r="P83"/>
      <c r="AE83" s="57">
        <f t="shared" si="16"/>
        <v>84</v>
      </c>
      <c r="AF83" s="258">
        <f ca="1">IF(State_after_knock($T$9)=AF82,State_after_knock($T$9),Judge_01($T$9,T27,$T$8))</f>
        <v>0</v>
      </c>
      <c r="AG83" s="258">
        <f ca="1">IF(State_after_knock($T$9)=AG82,State_after_knock($T$9),Judge_01($T$9,U27,$T$8))</f>
        <v>0</v>
      </c>
      <c r="AH83" s="258">
        <f ca="1">IF(State_after_knock($T$9)=AH82,State_after_knock($T$9),Judge_01($T$9,V27,$T$8))</f>
        <v>0</v>
      </c>
      <c r="AI83" s="258">
        <f ca="1">IF(State_after_knock($T$9)=AI82,State_after_knock($T$9),Judge_01($T$9,W27,$T$8))</f>
        <v>0</v>
      </c>
      <c r="AJ83" s="258">
        <f ca="1">IF(State_after_knock($T$9)=AJ82,State_after_knock($T$9),Judge_01($T$9,X27,$T$8))</f>
        <v>0</v>
      </c>
      <c r="AK83" s="258">
        <f ca="1">IF(State_after_knock($T$9)=AK82,State_after_knock($T$9),Judge_01($T$9,Y27,$T$8))</f>
        <v>0</v>
      </c>
      <c r="AL83" s="258">
        <f ca="1">IF(State_after_knock($T$9)=AL82,State_after_knock($T$9),Judge_01($T$9,Z27,$T$8))</f>
        <v>0</v>
      </c>
      <c r="AM83" s="258">
        <f ca="1">IF(State_after_knock($T$9)=AM82,State_after_knock($T$9),Judge_01($T$9,AA27,$T$8))</f>
        <v>0</v>
      </c>
      <c r="AN83" s="258">
        <f ca="1">IF(State_after_knock($T$9)=AN82,State_after_knock($T$9),Judge_01($T$9,AB27,$T$8))</f>
        <v>0</v>
      </c>
      <c r="AO83" s="225">
        <f ca="1">IF(State_after_knock($T$9)=AO82,State_after_knock($T$9),Judge_01($T$9,AC27,$T$8))</f>
        <v>0</v>
      </c>
      <c r="AQ83" s="57">
        <f t="shared" si="17"/>
        <v>84</v>
      </c>
      <c r="AR83" s="258">
        <f ca="1">IF(State_after_knock($U$9)=AR82,State_after_knock($U$9),Judge_01($U$9,T27,$U$8))</f>
        <v>0</v>
      </c>
      <c r="AS83" s="258">
        <f ca="1">IF(State_after_knock($U$9)=AS82,State_after_knock($U$9),Judge_01($U$9,U27,$U$8))</f>
        <v>0</v>
      </c>
      <c r="AT83" s="258">
        <f ca="1">IF(State_after_knock($U$9)=AT82,State_after_knock($U$9),Judge_01($U$9,V27,$U$8))</f>
        <v>0</v>
      </c>
      <c r="AU83" s="258">
        <f ca="1">IF(State_after_knock($U$9)=AU82,State_after_knock($U$9),Judge_01($U$9,W27,$U$8))</f>
        <v>0</v>
      </c>
      <c r="AV83" s="258">
        <f ca="1">IF(State_after_knock($U$9)=AV82,State_after_knock($U$9),Judge_01($U$9,X27,$U$8))</f>
        <v>0</v>
      </c>
      <c r="AW83" s="258">
        <f ca="1">IF(State_after_knock($U$9)=AW82,State_after_knock($U$9),Judge_01($U$9,Y27,$U$8))</f>
        <v>0</v>
      </c>
      <c r="AX83" s="258">
        <f ca="1">IF(State_after_knock($U$9)=AX82,State_after_knock($U$9),Judge_01($U$9,Z27,$U$8))</f>
        <v>0</v>
      </c>
      <c r="AY83" s="258">
        <f ca="1">IF(State_after_knock($U$9)=AY82,State_after_knock($U$9),Judge_01($U$9,AA27,$U$8))</f>
        <v>0</v>
      </c>
      <c r="AZ83" s="258">
        <f ca="1">IF(State_after_knock($U$9)=AZ82,State_after_knock($U$9),Judge_01($U$9,AB27,$U$8))</f>
        <v>0</v>
      </c>
      <c r="BA83" s="225">
        <f ca="1">IF(State_after_knock($U$9)=BA82,State_after_knock($U$9),Judge_01($U$9,AC27,$U$8))</f>
        <v>0</v>
      </c>
    </row>
    <row r="84" spans="2:53" x14ac:dyDescent="0.15">
      <c r="B84" s="16">
        <v>40403</v>
      </c>
      <c r="C84" s="29">
        <f t="array" ref="C84">SUMPRODUCT('ファンドデータ(変更不要)'!K84:P84,TRANSPOSE(戦略の決定!$D$13:$D$18))</f>
        <v>-1.2989185007630846E-2</v>
      </c>
      <c r="D84" s="29">
        <f t="array" ref="D84">SUMPRODUCT('ファンドデータ(変更不要)'!K84:P84,TRANSPOSE(戦略の決定!$E$13:$E$18))</f>
        <v>-1.8600875161924824E-2</v>
      </c>
      <c r="E84" s="29">
        <f t="array" ref="E84">SUMPRODUCT('ファンドデータ(変更不要)'!K84:P84,TRANSPOSE(戦略の決定!$F$13:$F$18))</f>
        <v>-1.8600875161924824E-2</v>
      </c>
      <c r="F84" s="183">
        <f t="shared" si="11"/>
        <v>1.1019708189363238</v>
      </c>
      <c r="G84" s="183">
        <f t="shared" si="12"/>
        <v>1.1269464151503266</v>
      </c>
      <c r="H84" s="75">
        <f t="shared" si="13"/>
        <v>1.1269464151503266</v>
      </c>
      <c r="J84"/>
      <c r="K84"/>
      <c r="L84"/>
      <c r="M84"/>
      <c r="N84"/>
      <c r="O84"/>
      <c r="P84"/>
      <c r="AE84" s="57">
        <f t="shared" si="16"/>
        <v>91</v>
      </c>
      <c r="AF84" s="258">
        <f ca="1">IF(State_after_knock($T$9)=AF83,State_after_knock($T$9),Judge_01($T$9,T28,$T$8))</f>
        <v>0</v>
      </c>
      <c r="AG84" s="258">
        <f ca="1">IF(State_after_knock($T$9)=AG83,State_after_knock($T$9),Judge_01($T$9,U28,$T$8))</f>
        <v>0</v>
      </c>
      <c r="AH84" s="258">
        <f ca="1">IF(State_after_knock($T$9)=AH83,State_after_knock($T$9),Judge_01($T$9,V28,$T$8))</f>
        <v>0</v>
      </c>
      <c r="AI84" s="258">
        <f ca="1">IF(State_after_knock($T$9)=AI83,State_after_knock($T$9),Judge_01($T$9,W28,$T$8))</f>
        <v>0</v>
      </c>
      <c r="AJ84" s="258">
        <f ca="1">IF(State_after_knock($T$9)=AJ83,State_after_knock($T$9),Judge_01($T$9,X28,$T$8))</f>
        <v>0</v>
      </c>
      <c r="AK84" s="258">
        <f ca="1">IF(State_after_knock($T$9)=AK83,State_after_knock($T$9),Judge_01($T$9,Y28,$T$8))</f>
        <v>0</v>
      </c>
      <c r="AL84" s="258">
        <f ca="1">IF(State_after_knock($T$9)=AL83,State_after_knock($T$9),Judge_01($T$9,Z28,$T$8))</f>
        <v>0</v>
      </c>
      <c r="AM84" s="258">
        <f ca="1">IF(State_after_knock($T$9)=AM83,State_after_knock($T$9),Judge_01($T$9,AA28,$T$8))</f>
        <v>0</v>
      </c>
      <c r="AN84" s="258">
        <f ca="1">IF(State_after_knock($T$9)=AN83,State_after_knock($T$9),Judge_01($T$9,AB28,$T$8))</f>
        <v>0</v>
      </c>
      <c r="AO84" s="225">
        <f ca="1">IF(State_after_knock($T$9)=AO83,State_after_knock($T$9),Judge_01($T$9,AC28,$T$8))</f>
        <v>0</v>
      </c>
      <c r="AQ84" s="57">
        <f t="shared" si="17"/>
        <v>91</v>
      </c>
      <c r="AR84" s="258">
        <f ca="1">IF(State_after_knock($U$9)=AR83,State_after_knock($U$9),Judge_01($U$9,T28,$U$8))</f>
        <v>0</v>
      </c>
      <c r="AS84" s="258">
        <f ca="1">IF(State_after_knock($U$9)=AS83,State_after_knock($U$9),Judge_01($U$9,U28,$U$8))</f>
        <v>0</v>
      </c>
      <c r="AT84" s="258">
        <f ca="1">IF(State_after_knock($U$9)=AT83,State_after_knock($U$9),Judge_01($U$9,V28,$U$8))</f>
        <v>0</v>
      </c>
      <c r="AU84" s="258">
        <f ca="1">IF(State_after_knock($U$9)=AU83,State_after_knock($U$9),Judge_01($U$9,W28,$U$8))</f>
        <v>0</v>
      </c>
      <c r="AV84" s="258">
        <f ca="1">IF(State_after_knock($U$9)=AV83,State_after_knock($U$9),Judge_01($U$9,X28,$U$8))</f>
        <v>0</v>
      </c>
      <c r="AW84" s="258">
        <f ca="1">IF(State_after_knock($U$9)=AW83,State_after_knock($U$9),Judge_01($U$9,Y28,$U$8))</f>
        <v>0</v>
      </c>
      <c r="AX84" s="258">
        <f ca="1">IF(State_after_knock($U$9)=AX83,State_after_knock($U$9),Judge_01($U$9,Z28,$U$8))</f>
        <v>0</v>
      </c>
      <c r="AY84" s="258">
        <f ca="1">IF(State_after_knock($U$9)=AY83,State_after_knock($U$9),Judge_01($U$9,AA28,$U$8))</f>
        <v>0</v>
      </c>
      <c r="AZ84" s="258">
        <f ca="1">IF(State_after_knock($U$9)=AZ83,State_after_knock($U$9),Judge_01($U$9,AB28,$U$8))</f>
        <v>0</v>
      </c>
      <c r="BA84" s="225">
        <f ca="1">IF(State_after_knock($U$9)=BA83,State_after_knock($U$9),Judge_01($U$9,AC28,$U$8))</f>
        <v>0</v>
      </c>
    </row>
    <row r="85" spans="2:53" x14ac:dyDescent="0.15">
      <c r="B85" s="16">
        <v>40410</v>
      </c>
      <c r="C85" s="29">
        <f t="array" ref="C85">SUMPRODUCT('ファンドデータ(変更不要)'!K85:P85,TRANSPOSE(戦略の決定!$D$13:$D$18))</f>
        <v>-5.545893086023111E-5</v>
      </c>
      <c r="D85" s="29">
        <f t="array" ref="D85">SUMPRODUCT('ファンドデータ(変更不要)'!K85:P85,TRANSPOSE(戦略の決定!$E$13:$E$18))</f>
        <v>3.3089366407235122E-4</v>
      </c>
      <c r="E85" s="29">
        <f t="array" ref="E85">SUMPRODUCT('ファンドデータ(変更不要)'!K85:P85,TRANSPOSE(戦略の決定!$F$13:$F$18))</f>
        <v>3.3089366407235122E-4</v>
      </c>
      <c r="F85" s="183">
        <f t="shared" si="11"/>
        <v>1.1019097048128663</v>
      </c>
      <c r="G85" s="183">
        <f t="shared" si="12"/>
        <v>1.1273193145788487</v>
      </c>
      <c r="H85" s="75">
        <f t="shared" si="13"/>
        <v>1.1273193145788487</v>
      </c>
      <c r="J85"/>
      <c r="K85"/>
      <c r="L85"/>
      <c r="M85"/>
      <c r="N85"/>
      <c r="O85"/>
      <c r="P85"/>
      <c r="AE85" s="57">
        <f t="shared" si="16"/>
        <v>98</v>
      </c>
      <c r="AF85" s="258">
        <f ca="1">IF(State_after_knock($T$9)=AF84,State_after_knock($T$9),Judge_01($T$9,T29,$T$8))</f>
        <v>0</v>
      </c>
      <c r="AG85" s="258">
        <f ca="1">IF(State_after_knock($T$9)=AG84,State_after_knock($T$9),Judge_01($T$9,U29,$T$8))</f>
        <v>0</v>
      </c>
      <c r="AH85" s="258">
        <f ca="1">IF(State_after_knock($T$9)=AH84,State_after_knock($T$9),Judge_01($T$9,V29,$T$8))</f>
        <v>0</v>
      </c>
      <c r="AI85" s="258">
        <f ca="1">IF(State_after_knock($T$9)=AI84,State_after_knock($T$9),Judge_01($T$9,W29,$T$8))</f>
        <v>0</v>
      </c>
      <c r="AJ85" s="258">
        <f ca="1">IF(State_after_knock($T$9)=AJ84,State_after_knock($T$9),Judge_01($T$9,X29,$T$8))</f>
        <v>0</v>
      </c>
      <c r="AK85" s="258">
        <f ca="1">IF(State_after_knock($T$9)=AK84,State_after_knock($T$9),Judge_01($T$9,Y29,$T$8))</f>
        <v>0</v>
      </c>
      <c r="AL85" s="258">
        <f ca="1">IF(State_after_knock($T$9)=AL84,State_after_knock($T$9),Judge_01($T$9,Z29,$T$8))</f>
        <v>0</v>
      </c>
      <c r="AM85" s="258">
        <f ca="1">IF(State_after_knock($T$9)=AM84,State_after_knock($T$9),Judge_01($T$9,AA29,$T$8))</f>
        <v>0</v>
      </c>
      <c r="AN85" s="258">
        <f ca="1">IF(State_after_knock($T$9)=AN84,State_after_knock($T$9),Judge_01($T$9,AB29,$T$8))</f>
        <v>0</v>
      </c>
      <c r="AO85" s="225">
        <f ca="1">IF(State_after_knock($T$9)=AO84,State_after_knock($T$9),Judge_01($T$9,AC29,$T$8))</f>
        <v>0</v>
      </c>
      <c r="AQ85" s="57">
        <f t="shared" si="17"/>
        <v>98</v>
      </c>
      <c r="AR85" s="258">
        <f ca="1">IF(State_after_knock($U$9)=AR84,State_after_knock($U$9),Judge_01($U$9,T29,$U$8))</f>
        <v>0</v>
      </c>
      <c r="AS85" s="258">
        <f ca="1">IF(State_after_knock($U$9)=AS84,State_after_knock($U$9),Judge_01($U$9,U29,$U$8))</f>
        <v>0</v>
      </c>
      <c r="AT85" s="258">
        <f ca="1">IF(State_after_knock($U$9)=AT84,State_after_knock($U$9),Judge_01($U$9,V29,$U$8))</f>
        <v>0</v>
      </c>
      <c r="AU85" s="258">
        <f ca="1">IF(State_after_knock($U$9)=AU84,State_after_knock($U$9),Judge_01($U$9,W29,$U$8))</f>
        <v>0</v>
      </c>
      <c r="AV85" s="258">
        <f ca="1">IF(State_after_knock($U$9)=AV84,State_after_knock($U$9),Judge_01($U$9,X29,$U$8))</f>
        <v>0</v>
      </c>
      <c r="AW85" s="258">
        <f ca="1">IF(State_after_knock($U$9)=AW84,State_after_knock($U$9),Judge_01($U$9,Y29,$U$8))</f>
        <v>0</v>
      </c>
      <c r="AX85" s="258">
        <f ca="1">IF(State_after_knock($U$9)=AX84,State_after_knock($U$9),Judge_01($U$9,Z29,$U$8))</f>
        <v>0</v>
      </c>
      <c r="AY85" s="258">
        <f ca="1">IF(State_after_knock($U$9)=AY84,State_after_knock($U$9),Judge_01($U$9,AA29,$U$8))</f>
        <v>0</v>
      </c>
      <c r="AZ85" s="258">
        <f ca="1">IF(State_after_knock($U$9)=AZ84,State_after_knock($U$9),Judge_01($U$9,AB29,$U$8))</f>
        <v>0</v>
      </c>
      <c r="BA85" s="225">
        <f ca="1">IF(State_after_knock($U$9)=BA84,State_after_knock($U$9),Judge_01($U$9,AC29,$U$8))</f>
        <v>0</v>
      </c>
    </row>
    <row r="86" spans="2:53" x14ac:dyDescent="0.15">
      <c r="B86" s="16">
        <v>40417</v>
      </c>
      <c r="C86" s="29">
        <f t="array" ref="C86">SUMPRODUCT('ファンドデータ(変更不要)'!K86:P86,TRANSPOSE(戦略の決定!$D$13:$D$18))</f>
        <v>-8.0547560789665292E-3</v>
      </c>
      <c r="D86" s="29">
        <f t="array" ref="D86">SUMPRODUCT('ファンドデータ(変更不要)'!K86:P86,TRANSPOSE(戦略の決定!$E$13:$E$18))</f>
        <v>-7.6761766349035566E-3</v>
      </c>
      <c r="E86" s="29">
        <f t="array" ref="E86">SUMPRODUCT('ファンドデータ(変更不要)'!K86:P86,TRANSPOSE(戦略の決定!$F$13:$F$18))</f>
        <v>-7.6761766349035566E-3</v>
      </c>
      <c r="F86" s="183">
        <f t="shared" si="11"/>
        <v>1.0930340909195526</v>
      </c>
      <c r="G86" s="183">
        <f t="shared" si="12"/>
        <v>1.118665812396203</v>
      </c>
      <c r="H86" s="75">
        <f t="shared" si="13"/>
        <v>1.118665812396203</v>
      </c>
      <c r="J86"/>
      <c r="K86"/>
      <c r="L86"/>
      <c r="M86"/>
      <c r="N86"/>
      <c r="O86"/>
      <c r="P86"/>
      <c r="AE86" s="57">
        <f t="shared" si="16"/>
        <v>105</v>
      </c>
      <c r="AF86" s="258">
        <f ca="1">IF(State_after_knock($T$9)=AF85,State_after_knock($T$9),Judge_01($T$9,T30,$T$8))</f>
        <v>0</v>
      </c>
      <c r="AG86" s="258">
        <f ca="1">IF(State_after_knock($T$9)=AG85,State_after_knock($T$9),Judge_01($T$9,U30,$T$8))</f>
        <v>0</v>
      </c>
      <c r="AH86" s="258">
        <f ca="1">IF(State_after_knock($T$9)=AH85,State_after_knock($T$9),Judge_01($T$9,V30,$T$8))</f>
        <v>0</v>
      </c>
      <c r="AI86" s="258">
        <f ca="1">IF(State_after_knock($T$9)=AI85,State_after_knock($T$9),Judge_01($T$9,W30,$T$8))</f>
        <v>0</v>
      </c>
      <c r="AJ86" s="258">
        <f ca="1">IF(State_after_knock($T$9)=AJ85,State_after_knock($T$9),Judge_01($T$9,X30,$T$8))</f>
        <v>0</v>
      </c>
      <c r="AK86" s="258">
        <f ca="1">IF(State_after_knock($T$9)=AK85,State_after_knock($T$9),Judge_01($T$9,Y30,$T$8))</f>
        <v>0</v>
      </c>
      <c r="AL86" s="258">
        <f ca="1">IF(State_after_knock($T$9)=AL85,State_after_knock($T$9),Judge_01($T$9,Z30,$T$8))</f>
        <v>0</v>
      </c>
      <c r="AM86" s="258">
        <f ca="1">IF(State_after_knock($T$9)=AM85,State_after_knock($T$9),Judge_01($T$9,AA30,$T$8))</f>
        <v>0</v>
      </c>
      <c r="AN86" s="258">
        <f ca="1">IF(State_after_knock($T$9)=AN85,State_after_knock($T$9),Judge_01($T$9,AB30,$T$8))</f>
        <v>0</v>
      </c>
      <c r="AO86" s="225">
        <f ca="1">IF(State_after_knock($T$9)=AO85,State_after_knock($T$9),Judge_01($T$9,AC30,$T$8))</f>
        <v>0</v>
      </c>
      <c r="AQ86" s="57">
        <f t="shared" si="17"/>
        <v>105</v>
      </c>
      <c r="AR86" s="258">
        <f ca="1">IF(State_after_knock($U$9)=AR85,State_after_knock($U$9),Judge_01($U$9,T30,$U$8))</f>
        <v>0</v>
      </c>
      <c r="AS86" s="258">
        <f ca="1">IF(State_after_knock($U$9)=AS85,State_after_knock($U$9),Judge_01($U$9,U30,$U$8))</f>
        <v>0</v>
      </c>
      <c r="AT86" s="258">
        <f ca="1">IF(State_after_knock($U$9)=AT85,State_after_knock($U$9),Judge_01($U$9,V30,$U$8))</f>
        <v>0</v>
      </c>
      <c r="AU86" s="258">
        <f ca="1">IF(State_after_knock($U$9)=AU85,State_after_knock($U$9),Judge_01($U$9,W30,$U$8))</f>
        <v>0</v>
      </c>
      <c r="AV86" s="258">
        <f ca="1">IF(State_after_knock($U$9)=AV85,State_after_knock($U$9),Judge_01($U$9,X30,$U$8))</f>
        <v>0</v>
      </c>
      <c r="AW86" s="258">
        <f ca="1">IF(State_after_knock($U$9)=AW85,State_after_knock($U$9),Judge_01($U$9,Y30,$U$8))</f>
        <v>0</v>
      </c>
      <c r="AX86" s="258">
        <f ca="1">IF(State_after_knock($U$9)=AX85,State_after_knock($U$9),Judge_01($U$9,Z30,$U$8))</f>
        <v>0</v>
      </c>
      <c r="AY86" s="258">
        <f ca="1">IF(State_after_knock($U$9)=AY85,State_after_knock($U$9),Judge_01($U$9,AA30,$U$8))</f>
        <v>0</v>
      </c>
      <c r="AZ86" s="258">
        <f ca="1">IF(State_after_knock($U$9)=AZ85,State_after_knock($U$9),Judge_01($U$9,AB30,$U$8))</f>
        <v>0</v>
      </c>
      <c r="BA86" s="225">
        <f ca="1">IF(State_after_knock($U$9)=BA85,State_after_knock($U$9),Judge_01($U$9,AC30,$U$8))</f>
        <v>0</v>
      </c>
    </row>
    <row r="87" spans="2:53" x14ac:dyDescent="0.15">
      <c r="B87" s="16">
        <v>40424</v>
      </c>
      <c r="C87" s="29">
        <f t="array" ref="C87">SUMPRODUCT('ファンドデータ(変更不要)'!K87:P87,TRANSPOSE(戦略の決定!$D$13:$D$18))</f>
        <v>6.6613204764709123E-3</v>
      </c>
      <c r="D87" s="29">
        <f t="array" ref="D87">SUMPRODUCT('ファンドデータ(変更不要)'!K87:P87,TRANSPOSE(戦略の決定!$E$13:$E$18))</f>
        <v>1.4435346802493941E-2</v>
      </c>
      <c r="E87" s="29">
        <f t="array" ref="E87">SUMPRODUCT('ファンドデータ(変更不要)'!K87:P87,TRANSPOSE(戦略の決定!$F$13:$F$18))</f>
        <v>1.4435346802493941E-2</v>
      </c>
      <c r="F87" s="183">
        <f t="shared" si="11"/>
        <v>1.1003151412908758</v>
      </c>
      <c r="G87" s="183">
        <f t="shared" si="12"/>
        <v>1.1348141413542359</v>
      </c>
      <c r="H87" s="75">
        <f t="shared" si="13"/>
        <v>1.1348141413542359</v>
      </c>
      <c r="J87"/>
      <c r="K87"/>
      <c r="L87"/>
      <c r="M87"/>
      <c r="N87"/>
      <c r="O87"/>
      <c r="P87"/>
      <c r="AE87" s="57">
        <f t="shared" si="16"/>
        <v>112</v>
      </c>
      <c r="AF87" s="258">
        <f ca="1">IF(State_after_knock($T$9)=AF86,State_after_knock($T$9),Judge_01($T$9,T31,$T$8))</f>
        <v>0</v>
      </c>
      <c r="AG87" s="258">
        <f ca="1">IF(State_after_knock($T$9)=AG86,State_after_knock($T$9),Judge_01($T$9,U31,$T$8))</f>
        <v>0</v>
      </c>
      <c r="AH87" s="258">
        <f ca="1">IF(State_after_knock($T$9)=AH86,State_after_knock($T$9),Judge_01($T$9,V31,$T$8))</f>
        <v>0</v>
      </c>
      <c r="AI87" s="258">
        <f ca="1">IF(State_after_knock($T$9)=AI86,State_after_knock($T$9),Judge_01($T$9,W31,$T$8))</f>
        <v>0</v>
      </c>
      <c r="AJ87" s="258">
        <f ca="1">IF(State_after_knock($T$9)=AJ86,State_after_knock($T$9),Judge_01($T$9,X31,$T$8))</f>
        <v>0</v>
      </c>
      <c r="AK87" s="258">
        <f ca="1">IF(State_after_knock($T$9)=AK86,State_after_knock($T$9),Judge_01($T$9,Y31,$T$8))</f>
        <v>0</v>
      </c>
      <c r="AL87" s="258">
        <f ca="1">IF(State_after_knock($T$9)=AL86,State_after_knock($T$9),Judge_01($T$9,Z31,$T$8))</f>
        <v>0</v>
      </c>
      <c r="AM87" s="258">
        <f ca="1">IF(State_after_knock($T$9)=AM86,State_after_knock($T$9),Judge_01($T$9,AA31,$T$8))</f>
        <v>0</v>
      </c>
      <c r="AN87" s="258">
        <f ca="1">IF(State_after_knock($T$9)=AN86,State_after_knock($T$9),Judge_01($T$9,AB31,$T$8))</f>
        <v>0</v>
      </c>
      <c r="AO87" s="225">
        <f ca="1">IF(State_after_knock($T$9)=AO86,State_after_knock($T$9),Judge_01($T$9,AC31,$T$8))</f>
        <v>0</v>
      </c>
      <c r="AQ87" s="57">
        <f t="shared" si="17"/>
        <v>112</v>
      </c>
      <c r="AR87" s="258">
        <f ca="1">IF(State_after_knock($U$9)=AR86,State_after_knock($U$9),Judge_01($U$9,T31,$U$8))</f>
        <v>0</v>
      </c>
      <c r="AS87" s="258">
        <f ca="1">IF(State_after_knock($U$9)=AS86,State_after_knock($U$9),Judge_01($U$9,U31,$U$8))</f>
        <v>0</v>
      </c>
      <c r="AT87" s="258">
        <f ca="1">IF(State_after_knock($U$9)=AT86,State_after_knock($U$9),Judge_01($U$9,V31,$U$8))</f>
        <v>0</v>
      </c>
      <c r="AU87" s="258">
        <f ca="1">IF(State_after_knock($U$9)=AU86,State_after_knock($U$9),Judge_01($U$9,W31,$U$8))</f>
        <v>0</v>
      </c>
      <c r="AV87" s="258">
        <f ca="1">IF(State_after_knock($U$9)=AV86,State_after_knock($U$9),Judge_01($U$9,X31,$U$8))</f>
        <v>0</v>
      </c>
      <c r="AW87" s="258">
        <f ca="1">IF(State_after_knock($U$9)=AW86,State_after_knock($U$9),Judge_01($U$9,Y31,$U$8))</f>
        <v>0</v>
      </c>
      <c r="AX87" s="258">
        <f ca="1">IF(State_after_knock($U$9)=AX86,State_after_knock($U$9),Judge_01($U$9,Z31,$U$8))</f>
        <v>0</v>
      </c>
      <c r="AY87" s="258">
        <f ca="1">IF(State_after_knock($U$9)=AY86,State_after_knock($U$9),Judge_01($U$9,AA31,$U$8))</f>
        <v>0</v>
      </c>
      <c r="AZ87" s="258">
        <f ca="1">IF(State_after_knock($U$9)=AZ86,State_after_knock($U$9),Judge_01($U$9,AB31,$U$8))</f>
        <v>0</v>
      </c>
      <c r="BA87" s="225">
        <f ca="1">IF(State_after_knock($U$9)=BA86,State_after_knock($U$9),Judge_01($U$9,AC31,$U$8))</f>
        <v>0</v>
      </c>
    </row>
    <row r="88" spans="2:53" x14ac:dyDescent="0.15">
      <c r="B88" s="16">
        <v>40431</v>
      </c>
      <c r="C88" s="29">
        <f t="array" ref="C88">SUMPRODUCT('ファンドデータ(変更不要)'!K88:P88,TRANSPOSE(戦略の決定!$D$13:$D$18))</f>
        <v>-5.0394409734884653E-3</v>
      </c>
      <c r="D88" s="29">
        <f t="array" ref="D88">SUMPRODUCT('ファンドデータ(変更不要)'!K88:P88,TRANSPOSE(戦略の決定!$E$13:$E$18))</f>
        <v>-6.822682013387287E-3</v>
      </c>
      <c r="E88" s="29">
        <f t="array" ref="E88">SUMPRODUCT('ファンドデータ(変更不要)'!K88:P88,TRANSPOSE(戦略の決定!$F$13:$F$18))</f>
        <v>-6.822682013387287E-3</v>
      </c>
      <c r="F88" s="183">
        <f t="shared" si="11"/>
        <v>1.0947701680841049</v>
      </c>
      <c r="G88" s="183">
        <f t="shared" si="12"/>
        <v>1.1270716653234807</v>
      </c>
      <c r="H88" s="75">
        <f t="shared" si="13"/>
        <v>1.1270716653234807</v>
      </c>
      <c r="J88"/>
      <c r="K88"/>
      <c r="L88"/>
      <c r="M88"/>
      <c r="N88"/>
      <c r="O88"/>
      <c r="P88"/>
      <c r="AE88" s="57">
        <f t="shared" si="16"/>
        <v>119</v>
      </c>
      <c r="AF88" s="258">
        <f ca="1">IF(State_after_knock($T$9)=AF87,State_after_knock($T$9),Judge_01($T$9,T32,$T$8))</f>
        <v>0</v>
      </c>
      <c r="AG88" s="258">
        <f ca="1">IF(State_after_knock($T$9)=AG87,State_after_knock($T$9),Judge_01($T$9,U32,$T$8))</f>
        <v>0</v>
      </c>
      <c r="AH88" s="258">
        <f ca="1">IF(State_after_knock($T$9)=AH87,State_after_knock($T$9),Judge_01($T$9,V32,$T$8))</f>
        <v>0</v>
      </c>
      <c r="AI88" s="258">
        <f ca="1">IF(State_after_knock($T$9)=AI87,State_after_knock($T$9),Judge_01($T$9,W32,$T$8))</f>
        <v>0</v>
      </c>
      <c r="AJ88" s="258">
        <f ca="1">IF(State_after_knock($T$9)=AJ87,State_after_knock($T$9),Judge_01($T$9,X32,$T$8))</f>
        <v>0</v>
      </c>
      <c r="AK88" s="258">
        <f ca="1">IF(State_after_knock($T$9)=AK87,State_after_knock($T$9),Judge_01($T$9,Y32,$T$8))</f>
        <v>0</v>
      </c>
      <c r="AL88" s="258">
        <f ca="1">IF(State_after_knock($T$9)=AL87,State_after_knock($T$9),Judge_01($T$9,Z32,$T$8))</f>
        <v>0</v>
      </c>
      <c r="AM88" s="258">
        <f ca="1">IF(State_after_knock($T$9)=AM87,State_after_knock($T$9),Judge_01($T$9,AA32,$T$8))</f>
        <v>0</v>
      </c>
      <c r="AN88" s="258">
        <f ca="1">IF(State_after_knock($T$9)=AN87,State_after_knock($T$9),Judge_01($T$9,AB32,$T$8))</f>
        <v>0</v>
      </c>
      <c r="AO88" s="225">
        <f ca="1">IF(State_after_knock($T$9)=AO87,State_after_knock($T$9),Judge_01($T$9,AC32,$T$8))</f>
        <v>0</v>
      </c>
      <c r="AQ88" s="57">
        <f t="shared" si="17"/>
        <v>119</v>
      </c>
      <c r="AR88" s="258">
        <f ca="1">IF(State_after_knock($U$9)=AR87,State_after_knock($U$9),Judge_01($U$9,T32,$U$8))</f>
        <v>0</v>
      </c>
      <c r="AS88" s="258">
        <f ca="1">IF(State_after_knock($U$9)=AS87,State_after_knock($U$9),Judge_01($U$9,U32,$U$8))</f>
        <v>0</v>
      </c>
      <c r="AT88" s="258">
        <f ca="1">IF(State_after_knock($U$9)=AT87,State_after_knock($U$9),Judge_01($U$9,V32,$U$8))</f>
        <v>0</v>
      </c>
      <c r="AU88" s="258">
        <f ca="1">IF(State_after_knock($U$9)=AU87,State_after_knock($U$9),Judge_01($U$9,W32,$U$8))</f>
        <v>0</v>
      </c>
      <c r="AV88" s="258">
        <f ca="1">IF(State_after_knock($U$9)=AV87,State_after_knock($U$9),Judge_01($U$9,X32,$U$8))</f>
        <v>0</v>
      </c>
      <c r="AW88" s="258">
        <f ca="1">IF(State_after_knock($U$9)=AW87,State_after_knock($U$9),Judge_01($U$9,Y32,$U$8))</f>
        <v>0</v>
      </c>
      <c r="AX88" s="258">
        <f ca="1">IF(State_after_knock($U$9)=AX87,State_after_knock($U$9),Judge_01($U$9,Z32,$U$8))</f>
        <v>0</v>
      </c>
      <c r="AY88" s="258">
        <f ca="1">IF(State_after_knock($U$9)=AY87,State_after_knock($U$9),Judge_01($U$9,AA32,$U$8))</f>
        <v>0</v>
      </c>
      <c r="AZ88" s="258">
        <f ca="1">IF(State_after_knock($U$9)=AZ87,State_after_knock($U$9),Judge_01($U$9,AB32,$U$8))</f>
        <v>0</v>
      </c>
      <c r="BA88" s="225">
        <f ca="1">IF(State_after_knock($U$9)=BA87,State_after_knock($U$9),Judge_01($U$9,AC32,$U$8))</f>
        <v>0</v>
      </c>
    </row>
    <row r="89" spans="2:53" x14ac:dyDescent="0.15">
      <c r="B89" s="16">
        <v>40438</v>
      </c>
      <c r="C89" s="29">
        <f t="array" ref="C89">SUMPRODUCT('ファンドデータ(変更不要)'!K89:P89,TRANSPOSE(戦略の決定!$D$13:$D$18))</f>
        <v>1.8496216805438778E-2</v>
      </c>
      <c r="D89" s="29">
        <f t="array" ref="D89">SUMPRODUCT('ファンドデータ(変更不要)'!K89:P89,TRANSPOSE(戦略の決定!$E$13:$E$18))</f>
        <v>1.8018838226950763E-2</v>
      </c>
      <c r="E89" s="29">
        <f t="array" ref="E89">SUMPRODUCT('ファンドデータ(変更不要)'!K89:P89,TRANSPOSE(戦略の決定!$F$13:$F$18))</f>
        <v>1.8018838226950763E-2</v>
      </c>
      <c r="F89" s="183">
        <f t="shared" si="11"/>
        <v>1.1150192744651151</v>
      </c>
      <c r="G89" s="183">
        <f t="shared" si="12"/>
        <v>1.1473801873311245</v>
      </c>
      <c r="H89" s="75">
        <f t="shared" si="13"/>
        <v>1.1473801873311245</v>
      </c>
      <c r="J89"/>
      <c r="K89"/>
      <c r="L89"/>
      <c r="M89"/>
      <c r="N89"/>
      <c r="O89"/>
      <c r="P89"/>
      <c r="AE89" s="57">
        <f t="shared" si="16"/>
        <v>126</v>
      </c>
      <c r="AF89" s="258">
        <f ca="1">IF(State_after_knock($T$9)=AF88,State_after_knock($T$9),Judge_01($T$9,T33,$T$8))</f>
        <v>0</v>
      </c>
      <c r="AG89" s="258">
        <f ca="1">IF(State_after_knock($T$9)=AG88,State_after_knock($T$9),Judge_01($T$9,U33,$T$8))</f>
        <v>0</v>
      </c>
      <c r="AH89" s="258">
        <f ca="1">IF(State_after_knock($T$9)=AH88,State_after_knock($T$9),Judge_01($T$9,V33,$T$8))</f>
        <v>0</v>
      </c>
      <c r="AI89" s="258">
        <f ca="1">IF(State_after_knock($T$9)=AI88,State_after_knock($T$9),Judge_01($T$9,W33,$T$8))</f>
        <v>0</v>
      </c>
      <c r="AJ89" s="258">
        <f ca="1">IF(State_after_knock($T$9)=AJ88,State_after_knock($T$9),Judge_01($T$9,X33,$T$8))</f>
        <v>0</v>
      </c>
      <c r="AK89" s="258">
        <f ca="1">IF(State_after_knock($T$9)=AK88,State_after_knock($T$9),Judge_01($T$9,Y33,$T$8))</f>
        <v>0</v>
      </c>
      <c r="AL89" s="258">
        <f ca="1">IF(State_after_knock($T$9)=AL88,State_after_knock($T$9),Judge_01($T$9,Z33,$T$8))</f>
        <v>0</v>
      </c>
      <c r="AM89" s="258">
        <f ca="1">IF(State_after_knock($T$9)=AM88,State_after_knock($T$9),Judge_01($T$9,AA33,$T$8))</f>
        <v>0</v>
      </c>
      <c r="AN89" s="258">
        <f ca="1">IF(State_after_knock($T$9)=AN88,State_after_knock($T$9),Judge_01($T$9,AB33,$T$8))</f>
        <v>0</v>
      </c>
      <c r="AO89" s="225">
        <f ca="1">IF(State_after_knock($T$9)=AO88,State_after_knock($T$9),Judge_01($T$9,AC33,$T$8))</f>
        <v>0</v>
      </c>
      <c r="AQ89" s="57">
        <f t="shared" si="17"/>
        <v>126</v>
      </c>
      <c r="AR89" s="258">
        <f ca="1">IF(State_after_knock($U$9)=AR88,State_after_knock($U$9),Judge_01($U$9,T33,$U$8))</f>
        <v>0</v>
      </c>
      <c r="AS89" s="258">
        <f ca="1">IF(State_after_knock($U$9)=AS88,State_after_knock($U$9),Judge_01($U$9,U33,$U$8))</f>
        <v>0</v>
      </c>
      <c r="AT89" s="258">
        <f ca="1">IF(State_after_knock($U$9)=AT88,State_after_knock($U$9),Judge_01($U$9,V33,$U$8))</f>
        <v>0</v>
      </c>
      <c r="AU89" s="258">
        <f ca="1">IF(State_after_knock($U$9)=AU88,State_after_knock($U$9),Judge_01($U$9,W33,$U$8))</f>
        <v>0</v>
      </c>
      <c r="AV89" s="258">
        <f ca="1">IF(State_after_knock($U$9)=AV88,State_after_knock($U$9),Judge_01($U$9,X33,$U$8))</f>
        <v>0</v>
      </c>
      <c r="AW89" s="258">
        <f ca="1">IF(State_after_knock($U$9)=AW88,State_after_knock($U$9),Judge_01($U$9,Y33,$U$8))</f>
        <v>0</v>
      </c>
      <c r="AX89" s="258">
        <f ca="1">IF(State_after_knock($U$9)=AX88,State_after_knock($U$9),Judge_01($U$9,Z33,$U$8))</f>
        <v>0</v>
      </c>
      <c r="AY89" s="258">
        <f ca="1">IF(State_after_knock($U$9)=AY88,State_after_knock($U$9),Judge_01($U$9,AA33,$U$8))</f>
        <v>0</v>
      </c>
      <c r="AZ89" s="258">
        <f ca="1">IF(State_after_knock($U$9)=AZ88,State_after_knock($U$9),Judge_01($U$9,AB33,$U$8))</f>
        <v>0</v>
      </c>
      <c r="BA89" s="225">
        <f ca="1">IF(State_after_knock($U$9)=BA88,State_after_knock($U$9),Judge_01($U$9,AC33,$U$8))</f>
        <v>0</v>
      </c>
    </row>
    <row r="90" spans="2:53" x14ac:dyDescent="0.15">
      <c r="B90" s="16">
        <v>40445</v>
      </c>
      <c r="C90" s="29">
        <f t="array" ref="C90">SUMPRODUCT('ファンドデータ(変更不要)'!K90:P90,TRANSPOSE(戦略の決定!$D$13:$D$18))</f>
        <v>2.7257188072517553E-3</v>
      </c>
      <c r="D90" s="29">
        <f t="array" ref="D90">SUMPRODUCT('ファンドデータ(変更不要)'!K90:P90,TRANSPOSE(戦略の決定!$E$13:$E$18))</f>
        <v>4.8176474872019476E-3</v>
      </c>
      <c r="E90" s="29">
        <f t="array" ref="E90">SUMPRODUCT('ファンドデータ(変更不要)'!K90:P90,TRANSPOSE(戦略の決定!$F$13:$F$18))</f>
        <v>4.8176474872019476E-3</v>
      </c>
      <c r="F90" s="183">
        <f t="shared" si="11"/>
        <v>1.118058503471973</v>
      </c>
      <c r="G90" s="183">
        <f t="shared" si="12"/>
        <v>1.1529078606074856</v>
      </c>
      <c r="H90" s="75">
        <f t="shared" si="13"/>
        <v>1.1529078606074856</v>
      </c>
      <c r="J90"/>
      <c r="K90"/>
      <c r="L90"/>
      <c r="M90"/>
      <c r="N90"/>
      <c r="O90"/>
      <c r="P90"/>
      <c r="AE90" s="57">
        <f t="shared" si="16"/>
        <v>133</v>
      </c>
      <c r="AF90" s="258">
        <f ca="1">IF(State_after_knock($T$9)=AF89,State_after_knock($T$9),Judge_01($T$9,T34,$T$8))</f>
        <v>0</v>
      </c>
      <c r="AG90" s="258">
        <f ca="1">IF(State_after_knock($T$9)=AG89,State_after_knock($T$9),Judge_01($T$9,U34,$T$8))</f>
        <v>0</v>
      </c>
      <c r="AH90" s="258">
        <f ca="1">IF(State_after_knock($T$9)=AH89,State_after_knock($T$9),Judge_01($T$9,V34,$T$8))</f>
        <v>0</v>
      </c>
      <c r="AI90" s="258">
        <f ca="1">IF(State_after_knock($T$9)=AI89,State_after_knock($T$9),Judge_01($T$9,W34,$T$8))</f>
        <v>0</v>
      </c>
      <c r="AJ90" s="258">
        <f ca="1">IF(State_after_knock($T$9)=AJ89,State_after_knock($T$9),Judge_01($T$9,X34,$T$8))</f>
        <v>0</v>
      </c>
      <c r="AK90" s="258">
        <f ca="1">IF(State_after_knock($T$9)=AK89,State_after_knock($T$9),Judge_01($T$9,Y34,$T$8))</f>
        <v>0</v>
      </c>
      <c r="AL90" s="258">
        <f ca="1">IF(State_after_knock($T$9)=AL89,State_after_knock($T$9),Judge_01($T$9,Z34,$T$8))</f>
        <v>0</v>
      </c>
      <c r="AM90" s="258">
        <f ca="1">IF(State_after_knock($T$9)=AM89,State_after_knock($T$9),Judge_01($T$9,AA34,$T$8))</f>
        <v>0</v>
      </c>
      <c r="AN90" s="258">
        <f ca="1">IF(State_after_knock($T$9)=AN89,State_after_knock($T$9),Judge_01($T$9,AB34,$T$8))</f>
        <v>0</v>
      </c>
      <c r="AO90" s="225">
        <f ca="1">IF(State_after_knock($T$9)=AO89,State_after_knock($T$9),Judge_01($T$9,AC34,$T$8))</f>
        <v>0</v>
      </c>
      <c r="AQ90" s="57">
        <f t="shared" si="17"/>
        <v>133</v>
      </c>
      <c r="AR90" s="258">
        <f ca="1">IF(State_after_knock($U$9)=AR89,State_after_knock($U$9),Judge_01($U$9,T34,$U$8))</f>
        <v>0</v>
      </c>
      <c r="AS90" s="258">
        <f ca="1">IF(State_after_knock($U$9)=AS89,State_after_knock($U$9),Judge_01($U$9,U34,$U$8))</f>
        <v>0</v>
      </c>
      <c r="AT90" s="258">
        <f ca="1">IF(State_after_knock($U$9)=AT89,State_after_knock($U$9),Judge_01($U$9,V34,$U$8))</f>
        <v>0</v>
      </c>
      <c r="AU90" s="258">
        <f ca="1">IF(State_after_knock($U$9)=AU89,State_after_knock($U$9),Judge_01($U$9,W34,$U$8))</f>
        <v>0</v>
      </c>
      <c r="AV90" s="258">
        <f ca="1">IF(State_after_knock($U$9)=AV89,State_after_knock($U$9),Judge_01($U$9,X34,$U$8))</f>
        <v>0</v>
      </c>
      <c r="AW90" s="258">
        <f ca="1">IF(State_after_knock($U$9)=AW89,State_after_knock($U$9),Judge_01($U$9,Y34,$U$8))</f>
        <v>0</v>
      </c>
      <c r="AX90" s="258">
        <f ca="1">IF(State_after_knock($U$9)=AX89,State_after_knock($U$9),Judge_01($U$9,Z34,$U$8))</f>
        <v>0</v>
      </c>
      <c r="AY90" s="258">
        <f ca="1">IF(State_after_knock($U$9)=AY89,State_after_knock($U$9),Judge_01($U$9,AA34,$U$8))</f>
        <v>0</v>
      </c>
      <c r="AZ90" s="258">
        <f ca="1">IF(State_after_knock($U$9)=AZ89,State_after_knock($U$9),Judge_01($U$9,AB34,$U$8))</f>
        <v>0</v>
      </c>
      <c r="BA90" s="225">
        <f ca="1">IF(State_after_knock($U$9)=BA89,State_after_knock($U$9),Judge_01($U$9,AC34,$U$8))</f>
        <v>0</v>
      </c>
    </row>
    <row r="91" spans="2:53" x14ac:dyDescent="0.15">
      <c r="B91" s="16">
        <v>40452</v>
      </c>
      <c r="C91" s="29">
        <f t="array" ref="C91">SUMPRODUCT('ファンドデータ(変更不要)'!K91:P91,TRANSPOSE(戦略の決定!$D$13:$D$18))</f>
        <v>9.1402482961777439E-3</v>
      </c>
      <c r="D91" s="29">
        <f t="array" ref="D91">SUMPRODUCT('ファンドデータ(変更不要)'!K91:P91,TRANSPOSE(戦略の決定!$E$13:$E$18))</f>
        <v>1.5370179359778375E-2</v>
      </c>
      <c r="E91" s="29">
        <f t="array" ref="E91">SUMPRODUCT('ファンドデータ(変更不要)'!K91:P91,TRANSPOSE(戦略の決定!$F$13:$F$18))</f>
        <v>1.5370179359778375E-2</v>
      </c>
      <c r="F91" s="183">
        <f t="shared" si="11"/>
        <v>1.1282778358033598</v>
      </c>
      <c r="G91" s="183">
        <f t="shared" si="12"/>
        <v>1.1706282612103212</v>
      </c>
      <c r="H91" s="75">
        <f t="shared" si="13"/>
        <v>1.1706282612103212</v>
      </c>
      <c r="J91"/>
      <c r="K91"/>
      <c r="L91"/>
      <c r="M91"/>
      <c r="N91"/>
      <c r="O91"/>
      <c r="P91"/>
      <c r="AE91" s="57">
        <f t="shared" si="16"/>
        <v>140</v>
      </c>
      <c r="AF91" s="258">
        <f ca="1">IF(State_after_knock($T$9)=AF90,State_after_knock($T$9),Judge_01($T$9,T35,$T$8))</f>
        <v>0</v>
      </c>
      <c r="AG91" s="258">
        <f ca="1">IF(State_after_knock($T$9)=AG90,State_after_knock($T$9),Judge_01($T$9,U35,$T$8))</f>
        <v>0</v>
      </c>
      <c r="AH91" s="258">
        <f ca="1">IF(State_after_knock($T$9)=AH90,State_after_knock($T$9),Judge_01($T$9,V35,$T$8))</f>
        <v>0</v>
      </c>
      <c r="AI91" s="258">
        <f ca="1">IF(State_after_knock($T$9)=AI90,State_after_knock($T$9),Judge_01($T$9,W35,$T$8))</f>
        <v>0</v>
      </c>
      <c r="AJ91" s="258">
        <f ca="1">IF(State_after_knock($T$9)=AJ90,State_after_knock($T$9),Judge_01($T$9,X35,$T$8))</f>
        <v>0</v>
      </c>
      <c r="AK91" s="258">
        <f ca="1">IF(State_after_knock($T$9)=AK90,State_after_knock($T$9),Judge_01($T$9,Y35,$T$8))</f>
        <v>0</v>
      </c>
      <c r="AL91" s="258">
        <f ca="1">IF(State_after_knock($T$9)=AL90,State_after_knock($T$9),Judge_01($T$9,Z35,$T$8))</f>
        <v>0</v>
      </c>
      <c r="AM91" s="258">
        <f ca="1">IF(State_after_knock($T$9)=AM90,State_after_knock($T$9),Judge_01($T$9,AA35,$T$8))</f>
        <v>0</v>
      </c>
      <c r="AN91" s="258">
        <f ca="1">IF(State_after_knock($T$9)=AN90,State_after_knock($T$9),Judge_01($T$9,AB35,$T$8))</f>
        <v>0</v>
      </c>
      <c r="AO91" s="225">
        <f ca="1">IF(State_after_knock($T$9)=AO90,State_after_knock($T$9),Judge_01($T$9,AC35,$T$8))</f>
        <v>0</v>
      </c>
      <c r="AQ91" s="57">
        <f t="shared" si="17"/>
        <v>140</v>
      </c>
      <c r="AR91" s="258">
        <f ca="1">IF(State_after_knock($U$9)=AR90,State_after_knock($U$9),Judge_01($U$9,T35,$U$8))</f>
        <v>0</v>
      </c>
      <c r="AS91" s="258">
        <f ca="1">IF(State_after_knock($U$9)=AS90,State_after_knock($U$9),Judge_01($U$9,U35,$U$8))</f>
        <v>0</v>
      </c>
      <c r="AT91" s="258">
        <f ca="1">IF(State_after_knock($U$9)=AT90,State_after_knock($U$9),Judge_01($U$9,V35,$U$8))</f>
        <v>0</v>
      </c>
      <c r="AU91" s="258">
        <f ca="1">IF(State_after_knock($U$9)=AU90,State_after_knock($U$9),Judge_01($U$9,W35,$U$8))</f>
        <v>0</v>
      </c>
      <c r="AV91" s="258">
        <f ca="1">IF(State_after_knock($U$9)=AV90,State_after_knock($U$9),Judge_01($U$9,X35,$U$8))</f>
        <v>0</v>
      </c>
      <c r="AW91" s="258">
        <f ca="1">IF(State_after_knock($U$9)=AW90,State_after_knock($U$9),Judge_01($U$9,Y35,$U$8))</f>
        <v>0</v>
      </c>
      <c r="AX91" s="258">
        <f ca="1">IF(State_after_knock($U$9)=AX90,State_after_knock($U$9),Judge_01($U$9,Z35,$U$8))</f>
        <v>0</v>
      </c>
      <c r="AY91" s="258">
        <f ca="1">IF(State_after_knock($U$9)=AY90,State_after_knock($U$9),Judge_01($U$9,AA35,$U$8))</f>
        <v>0</v>
      </c>
      <c r="AZ91" s="258">
        <f ca="1">IF(State_after_knock($U$9)=AZ90,State_after_knock($U$9),Judge_01($U$9,AB35,$U$8))</f>
        <v>0</v>
      </c>
      <c r="BA91" s="225">
        <f ca="1">IF(State_after_knock($U$9)=BA90,State_after_knock($U$9),Judge_01($U$9,AC35,$U$8))</f>
        <v>0</v>
      </c>
    </row>
    <row r="92" spans="2:53" x14ac:dyDescent="0.15">
      <c r="B92" s="16">
        <v>40459</v>
      </c>
      <c r="C92" s="29">
        <f t="array" ref="C92">SUMPRODUCT('ファンドデータ(変更不要)'!K92:P92,TRANSPOSE(戦略の決定!$D$13:$D$18))</f>
        <v>4.7766437414880989E-3</v>
      </c>
      <c r="D92" s="29">
        <f t="array" ref="D92">SUMPRODUCT('ファンドデータ(変更不要)'!K92:P92,TRANSPOSE(戦略の決定!$E$13:$E$18))</f>
        <v>5.0852376351500873E-3</v>
      </c>
      <c r="E92" s="29">
        <f t="array" ref="E92">SUMPRODUCT('ファンドデータ(変更不要)'!K92:P92,TRANSPOSE(戦略の決定!$F$13:$F$18))</f>
        <v>5.0852376351500873E-3</v>
      </c>
      <c r="F92" s="183">
        <f t="shared" si="11"/>
        <v>1.1336672170664095</v>
      </c>
      <c r="G92" s="183">
        <f t="shared" si="12"/>
        <v>1.1765811841009981</v>
      </c>
      <c r="H92" s="75">
        <f t="shared" si="13"/>
        <v>1.1765811841009981</v>
      </c>
      <c r="J92"/>
      <c r="K92"/>
      <c r="L92"/>
      <c r="M92"/>
      <c r="N92"/>
      <c r="O92"/>
      <c r="P92"/>
      <c r="AE92" s="57">
        <f t="shared" si="16"/>
        <v>147</v>
      </c>
      <c r="AF92" s="258">
        <f ca="1">IF(State_after_knock($T$9)=AF91,State_after_knock($T$9),Judge_01($T$9,T36,$T$8))</f>
        <v>0</v>
      </c>
      <c r="AG92" s="258">
        <f ca="1">IF(State_after_knock($T$9)=AG91,State_after_knock($T$9),Judge_01($T$9,U36,$T$8))</f>
        <v>0</v>
      </c>
      <c r="AH92" s="258">
        <f ca="1">IF(State_after_knock($T$9)=AH91,State_after_knock($T$9),Judge_01($T$9,V36,$T$8))</f>
        <v>0</v>
      </c>
      <c r="AI92" s="258">
        <f ca="1">IF(State_after_knock($T$9)=AI91,State_after_knock($T$9),Judge_01($T$9,W36,$T$8))</f>
        <v>0</v>
      </c>
      <c r="AJ92" s="258">
        <f ca="1">IF(State_after_knock($T$9)=AJ91,State_after_knock($T$9),Judge_01($T$9,X36,$T$8))</f>
        <v>0</v>
      </c>
      <c r="AK92" s="258">
        <f ca="1">IF(State_after_knock($T$9)=AK91,State_after_knock($T$9),Judge_01($T$9,Y36,$T$8))</f>
        <v>0</v>
      </c>
      <c r="AL92" s="258">
        <f ca="1">IF(State_after_knock($T$9)=AL91,State_after_knock($T$9),Judge_01($T$9,Z36,$T$8))</f>
        <v>0</v>
      </c>
      <c r="AM92" s="258">
        <f ca="1">IF(State_after_knock($T$9)=AM91,State_after_knock($T$9),Judge_01($T$9,AA36,$T$8))</f>
        <v>0</v>
      </c>
      <c r="AN92" s="258">
        <f ca="1">IF(State_after_knock($T$9)=AN91,State_after_knock($T$9),Judge_01($T$9,AB36,$T$8))</f>
        <v>0</v>
      </c>
      <c r="AO92" s="225">
        <f ca="1">IF(State_after_knock($T$9)=AO91,State_after_knock($T$9),Judge_01($T$9,AC36,$T$8))</f>
        <v>0</v>
      </c>
      <c r="AQ92" s="57">
        <f t="shared" si="17"/>
        <v>147</v>
      </c>
      <c r="AR92" s="258">
        <f ca="1">IF(State_after_knock($U$9)=AR91,State_after_knock($U$9),Judge_01($U$9,T36,$U$8))</f>
        <v>0</v>
      </c>
      <c r="AS92" s="258">
        <f ca="1">IF(State_after_knock($U$9)=AS91,State_after_knock($U$9),Judge_01($U$9,U36,$U$8))</f>
        <v>0</v>
      </c>
      <c r="AT92" s="258">
        <f ca="1">IF(State_after_knock($U$9)=AT91,State_after_knock($U$9),Judge_01($U$9,V36,$U$8))</f>
        <v>0</v>
      </c>
      <c r="AU92" s="258">
        <f ca="1">IF(State_after_knock($U$9)=AU91,State_after_knock($U$9),Judge_01($U$9,W36,$U$8))</f>
        <v>0</v>
      </c>
      <c r="AV92" s="258">
        <f ca="1">IF(State_after_knock($U$9)=AV91,State_after_knock($U$9),Judge_01($U$9,X36,$U$8))</f>
        <v>0</v>
      </c>
      <c r="AW92" s="258">
        <f ca="1">IF(State_after_knock($U$9)=AW91,State_after_knock($U$9),Judge_01($U$9,Y36,$U$8))</f>
        <v>0</v>
      </c>
      <c r="AX92" s="258">
        <f ca="1">IF(State_after_knock($U$9)=AX91,State_after_knock($U$9),Judge_01($U$9,Z36,$U$8))</f>
        <v>0</v>
      </c>
      <c r="AY92" s="258">
        <f ca="1">IF(State_after_knock($U$9)=AY91,State_after_knock($U$9),Judge_01($U$9,AA36,$U$8))</f>
        <v>0</v>
      </c>
      <c r="AZ92" s="258">
        <f ca="1">IF(State_after_knock($U$9)=AZ91,State_after_knock($U$9),Judge_01($U$9,AB36,$U$8))</f>
        <v>0</v>
      </c>
      <c r="BA92" s="225">
        <f ca="1">IF(State_after_knock($U$9)=BA91,State_after_knock($U$9),Judge_01($U$9,AC36,$U$8))</f>
        <v>0</v>
      </c>
    </row>
    <row r="93" spans="2:53" x14ac:dyDescent="0.15">
      <c r="B93" s="16">
        <v>40466</v>
      </c>
      <c r="C93" s="29">
        <f t="array" ref="C93">SUMPRODUCT('ファンドデータ(変更不要)'!K93:P93,TRANSPOSE(戦略の決定!$D$13:$D$18))</f>
        <v>-3.0940247471639877E-3</v>
      </c>
      <c r="D93" s="29">
        <f t="array" ref="D93">SUMPRODUCT('ファンドデータ(変更不要)'!K93:P93,TRANSPOSE(戦略の決定!$E$13:$E$18))</f>
        <v>-1.3148704966468524E-3</v>
      </c>
      <c r="E93" s="29">
        <f t="array" ref="E93">SUMPRODUCT('ファンドデータ(変更不要)'!K93:P93,TRANSPOSE(戦略の決定!$F$13:$F$18))</f>
        <v>-1.3148704966468524E-3</v>
      </c>
      <c r="F93" s="183">
        <f t="shared" si="11"/>
        <v>1.1301596226417574</v>
      </c>
      <c r="G93" s="183">
        <f t="shared" si="12"/>
        <v>1.1750341322151139</v>
      </c>
      <c r="H93" s="75">
        <f t="shared" si="13"/>
        <v>1.1750341322151139</v>
      </c>
      <c r="J93"/>
      <c r="K93"/>
      <c r="L93"/>
      <c r="M93"/>
      <c r="N93"/>
      <c r="O93"/>
      <c r="P93"/>
      <c r="AE93" s="57">
        <f t="shared" si="16"/>
        <v>154</v>
      </c>
      <c r="AF93" s="258">
        <f ca="1">IF(State_after_knock($T$9)=AF92,State_after_knock($T$9),Judge_01($T$9,T37,$T$8))</f>
        <v>0</v>
      </c>
      <c r="AG93" s="258">
        <f ca="1">IF(State_after_knock($T$9)=AG92,State_after_knock($T$9),Judge_01($T$9,U37,$T$8))</f>
        <v>0</v>
      </c>
      <c r="AH93" s="258">
        <f ca="1">IF(State_after_knock($T$9)=AH92,State_after_knock($T$9),Judge_01($T$9,V37,$T$8))</f>
        <v>0</v>
      </c>
      <c r="AI93" s="258">
        <f ca="1">IF(State_after_knock($T$9)=AI92,State_after_knock($T$9),Judge_01($T$9,W37,$T$8))</f>
        <v>0</v>
      </c>
      <c r="AJ93" s="258">
        <f ca="1">IF(State_after_knock($T$9)=AJ92,State_after_knock($T$9),Judge_01($T$9,X37,$T$8))</f>
        <v>0</v>
      </c>
      <c r="AK93" s="258">
        <f ca="1">IF(State_after_knock($T$9)=AK92,State_after_knock($T$9),Judge_01($T$9,Y37,$T$8))</f>
        <v>0</v>
      </c>
      <c r="AL93" s="258">
        <f ca="1">IF(State_after_knock($T$9)=AL92,State_after_knock($T$9),Judge_01($T$9,Z37,$T$8))</f>
        <v>0</v>
      </c>
      <c r="AM93" s="258">
        <f ca="1">IF(State_after_knock($T$9)=AM92,State_after_knock($T$9),Judge_01($T$9,AA37,$T$8))</f>
        <v>0</v>
      </c>
      <c r="AN93" s="258">
        <f ca="1">IF(State_after_knock($T$9)=AN92,State_after_knock($T$9),Judge_01($T$9,AB37,$T$8))</f>
        <v>0</v>
      </c>
      <c r="AO93" s="225">
        <f ca="1">IF(State_after_knock($T$9)=AO92,State_after_knock($T$9),Judge_01($T$9,AC37,$T$8))</f>
        <v>0</v>
      </c>
      <c r="AQ93" s="57">
        <f t="shared" si="17"/>
        <v>154</v>
      </c>
      <c r="AR93" s="258">
        <f ca="1">IF(State_after_knock($U$9)=AR92,State_after_knock($U$9),Judge_01($U$9,T37,$U$8))</f>
        <v>0</v>
      </c>
      <c r="AS93" s="258">
        <f ca="1">IF(State_after_knock($U$9)=AS92,State_after_knock($U$9),Judge_01($U$9,U37,$U$8))</f>
        <v>0</v>
      </c>
      <c r="AT93" s="258">
        <f ca="1">IF(State_after_knock($U$9)=AT92,State_after_knock($U$9),Judge_01($U$9,V37,$U$8))</f>
        <v>0</v>
      </c>
      <c r="AU93" s="258">
        <f ca="1">IF(State_after_knock($U$9)=AU92,State_after_knock($U$9),Judge_01($U$9,W37,$U$8))</f>
        <v>0</v>
      </c>
      <c r="AV93" s="258">
        <f ca="1">IF(State_after_knock($U$9)=AV92,State_after_knock($U$9),Judge_01($U$9,X37,$U$8))</f>
        <v>0</v>
      </c>
      <c r="AW93" s="258">
        <f ca="1">IF(State_after_knock($U$9)=AW92,State_after_knock($U$9),Judge_01($U$9,Y37,$U$8))</f>
        <v>0</v>
      </c>
      <c r="AX93" s="258">
        <f ca="1">IF(State_after_knock($U$9)=AX92,State_after_knock($U$9),Judge_01($U$9,Z37,$U$8))</f>
        <v>0</v>
      </c>
      <c r="AY93" s="258">
        <f ca="1">IF(State_after_knock($U$9)=AY92,State_after_knock($U$9),Judge_01($U$9,AA37,$U$8))</f>
        <v>0</v>
      </c>
      <c r="AZ93" s="258">
        <f ca="1">IF(State_after_knock($U$9)=AZ92,State_after_knock($U$9),Judge_01($U$9,AB37,$U$8))</f>
        <v>0</v>
      </c>
      <c r="BA93" s="225">
        <f ca="1">IF(State_after_knock($U$9)=BA92,State_after_knock($U$9),Judge_01($U$9,AC37,$U$8))</f>
        <v>0</v>
      </c>
    </row>
    <row r="94" spans="2:53" x14ac:dyDescent="0.15">
      <c r="B94" s="16">
        <v>40473</v>
      </c>
      <c r="C94" s="29">
        <f t="array" ref="C94">SUMPRODUCT('ファンドデータ(変更不要)'!K94:P94,TRANSPOSE(戦略の決定!$D$13:$D$18))</f>
        <v>-6.7889443415099365E-3</v>
      </c>
      <c r="D94" s="29">
        <f t="array" ref="D94">SUMPRODUCT('ファンドデータ(変更不要)'!K94:P94,TRANSPOSE(戦略の決定!$E$13:$E$18))</f>
        <v>-6.7765142276843705E-3</v>
      </c>
      <c r="E94" s="29">
        <f t="array" ref="E94">SUMPRODUCT('ファンドデータ(変更不要)'!K94:P94,TRANSPOSE(戦略の決定!$F$13:$F$18))</f>
        <v>-6.7765142276843705E-3</v>
      </c>
      <c r="F94" s="183">
        <f t="shared" si="11"/>
        <v>1.1224870318666207</v>
      </c>
      <c r="G94" s="183">
        <f t="shared" si="12"/>
        <v>1.1670714967001434</v>
      </c>
      <c r="H94" s="75">
        <f t="shared" si="13"/>
        <v>1.1670714967001434</v>
      </c>
      <c r="J94"/>
      <c r="K94"/>
      <c r="L94"/>
      <c r="M94"/>
      <c r="N94"/>
      <c r="O94"/>
      <c r="P94"/>
      <c r="AE94" s="57">
        <f t="shared" si="16"/>
        <v>161</v>
      </c>
      <c r="AF94" s="258">
        <f ca="1">IF(State_after_knock($T$9)=AF93,State_after_knock($T$9),Judge_01($T$9,T38,$T$8))</f>
        <v>0</v>
      </c>
      <c r="AG94" s="258">
        <f ca="1">IF(State_after_knock($T$9)=AG93,State_after_knock($T$9),Judge_01($T$9,U38,$T$8))</f>
        <v>0</v>
      </c>
      <c r="AH94" s="258">
        <f ca="1">IF(State_after_knock($T$9)=AH93,State_after_knock($T$9),Judge_01($T$9,V38,$T$8))</f>
        <v>0</v>
      </c>
      <c r="AI94" s="258">
        <f ca="1">IF(State_after_knock($T$9)=AI93,State_after_knock($T$9),Judge_01($T$9,W38,$T$8))</f>
        <v>0</v>
      </c>
      <c r="AJ94" s="258">
        <f ca="1">IF(State_after_knock($T$9)=AJ93,State_after_knock($T$9),Judge_01($T$9,X38,$T$8))</f>
        <v>0</v>
      </c>
      <c r="AK94" s="258">
        <f ca="1">IF(State_after_knock($T$9)=AK93,State_after_knock($T$9),Judge_01($T$9,Y38,$T$8))</f>
        <v>0</v>
      </c>
      <c r="AL94" s="258">
        <f ca="1">IF(State_after_knock($T$9)=AL93,State_after_knock($T$9),Judge_01($T$9,Z38,$T$8))</f>
        <v>0</v>
      </c>
      <c r="AM94" s="258">
        <f ca="1">IF(State_after_knock($T$9)=AM93,State_after_knock($T$9),Judge_01($T$9,AA38,$T$8))</f>
        <v>0</v>
      </c>
      <c r="AN94" s="258">
        <f ca="1">IF(State_after_knock($T$9)=AN93,State_after_knock($T$9),Judge_01($T$9,AB38,$T$8))</f>
        <v>0</v>
      </c>
      <c r="AO94" s="225">
        <f ca="1">IF(State_after_knock($T$9)=AO93,State_after_knock($T$9),Judge_01($T$9,AC38,$T$8))</f>
        <v>0</v>
      </c>
      <c r="AQ94" s="57">
        <f t="shared" si="17"/>
        <v>161</v>
      </c>
      <c r="AR94" s="258">
        <f ca="1">IF(State_after_knock($U$9)=AR93,State_after_knock($U$9),Judge_01($U$9,T38,$U$8))</f>
        <v>0</v>
      </c>
      <c r="AS94" s="258">
        <f ca="1">IF(State_after_knock($U$9)=AS93,State_after_knock($U$9),Judge_01($U$9,U38,$U$8))</f>
        <v>0</v>
      </c>
      <c r="AT94" s="258">
        <f ca="1">IF(State_after_knock($U$9)=AT93,State_after_knock($U$9),Judge_01($U$9,V38,$U$8))</f>
        <v>0</v>
      </c>
      <c r="AU94" s="258">
        <f ca="1">IF(State_after_knock($U$9)=AU93,State_after_knock($U$9),Judge_01($U$9,W38,$U$8))</f>
        <v>0</v>
      </c>
      <c r="AV94" s="258">
        <f ca="1">IF(State_after_knock($U$9)=AV93,State_after_knock($U$9),Judge_01($U$9,X38,$U$8))</f>
        <v>0</v>
      </c>
      <c r="AW94" s="258">
        <f ca="1">IF(State_after_knock($U$9)=AW93,State_after_knock($U$9),Judge_01($U$9,Y38,$U$8))</f>
        <v>0</v>
      </c>
      <c r="AX94" s="258">
        <f ca="1">IF(State_after_knock($U$9)=AX93,State_after_knock($U$9),Judge_01($U$9,Z38,$U$8))</f>
        <v>0</v>
      </c>
      <c r="AY94" s="258">
        <f ca="1">IF(State_after_knock($U$9)=AY93,State_after_knock($U$9),Judge_01($U$9,AA38,$U$8))</f>
        <v>0</v>
      </c>
      <c r="AZ94" s="258">
        <f ca="1">IF(State_after_knock($U$9)=AZ93,State_after_knock($U$9),Judge_01($U$9,AB38,$U$8))</f>
        <v>0</v>
      </c>
      <c r="BA94" s="225">
        <f ca="1">IF(State_after_knock($U$9)=BA93,State_after_knock($U$9),Judge_01($U$9,AC38,$U$8))</f>
        <v>0</v>
      </c>
    </row>
    <row r="95" spans="2:53" x14ac:dyDescent="0.15">
      <c r="B95" s="16">
        <v>40480</v>
      </c>
      <c r="C95" s="29">
        <f t="array" ref="C95">SUMPRODUCT('ファンドデータ(変更不要)'!K95:P95,TRANSPOSE(戦略の決定!$D$13:$D$18))</f>
        <v>-7.1029082411325477E-4</v>
      </c>
      <c r="D95" s="29">
        <f t="array" ref="D95">SUMPRODUCT('ファンドデータ(変更不要)'!K95:P95,TRANSPOSE(戦略の決定!$E$13:$E$18))</f>
        <v>5.5577677154713453E-3</v>
      </c>
      <c r="E95" s="29">
        <f t="array" ref="E95">SUMPRODUCT('ファンドデータ(変更不要)'!K95:P95,TRANSPOSE(戦略の決定!$F$13:$F$18))</f>
        <v>5.5577677154713453E-3</v>
      </c>
      <c r="F95" s="183">
        <f t="shared" si="11"/>
        <v>1.1216897396276997</v>
      </c>
      <c r="G95" s="183">
        <f t="shared" si="12"/>
        <v>1.1735578089861505</v>
      </c>
      <c r="H95" s="75">
        <f t="shared" si="13"/>
        <v>1.1735578089861505</v>
      </c>
      <c r="J95"/>
      <c r="K95"/>
      <c r="L95"/>
      <c r="M95"/>
      <c r="N95"/>
      <c r="O95"/>
      <c r="P95"/>
      <c r="AE95" s="57">
        <f t="shared" si="16"/>
        <v>168</v>
      </c>
      <c r="AF95" s="258">
        <f ca="1">IF(State_after_knock($T$9)=AF94,State_after_knock($T$9),Judge_01($T$9,T39,$T$8))</f>
        <v>0</v>
      </c>
      <c r="AG95" s="258">
        <f ca="1">IF(State_after_knock($T$9)=AG94,State_after_knock($T$9),Judge_01($T$9,U39,$T$8))</f>
        <v>0</v>
      </c>
      <c r="AH95" s="258">
        <f ca="1">IF(State_after_knock($T$9)=AH94,State_after_knock($T$9),Judge_01($T$9,V39,$T$8))</f>
        <v>0</v>
      </c>
      <c r="AI95" s="258">
        <f ca="1">IF(State_after_knock($T$9)=AI94,State_after_knock($T$9),Judge_01($T$9,W39,$T$8))</f>
        <v>0</v>
      </c>
      <c r="AJ95" s="258">
        <f ca="1">IF(State_after_knock($T$9)=AJ94,State_after_knock($T$9),Judge_01($T$9,X39,$T$8))</f>
        <v>0</v>
      </c>
      <c r="AK95" s="258">
        <f ca="1">IF(State_after_knock($T$9)=AK94,State_after_knock($T$9),Judge_01($T$9,Y39,$T$8))</f>
        <v>0</v>
      </c>
      <c r="AL95" s="258">
        <f ca="1">IF(State_after_knock($T$9)=AL94,State_after_knock($T$9),Judge_01($T$9,Z39,$T$8))</f>
        <v>0</v>
      </c>
      <c r="AM95" s="258">
        <f ca="1">IF(State_after_knock($T$9)=AM94,State_after_knock($T$9),Judge_01($T$9,AA39,$T$8))</f>
        <v>0</v>
      </c>
      <c r="AN95" s="258">
        <f ca="1">IF(State_after_knock($T$9)=AN94,State_after_knock($T$9),Judge_01($T$9,AB39,$T$8))</f>
        <v>0</v>
      </c>
      <c r="AO95" s="225">
        <f ca="1">IF(State_after_knock($T$9)=AO94,State_after_knock($T$9),Judge_01($T$9,AC39,$T$8))</f>
        <v>0</v>
      </c>
      <c r="AQ95" s="57">
        <f t="shared" si="17"/>
        <v>168</v>
      </c>
      <c r="AR95" s="258">
        <f ca="1">IF(State_after_knock($U$9)=AR94,State_after_knock($U$9),Judge_01($U$9,T39,$U$8))</f>
        <v>0</v>
      </c>
      <c r="AS95" s="258">
        <f ca="1">IF(State_after_knock($U$9)=AS94,State_after_knock($U$9),Judge_01($U$9,U39,$U$8))</f>
        <v>0</v>
      </c>
      <c r="AT95" s="258">
        <f ca="1">IF(State_after_knock($U$9)=AT94,State_after_knock($U$9),Judge_01($U$9,V39,$U$8))</f>
        <v>0</v>
      </c>
      <c r="AU95" s="258">
        <f ca="1">IF(State_after_knock($U$9)=AU94,State_after_knock($U$9),Judge_01($U$9,W39,$U$8))</f>
        <v>0</v>
      </c>
      <c r="AV95" s="258">
        <f ca="1">IF(State_after_knock($U$9)=AV94,State_after_knock($U$9),Judge_01($U$9,X39,$U$8))</f>
        <v>0</v>
      </c>
      <c r="AW95" s="258">
        <f ca="1">IF(State_after_knock($U$9)=AW94,State_after_knock($U$9),Judge_01($U$9,Y39,$U$8))</f>
        <v>0</v>
      </c>
      <c r="AX95" s="258">
        <f ca="1">IF(State_after_knock($U$9)=AX94,State_after_knock($U$9),Judge_01($U$9,Z39,$U$8))</f>
        <v>0</v>
      </c>
      <c r="AY95" s="258">
        <f ca="1">IF(State_after_knock($U$9)=AY94,State_after_knock($U$9),Judge_01($U$9,AA39,$U$8))</f>
        <v>0</v>
      </c>
      <c r="AZ95" s="258">
        <f ca="1">IF(State_after_knock($U$9)=AZ94,State_after_knock($U$9),Judge_01($U$9,AB39,$U$8))</f>
        <v>0</v>
      </c>
      <c r="BA95" s="225">
        <f ca="1">IF(State_after_knock($U$9)=BA94,State_after_knock($U$9),Judge_01($U$9,AC39,$U$8))</f>
        <v>0</v>
      </c>
    </row>
    <row r="96" spans="2:53" x14ac:dyDescent="0.15">
      <c r="B96" s="16">
        <v>40487</v>
      </c>
      <c r="C96" s="29">
        <f t="array" ref="C96">SUMPRODUCT('ファンドデータ(変更不要)'!K96:P96,TRANSPOSE(戦略の決定!$D$13:$D$18))</f>
        <v>1.9610010243815056E-2</v>
      </c>
      <c r="D96" s="29">
        <f t="array" ref="D96">SUMPRODUCT('ファンドデータ(変更不要)'!K96:P96,TRANSPOSE(戦略の決定!$E$13:$E$18))</f>
        <v>2.441315672931843E-2</v>
      </c>
      <c r="E96" s="29">
        <f t="array" ref="E96">SUMPRODUCT('ファンドデータ(変更不要)'!K96:P96,TRANSPOSE(戦略の決定!$F$13:$F$18))</f>
        <v>2.441315672931843E-2</v>
      </c>
      <c r="F96" s="183">
        <f t="shared" si="11"/>
        <v>1.1436860869121812</v>
      </c>
      <c r="G96" s="183">
        <f t="shared" si="12"/>
        <v>1.2022080597078448</v>
      </c>
      <c r="H96" s="75">
        <f t="shared" si="13"/>
        <v>1.2022080597078448</v>
      </c>
      <c r="J96"/>
      <c r="K96"/>
      <c r="L96"/>
      <c r="M96"/>
      <c r="N96"/>
      <c r="O96"/>
      <c r="P96"/>
      <c r="AE96" s="57">
        <f t="shared" si="16"/>
        <v>175</v>
      </c>
      <c r="AF96" s="258">
        <f ca="1">IF(State_after_knock($T$9)=AF95,State_after_knock($T$9),Judge_01($T$9,T40,$T$8))</f>
        <v>0</v>
      </c>
      <c r="AG96" s="258">
        <f ca="1">IF(State_after_knock($T$9)=AG95,State_after_knock($T$9),Judge_01($T$9,U40,$T$8))</f>
        <v>0</v>
      </c>
      <c r="AH96" s="258">
        <f ca="1">IF(State_after_knock($T$9)=AH95,State_after_knock($T$9),Judge_01($T$9,V40,$T$8))</f>
        <v>0</v>
      </c>
      <c r="AI96" s="258">
        <f ca="1">IF(State_after_knock($T$9)=AI95,State_after_knock($T$9),Judge_01($T$9,W40,$T$8))</f>
        <v>0</v>
      </c>
      <c r="AJ96" s="258">
        <f ca="1">IF(State_after_knock($T$9)=AJ95,State_after_knock($T$9),Judge_01($T$9,X40,$T$8))</f>
        <v>0</v>
      </c>
      <c r="AK96" s="258">
        <f ca="1">IF(State_after_knock($T$9)=AK95,State_after_knock($T$9),Judge_01($T$9,Y40,$T$8))</f>
        <v>0</v>
      </c>
      <c r="AL96" s="258">
        <f ca="1">IF(State_after_knock($T$9)=AL95,State_after_knock($T$9),Judge_01($T$9,Z40,$T$8))</f>
        <v>0</v>
      </c>
      <c r="AM96" s="258">
        <f ca="1">IF(State_after_knock($T$9)=AM95,State_after_knock($T$9),Judge_01($T$9,AA40,$T$8))</f>
        <v>0</v>
      </c>
      <c r="AN96" s="258">
        <f ca="1">IF(State_after_knock($T$9)=AN95,State_after_knock($T$9),Judge_01($T$9,AB40,$T$8))</f>
        <v>0</v>
      </c>
      <c r="AO96" s="225">
        <f ca="1">IF(State_after_knock($T$9)=AO95,State_after_knock($T$9),Judge_01($T$9,AC40,$T$8))</f>
        <v>0</v>
      </c>
      <c r="AQ96" s="57">
        <f t="shared" si="17"/>
        <v>175</v>
      </c>
      <c r="AR96" s="258">
        <f ca="1">IF(State_after_knock($U$9)=AR95,State_after_knock($U$9),Judge_01($U$9,T40,$U$8))</f>
        <v>0</v>
      </c>
      <c r="AS96" s="258">
        <f ca="1">IF(State_after_knock($U$9)=AS95,State_after_knock($U$9),Judge_01($U$9,U40,$U$8))</f>
        <v>0</v>
      </c>
      <c r="AT96" s="258">
        <f ca="1">IF(State_after_knock($U$9)=AT95,State_after_knock($U$9),Judge_01($U$9,V40,$U$8))</f>
        <v>0</v>
      </c>
      <c r="AU96" s="258">
        <f ca="1">IF(State_after_knock($U$9)=AU95,State_after_knock($U$9),Judge_01($U$9,W40,$U$8))</f>
        <v>0</v>
      </c>
      <c r="AV96" s="258">
        <f ca="1">IF(State_after_knock($U$9)=AV95,State_after_knock($U$9),Judge_01($U$9,X40,$U$8))</f>
        <v>0</v>
      </c>
      <c r="AW96" s="258">
        <f ca="1">IF(State_after_knock($U$9)=AW95,State_after_knock($U$9),Judge_01($U$9,Y40,$U$8))</f>
        <v>0</v>
      </c>
      <c r="AX96" s="258">
        <f ca="1">IF(State_after_knock($U$9)=AX95,State_after_knock($U$9),Judge_01($U$9,Z40,$U$8))</f>
        <v>0</v>
      </c>
      <c r="AY96" s="258">
        <f ca="1">IF(State_after_knock($U$9)=AY95,State_after_knock($U$9),Judge_01($U$9,AA40,$U$8))</f>
        <v>0</v>
      </c>
      <c r="AZ96" s="258">
        <f ca="1">IF(State_after_knock($U$9)=AZ95,State_after_knock($U$9),Judge_01($U$9,AB40,$U$8))</f>
        <v>0</v>
      </c>
      <c r="BA96" s="225">
        <f ca="1">IF(State_after_knock($U$9)=BA95,State_after_knock($U$9),Judge_01($U$9,AC40,$U$8))</f>
        <v>0</v>
      </c>
    </row>
    <row r="97" spans="2:53" x14ac:dyDescent="0.15">
      <c r="B97" s="16">
        <v>40494</v>
      </c>
      <c r="C97" s="29">
        <f t="array" ref="C97">SUMPRODUCT('ファンドデータ(変更不要)'!K97:P97,TRANSPOSE(戦略の決定!$D$13:$D$18))</f>
        <v>-2.901049453524018E-3</v>
      </c>
      <c r="D97" s="29">
        <f t="array" ref="D97">SUMPRODUCT('ファンドデータ(変更不要)'!K97:P97,TRANSPOSE(戦略の決定!$E$13:$E$18))</f>
        <v>-2.696252042698155E-3</v>
      </c>
      <c r="E97" s="29">
        <f t="array" ref="E97">SUMPRODUCT('ファンドデータ(変更不要)'!K97:P97,TRANSPOSE(戦略の決定!$F$13:$F$18))</f>
        <v>-2.696252042698155E-3</v>
      </c>
      <c r="F97" s="183">
        <f t="shared" si="11"/>
        <v>1.1403681970147417</v>
      </c>
      <c r="G97" s="183">
        <f t="shared" si="12"/>
        <v>1.1989666037711093</v>
      </c>
      <c r="H97" s="75">
        <f t="shared" si="13"/>
        <v>1.1989666037711093</v>
      </c>
      <c r="J97"/>
      <c r="K97"/>
      <c r="L97"/>
      <c r="M97"/>
      <c r="N97"/>
      <c r="O97"/>
      <c r="P97"/>
      <c r="AE97" s="57">
        <f t="shared" si="16"/>
        <v>182</v>
      </c>
      <c r="AF97" s="258">
        <f ca="1">IF(State_after_knock($T$9)=AF96,State_after_knock($T$9),Judge_01($T$9,T41,$T$8))</f>
        <v>0</v>
      </c>
      <c r="AG97" s="258">
        <f ca="1">IF(State_after_knock($T$9)=AG96,State_after_knock($T$9),Judge_01($T$9,U41,$T$8))</f>
        <v>0</v>
      </c>
      <c r="AH97" s="258">
        <f ca="1">IF(State_after_knock($T$9)=AH96,State_after_knock($T$9),Judge_01($T$9,V41,$T$8))</f>
        <v>0</v>
      </c>
      <c r="AI97" s="258">
        <f ca="1">IF(State_after_knock($T$9)=AI96,State_after_knock($T$9),Judge_01($T$9,W41,$T$8))</f>
        <v>0</v>
      </c>
      <c r="AJ97" s="258">
        <f ca="1">IF(State_after_knock($T$9)=AJ96,State_after_knock($T$9),Judge_01($T$9,X41,$T$8))</f>
        <v>0</v>
      </c>
      <c r="AK97" s="258">
        <f ca="1">IF(State_after_knock($T$9)=AK96,State_after_knock($T$9),Judge_01($T$9,Y41,$T$8))</f>
        <v>0</v>
      </c>
      <c r="AL97" s="258">
        <f ca="1">IF(State_after_knock($T$9)=AL96,State_after_knock($T$9),Judge_01($T$9,Z41,$T$8))</f>
        <v>0</v>
      </c>
      <c r="AM97" s="258">
        <f ca="1">IF(State_after_knock($T$9)=AM96,State_after_knock($T$9),Judge_01($T$9,AA41,$T$8))</f>
        <v>0</v>
      </c>
      <c r="AN97" s="258">
        <f ca="1">IF(State_after_knock($T$9)=AN96,State_after_knock($T$9),Judge_01($T$9,AB41,$T$8))</f>
        <v>0</v>
      </c>
      <c r="AO97" s="225">
        <f ca="1">IF(State_after_knock($T$9)=AO96,State_after_knock($T$9),Judge_01($T$9,AC41,$T$8))</f>
        <v>0</v>
      </c>
      <c r="AQ97" s="57">
        <f t="shared" si="17"/>
        <v>182</v>
      </c>
      <c r="AR97" s="258">
        <f ca="1">IF(State_after_knock($U$9)=AR96,State_after_knock($U$9),Judge_01($U$9,T41,$U$8))</f>
        <v>0</v>
      </c>
      <c r="AS97" s="258">
        <f ca="1">IF(State_after_knock($U$9)=AS96,State_after_knock($U$9),Judge_01($U$9,U41,$U$8))</f>
        <v>0</v>
      </c>
      <c r="AT97" s="258">
        <f ca="1">IF(State_after_knock($U$9)=AT96,State_after_knock($U$9),Judge_01($U$9,V41,$U$8))</f>
        <v>0</v>
      </c>
      <c r="AU97" s="258">
        <f ca="1">IF(State_after_knock($U$9)=AU96,State_after_knock($U$9),Judge_01($U$9,W41,$U$8))</f>
        <v>0</v>
      </c>
      <c r="AV97" s="258">
        <f ca="1">IF(State_after_knock($U$9)=AV96,State_after_knock($U$9),Judge_01($U$9,X41,$U$8))</f>
        <v>0</v>
      </c>
      <c r="AW97" s="258">
        <f ca="1">IF(State_after_knock($U$9)=AW96,State_after_knock($U$9),Judge_01($U$9,Y41,$U$8))</f>
        <v>0</v>
      </c>
      <c r="AX97" s="258">
        <f ca="1">IF(State_after_knock($U$9)=AX96,State_after_knock($U$9),Judge_01($U$9,Z41,$U$8))</f>
        <v>0</v>
      </c>
      <c r="AY97" s="258">
        <f ca="1">IF(State_after_knock($U$9)=AY96,State_after_knock($U$9),Judge_01($U$9,AA41,$U$8))</f>
        <v>0</v>
      </c>
      <c r="AZ97" s="258">
        <f ca="1">IF(State_after_knock($U$9)=AZ96,State_after_knock($U$9),Judge_01($U$9,AB41,$U$8))</f>
        <v>0</v>
      </c>
      <c r="BA97" s="225">
        <f ca="1">IF(State_after_knock($U$9)=BA96,State_after_knock($U$9),Judge_01($U$9,AC41,$U$8))</f>
        <v>0</v>
      </c>
    </row>
    <row r="98" spans="2:53" x14ac:dyDescent="0.15">
      <c r="B98" s="16">
        <v>40501</v>
      </c>
      <c r="C98" s="29">
        <f t="array" ref="C98">SUMPRODUCT('ファンドデータ(変更不要)'!K98:P98,TRANSPOSE(戦略の決定!$D$13:$D$18))</f>
        <v>6.7446323525189441E-3</v>
      </c>
      <c r="D98" s="29">
        <f t="array" ref="D98">SUMPRODUCT('ファンドデータ(変更不要)'!K98:P98,TRANSPOSE(戦略の決定!$E$13:$E$18))</f>
        <v>7.6646069445894466E-3</v>
      </c>
      <c r="E98" s="29">
        <f t="array" ref="E98">SUMPRODUCT('ファンドデータ(変更不要)'!K98:P98,TRANSPOSE(戦略の決定!$F$13:$F$18))</f>
        <v>7.6646069445894466E-3</v>
      </c>
      <c r="F98" s="183">
        <f t="shared" si="11"/>
        <v>1.148059561250111</v>
      </c>
      <c r="G98" s="183">
        <f t="shared" si="12"/>
        <v>1.2081562115287041</v>
      </c>
      <c r="H98" s="75">
        <f t="shared" si="13"/>
        <v>1.2081562115287041</v>
      </c>
      <c r="J98"/>
      <c r="K98"/>
      <c r="L98"/>
      <c r="M98"/>
      <c r="N98"/>
      <c r="O98"/>
      <c r="P98"/>
      <c r="AE98" s="57">
        <f t="shared" si="16"/>
        <v>189</v>
      </c>
      <c r="AF98" s="258">
        <f ca="1">IF(State_after_knock($T$9)=AF97,State_after_knock($T$9),Judge_01($T$9,T42,$T$8))</f>
        <v>0</v>
      </c>
      <c r="AG98" s="258">
        <f ca="1">IF(State_after_knock($T$9)=AG97,State_after_knock($T$9),Judge_01($T$9,U42,$T$8))</f>
        <v>0</v>
      </c>
      <c r="AH98" s="258">
        <f ca="1">IF(State_after_knock($T$9)=AH97,State_after_knock($T$9),Judge_01($T$9,V42,$T$8))</f>
        <v>0</v>
      </c>
      <c r="AI98" s="258">
        <f ca="1">IF(State_after_knock($T$9)=AI97,State_after_knock($T$9),Judge_01($T$9,W42,$T$8))</f>
        <v>0</v>
      </c>
      <c r="AJ98" s="258">
        <f ca="1">IF(State_after_knock($T$9)=AJ97,State_after_knock($T$9),Judge_01($T$9,X42,$T$8))</f>
        <v>0</v>
      </c>
      <c r="AK98" s="258">
        <f ca="1">IF(State_after_knock($T$9)=AK97,State_after_knock($T$9),Judge_01($T$9,Y42,$T$8))</f>
        <v>0</v>
      </c>
      <c r="AL98" s="258">
        <f ca="1">IF(State_after_knock($T$9)=AL97,State_after_knock($T$9),Judge_01($T$9,Z42,$T$8))</f>
        <v>0</v>
      </c>
      <c r="AM98" s="258">
        <f ca="1">IF(State_after_knock($T$9)=AM97,State_after_knock($T$9),Judge_01($T$9,AA42,$T$8))</f>
        <v>0</v>
      </c>
      <c r="AN98" s="258">
        <f ca="1">IF(State_after_knock($T$9)=AN97,State_after_knock($T$9),Judge_01($T$9,AB42,$T$8))</f>
        <v>0</v>
      </c>
      <c r="AO98" s="225">
        <f ca="1">IF(State_after_knock($T$9)=AO97,State_after_knock($T$9),Judge_01($T$9,AC42,$T$8))</f>
        <v>0</v>
      </c>
      <c r="AQ98" s="57">
        <f t="shared" si="17"/>
        <v>189</v>
      </c>
      <c r="AR98" s="258">
        <f ca="1">IF(State_after_knock($U$9)=AR97,State_after_knock($U$9),Judge_01($U$9,T42,$U$8))</f>
        <v>0</v>
      </c>
      <c r="AS98" s="258">
        <f ca="1">IF(State_after_knock($U$9)=AS97,State_after_knock($U$9),Judge_01($U$9,U42,$U$8))</f>
        <v>0</v>
      </c>
      <c r="AT98" s="258">
        <f ca="1">IF(State_after_knock($U$9)=AT97,State_after_knock($U$9),Judge_01($U$9,V42,$U$8))</f>
        <v>0</v>
      </c>
      <c r="AU98" s="258">
        <f ca="1">IF(State_after_knock($U$9)=AU97,State_after_knock($U$9),Judge_01($U$9,W42,$U$8))</f>
        <v>0</v>
      </c>
      <c r="AV98" s="258">
        <f ca="1">IF(State_after_knock($U$9)=AV97,State_after_knock($U$9),Judge_01($U$9,X42,$U$8))</f>
        <v>0</v>
      </c>
      <c r="AW98" s="258">
        <f ca="1">IF(State_after_knock($U$9)=AW97,State_after_knock($U$9),Judge_01($U$9,Y42,$U$8))</f>
        <v>0</v>
      </c>
      <c r="AX98" s="258">
        <f ca="1">IF(State_after_knock($U$9)=AX97,State_after_knock($U$9),Judge_01($U$9,Z42,$U$8))</f>
        <v>0</v>
      </c>
      <c r="AY98" s="258">
        <f ca="1">IF(State_after_knock($U$9)=AY97,State_after_knock($U$9),Judge_01($U$9,AA42,$U$8))</f>
        <v>0</v>
      </c>
      <c r="AZ98" s="258">
        <f ca="1">IF(State_after_knock($U$9)=AZ97,State_after_knock($U$9),Judge_01($U$9,AB42,$U$8))</f>
        <v>0</v>
      </c>
      <c r="BA98" s="225">
        <f ca="1">IF(State_after_knock($U$9)=BA97,State_after_knock($U$9),Judge_01($U$9,AC42,$U$8))</f>
        <v>0</v>
      </c>
    </row>
    <row r="99" spans="2:53" x14ac:dyDescent="0.15">
      <c r="B99" s="16">
        <v>40508</v>
      </c>
      <c r="C99" s="29">
        <f t="array" ref="C99">SUMPRODUCT('ファンドデータ(変更不要)'!K99:P99,TRANSPOSE(戦略の決定!$D$13:$D$18))</f>
        <v>-1.4548664388911313E-3</v>
      </c>
      <c r="D99" s="29">
        <f t="array" ref="D99">SUMPRODUCT('ファンドデータ(変更不要)'!K99:P99,TRANSPOSE(戦略の決定!$E$13:$E$18))</f>
        <v>2.2594675980648826E-3</v>
      </c>
      <c r="E99" s="29">
        <f t="array" ref="E99">SUMPRODUCT('ファンドデータ(変更不要)'!K99:P99,TRANSPOSE(戦略の決定!$F$13:$F$18))</f>
        <v>2.2594675980648826E-3</v>
      </c>
      <c r="F99" s="183">
        <f t="shared" si="11"/>
        <v>1.1463892879246</v>
      </c>
      <c r="G99" s="183">
        <f t="shared" si="12"/>
        <v>1.2108860013420542</v>
      </c>
      <c r="H99" s="75">
        <f t="shared" si="13"/>
        <v>1.2108860013420542</v>
      </c>
      <c r="J99"/>
      <c r="K99"/>
      <c r="L99"/>
      <c r="M99"/>
      <c r="N99"/>
      <c r="O99"/>
      <c r="P99"/>
      <c r="AE99" s="57">
        <f t="shared" si="16"/>
        <v>196</v>
      </c>
      <c r="AF99" s="258">
        <f ca="1">IF(State_after_knock($T$9)=AF98,State_after_knock($T$9),Judge_01($T$9,T43,$T$8))</f>
        <v>0</v>
      </c>
      <c r="AG99" s="258">
        <f ca="1">IF(State_after_knock($T$9)=AG98,State_after_knock($T$9),Judge_01($T$9,U43,$T$8))</f>
        <v>0</v>
      </c>
      <c r="AH99" s="258">
        <f ca="1">IF(State_after_knock($T$9)=AH98,State_after_knock($T$9),Judge_01($T$9,V43,$T$8))</f>
        <v>0</v>
      </c>
      <c r="AI99" s="258">
        <f ca="1">IF(State_after_knock($T$9)=AI98,State_after_knock($T$9),Judge_01($T$9,W43,$T$8))</f>
        <v>0</v>
      </c>
      <c r="AJ99" s="258">
        <f ca="1">IF(State_after_knock($T$9)=AJ98,State_after_knock($T$9),Judge_01($T$9,X43,$T$8))</f>
        <v>0</v>
      </c>
      <c r="AK99" s="258">
        <f ca="1">IF(State_after_knock($T$9)=AK98,State_after_knock($T$9),Judge_01($T$9,Y43,$T$8))</f>
        <v>0</v>
      </c>
      <c r="AL99" s="258">
        <f ca="1">IF(State_after_knock($T$9)=AL98,State_after_knock($T$9),Judge_01($T$9,Z43,$T$8))</f>
        <v>0</v>
      </c>
      <c r="AM99" s="258">
        <f ca="1">IF(State_after_knock($T$9)=AM98,State_after_knock($T$9),Judge_01($T$9,AA43,$T$8))</f>
        <v>0</v>
      </c>
      <c r="AN99" s="258">
        <f ca="1">IF(State_after_knock($T$9)=AN98,State_after_knock($T$9),Judge_01($T$9,AB43,$T$8))</f>
        <v>0</v>
      </c>
      <c r="AO99" s="225">
        <f ca="1">IF(State_after_knock($T$9)=AO98,State_after_knock($T$9),Judge_01($T$9,AC43,$T$8))</f>
        <v>0</v>
      </c>
      <c r="AQ99" s="57">
        <f t="shared" si="17"/>
        <v>196</v>
      </c>
      <c r="AR99" s="258">
        <f ca="1">IF(State_after_knock($U$9)=AR98,State_after_knock($U$9),Judge_01($U$9,T43,$U$8))</f>
        <v>0</v>
      </c>
      <c r="AS99" s="258">
        <f ca="1">IF(State_after_knock($U$9)=AS98,State_after_knock($U$9),Judge_01($U$9,U43,$U$8))</f>
        <v>0</v>
      </c>
      <c r="AT99" s="258">
        <f ca="1">IF(State_after_knock($U$9)=AT98,State_after_knock($U$9),Judge_01($U$9,V43,$U$8))</f>
        <v>0</v>
      </c>
      <c r="AU99" s="258">
        <f ca="1">IF(State_after_knock($U$9)=AU98,State_after_knock($U$9),Judge_01($U$9,W43,$U$8))</f>
        <v>0</v>
      </c>
      <c r="AV99" s="258">
        <f ca="1">IF(State_after_knock($U$9)=AV98,State_after_knock($U$9),Judge_01($U$9,X43,$U$8))</f>
        <v>0</v>
      </c>
      <c r="AW99" s="258">
        <f ca="1">IF(State_after_knock($U$9)=AW98,State_after_knock($U$9),Judge_01($U$9,Y43,$U$8))</f>
        <v>0</v>
      </c>
      <c r="AX99" s="258">
        <f ca="1">IF(State_after_knock($U$9)=AX98,State_after_knock($U$9),Judge_01($U$9,Z43,$U$8))</f>
        <v>0</v>
      </c>
      <c r="AY99" s="258">
        <f ca="1">IF(State_after_knock($U$9)=AY98,State_after_knock($U$9),Judge_01($U$9,AA43,$U$8))</f>
        <v>0</v>
      </c>
      <c r="AZ99" s="258">
        <f ca="1">IF(State_after_knock($U$9)=AZ98,State_after_knock($U$9),Judge_01($U$9,AB43,$U$8))</f>
        <v>0</v>
      </c>
      <c r="BA99" s="225">
        <f ca="1">IF(State_after_knock($U$9)=BA98,State_after_knock($U$9),Judge_01($U$9,AC43,$U$8))</f>
        <v>0</v>
      </c>
    </row>
    <row r="100" spans="2:53" x14ac:dyDescent="0.15">
      <c r="B100" s="16">
        <v>40515</v>
      </c>
      <c r="C100" s="29">
        <f t="array" ref="C100">SUMPRODUCT('ファンドデータ(変更不要)'!K100:P100,TRANSPOSE(戦略の決定!$D$13:$D$18))</f>
        <v>6.7372423962571114E-3</v>
      </c>
      <c r="D100" s="29">
        <f t="array" ref="D100">SUMPRODUCT('ファンドデータ(変更不要)'!K100:P100,TRANSPOSE(戦略の決定!$E$13:$E$18))</f>
        <v>1.3385705624385926E-2</v>
      </c>
      <c r="E100" s="29">
        <f t="array" ref="E100">SUMPRODUCT('ファンドデータ(変更不要)'!K100:P100,TRANSPOSE(戦略の決定!$F$13:$F$18))</f>
        <v>1.3385705624385926E-2</v>
      </c>
      <c r="F100" s="183">
        <f t="shared" si="11"/>
        <v>1.1541127904378206</v>
      </c>
      <c r="G100" s="183">
        <f t="shared" si="12"/>
        <v>1.2270945649007088</v>
      </c>
      <c r="H100" s="75">
        <f t="shared" si="13"/>
        <v>1.2270945649007088</v>
      </c>
      <c r="J100"/>
      <c r="K100"/>
      <c r="L100"/>
      <c r="M100"/>
      <c r="N100"/>
      <c r="O100"/>
      <c r="P100"/>
      <c r="AE100" s="57">
        <f t="shared" si="16"/>
        <v>203</v>
      </c>
      <c r="AF100" s="258">
        <f ca="1">IF(State_after_knock($T$9)=AF99,State_after_knock($T$9),Judge_01($T$9,T44,$T$8))</f>
        <v>0</v>
      </c>
      <c r="AG100" s="258">
        <f ca="1">IF(State_after_knock($T$9)=AG99,State_after_knock($T$9),Judge_01($T$9,U44,$T$8))</f>
        <v>0</v>
      </c>
      <c r="AH100" s="258">
        <f ca="1">IF(State_after_knock($T$9)=AH99,State_after_knock($T$9),Judge_01($T$9,V44,$T$8))</f>
        <v>0</v>
      </c>
      <c r="AI100" s="258">
        <f ca="1">IF(State_after_knock($T$9)=AI99,State_after_knock($T$9),Judge_01($T$9,W44,$T$8))</f>
        <v>0</v>
      </c>
      <c r="AJ100" s="258">
        <f ca="1">IF(State_after_knock($T$9)=AJ99,State_after_knock($T$9),Judge_01($T$9,X44,$T$8))</f>
        <v>0</v>
      </c>
      <c r="AK100" s="258">
        <f ca="1">IF(State_after_knock($T$9)=AK99,State_after_knock($T$9),Judge_01($T$9,Y44,$T$8))</f>
        <v>0</v>
      </c>
      <c r="AL100" s="258">
        <f ca="1">IF(State_after_knock($T$9)=AL99,State_after_knock($T$9),Judge_01($T$9,Z44,$T$8))</f>
        <v>0</v>
      </c>
      <c r="AM100" s="258">
        <f ca="1">IF(State_after_knock($T$9)=AM99,State_after_knock($T$9),Judge_01($T$9,AA44,$T$8))</f>
        <v>0</v>
      </c>
      <c r="AN100" s="258">
        <f ca="1">IF(State_after_knock($T$9)=AN99,State_after_knock($T$9),Judge_01($T$9,AB44,$T$8))</f>
        <v>0</v>
      </c>
      <c r="AO100" s="225">
        <f ca="1">IF(State_after_knock($T$9)=AO99,State_after_knock($T$9),Judge_01($T$9,AC44,$T$8))</f>
        <v>0</v>
      </c>
      <c r="AQ100" s="57">
        <f t="shared" si="17"/>
        <v>203</v>
      </c>
      <c r="AR100" s="258">
        <f ca="1">IF(State_after_knock($U$9)=AR99,State_after_knock($U$9),Judge_01($U$9,T44,$U$8))</f>
        <v>0</v>
      </c>
      <c r="AS100" s="258">
        <f ca="1">IF(State_after_knock($U$9)=AS99,State_after_knock($U$9),Judge_01($U$9,U44,$U$8))</f>
        <v>0</v>
      </c>
      <c r="AT100" s="258">
        <f ca="1">IF(State_after_knock($U$9)=AT99,State_after_knock($U$9),Judge_01($U$9,V44,$U$8))</f>
        <v>0</v>
      </c>
      <c r="AU100" s="258">
        <f ca="1">IF(State_after_knock($U$9)=AU99,State_after_knock($U$9),Judge_01($U$9,W44,$U$8))</f>
        <v>0</v>
      </c>
      <c r="AV100" s="258">
        <f ca="1">IF(State_after_knock($U$9)=AV99,State_after_knock($U$9),Judge_01($U$9,X44,$U$8))</f>
        <v>0</v>
      </c>
      <c r="AW100" s="258">
        <f ca="1">IF(State_after_knock($U$9)=AW99,State_after_knock($U$9),Judge_01($U$9,Y44,$U$8))</f>
        <v>0</v>
      </c>
      <c r="AX100" s="258">
        <f ca="1">IF(State_after_knock($U$9)=AX99,State_after_knock($U$9),Judge_01($U$9,Z44,$U$8))</f>
        <v>0</v>
      </c>
      <c r="AY100" s="258">
        <f ca="1">IF(State_after_knock($U$9)=AY99,State_after_knock($U$9),Judge_01($U$9,AA44,$U$8))</f>
        <v>0</v>
      </c>
      <c r="AZ100" s="258">
        <f ca="1">IF(State_after_knock($U$9)=AZ99,State_after_knock($U$9),Judge_01($U$9,AB44,$U$8))</f>
        <v>0</v>
      </c>
      <c r="BA100" s="225">
        <f ca="1">IF(State_after_knock($U$9)=BA99,State_after_knock($U$9),Judge_01($U$9,AC44,$U$8))</f>
        <v>0</v>
      </c>
    </row>
    <row r="101" spans="2:53" x14ac:dyDescent="0.15">
      <c r="B101" s="16">
        <v>40522</v>
      </c>
      <c r="C101" s="29">
        <f t="array" ref="C101">SUMPRODUCT('ファンドデータ(変更不要)'!K101:P101,TRANSPOSE(戦略の決定!$D$13:$D$18))</f>
        <v>1.8389301149682534E-3</v>
      </c>
      <c r="D101" s="29">
        <f t="array" ref="D101">SUMPRODUCT('ファンドデータ(変更不要)'!K101:P101,TRANSPOSE(戦略の決定!$E$13:$E$18))</f>
        <v>5.5731111556520437E-3</v>
      </c>
      <c r="E101" s="29">
        <f t="array" ref="E101">SUMPRODUCT('ファンドデータ(変更不要)'!K101:P101,TRANSPOSE(戦略の決定!$F$13:$F$18))</f>
        <v>5.5731111556520437E-3</v>
      </c>
      <c r="F101" s="183">
        <f t="shared" si="11"/>
        <v>1.1562351232042265</v>
      </c>
      <c r="G101" s="183">
        <f t="shared" si="12"/>
        <v>1.233933299309397</v>
      </c>
      <c r="H101" s="75">
        <f t="shared" si="13"/>
        <v>1.233933299309397</v>
      </c>
      <c r="J101"/>
      <c r="K101"/>
      <c r="L101"/>
      <c r="M101"/>
      <c r="N101"/>
      <c r="O101"/>
      <c r="P101"/>
      <c r="AE101" s="57">
        <f t="shared" si="16"/>
        <v>210</v>
      </c>
      <c r="AF101" s="258">
        <f ca="1">IF(State_after_knock($T$9)=AF100,State_after_knock($T$9),Judge_01($T$9,T45,$T$8))</f>
        <v>0</v>
      </c>
      <c r="AG101" s="258">
        <f ca="1">IF(State_after_knock($T$9)=AG100,State_after_knock($T$9),Judge_01($T$9,U45,$T$8))</f>
        <v>0</v>
      </c>
      <c r="AH101" s="258">
        <f ca="1">IF(State_after_knock($T$9)=AH100,State_after_knock($T$9),Judge_01($T$9,V45,$T$8))</f>
        <v>0</v>
      </c>
      <c r="AI101" s="258">
        <f ca="1">IF(State_after_knock($T$9)=AI100,State_after_knock($T$9),Judge_01($T$9,W45,$T$8))</f>
        <v>0</v>
      </c>
      <c r="AJ101" s="258">
        <f ca="1">IF(State_after_knock($T$9)=AJ100,State_after_knock($T$9),Judge_01($T$9,X45,$T$8))</f>
        <v>0</v>
      </c>
      <c r="AK101" s="258">
        <f ca="1">IF(State_after_knock($T$9)=AK100,State_after_knock($T$9),Judge_01($T$9,Y45,$T$8))</f>
        <v>0</v>
      </c>
      <c r="AL101" s="258">
        <f ca="1">IF(State_after_knock($T$9)=AL100,State_after_knock($T$9),Judge_01($T$9,Z45,$T$8))</f>
        <v>0</v>
      </c>
      <c r="AM101" s="258">
        <f ca="1">IF(State_after_knock($T$9)=AM100,State_after_knock($T$9),Judge_01($T$9,AA45,$T$8))</f>
        <v>0</v>
      </c>
      <c r="AN101" s="258">
        <f ca="1">IF(State_after_knock($T$9)=AN100,State_after_knock($T$9),Judge_01($T$9,AB45,$T$8))</f>
        <v>0</v>
      </c>
      <c r="AO101" s="225">
        <f ca="1">IF(State_after_knock($T$9)=AO100,State_after_knock($T$9),Judge_01($T$9,AC45,$T$8))</f>
        <v>0</v>
      </c>
      <c r="AQ101" s="57">
        <f t="shared" si="17"/>
        <v>210</v>
      </c>
      <c r="AR101" s="258">
        <f ca="1">IF(State_after_knock($U$9)=AR100,State_after_knock($U$9),Judge_01($U$9,T45,$U$8))</f>
        <v>0</v>
      </c>
      <c r="AS101" s="258">
        <f ca="1">IF(State_after_knock($U$9)=AS100,State_after_knock($U$9),Judge_01($U$9,U45,$U$8))</f>
        <v>0</v>
      </c>
      <c r="AT101" s="258">
        <f ca="1">IF(State_after_knock($U$9)=AT100,State_after_knock($U$9),Judge_01($U$9,V45,$U$8))</f>
        <v>0</v>
      </c>
      <c r="AU101" s="258">
        <f ca="1">IF(State_after_knock($U$9)=AU100,State_after_knock($U$9),Judge_01($U$9,W45,$U$8))</f>
        <v>0</v>
      </c>
      <c r="AV101" s="258">
        <f ca="1">IF(State_after_knock($U$9)=AV100,State_after_knock($U$9),Judge_01($U$9,X45,$U$8))</f>
        <v>0</v>
      </c>
      <c r="AW101" s="258">
        <f ca="1">IF(State_after_knock($U$9)=AW100,State_after_knock($U$9),Judge_01($U$9,Y45,$U$8))</f>
        <v>0</v>
      </c>
      <c r="AX101" s="258">
        <f ca="1">IF(State_after_knock($U$9)=AX100,State_after_knock($U$9),Judge_01($U$9,Z45,$U$8))</f>
        <v>0</v>
      </c>
      <c r="AY101" s="258">
        <f ca="1">IF(State_after_knock($U$9)=AY100,State_after_knock($U$9),Judge_01($U$9,AA45,$U$8))</f>
        <v>0</v>
      </c>
      <c r="AZ101" s="258">
        <f ca="1">IF(State_after_knock($U$9)=AZ100,State_after_knock($U$9),Judge_01($U$9,AB45,$U$8))</f>
        <v>0</v>
      </c>
      <c r="BA101" s="225">
        <f ca="1">IF(State_after_knock($U$9)=BA100,State_after_knock($U$9),Judge_01($U$9,AC45,$U$8))</f>
        <v>0</v>
      </c>
    </row>
    <row r="102" spans="2:53" x14ac:dyDescent="0.15">
      <c r="B102" s="16">
        <v>40529</v>
      </c>
      <c r="C102" s="29">
        <f t="array" ref="C102">SUMPRODUCT('ファンドデータ(変更不要)'!K102:P102,TRANSPOSE(戦略の決定!$D$13:$D$18))</f>
        <v>2.9790281943030956E-3</v>
      </c>
      <c r="D102" s="29">
        <f t="array" ref="D102">SUMPRODUCT('ファンドデータ(変更不要)'!K102:P102,TRANSPOSE(戦略の決定!$E$13:$E$18))</f>
        <v>4.1573758098242273E-3</v>
      </c>
      <c r="E102" s="29">
        <f t="array" ref="E102">SUMPRODUCT('ファンドデータ(変更不要)'!K102:P102,TRANSPOSE(戦略の決定!$F$13:$F$18))</f>
        <v>4.1573758098242273E-3</v>
      </c>
      <c r="F102" s="183">
        <f t="shared" si="11"/>
        <v>1.1596795802354956</v>
      </c>
      <c r="G102" s="183">
        <f t="shared" si="12"/>
        <v>1.2390632237588826</v>
      </c>
      <c r="H102" s="75">
        <f t="shared" si="13"/>
        <v>1.2390632237588826</v>
      </c>
      <c r="J102"/>
      <c r="K102"/>
      <c r="L102"/>
      <c r="M102"/>
      <c r="N102"/>
      <c r="O102"/>
      <c r="P102"/>
      <c r="AE102" s="57">
        <f t="shared" si="16"/>
        <v>217</v>
      </c>
      <c r="AF102" s="258">
        <f ca="1">IF(State_after_knock($T$9)=AF101,State_after_knock($T$9),Judge_01($T$9,T46,$T$8))</f>
        <v>0</v>
      </c>
      <c r="AG102" s="258">
        <f ca="1">IF(State_after_knock($T$9)=AG101,State_after_knock($T$9),Judge_01($T$9,U46,$T$8))</f>
        <v>0</v>
      </c>
      <c r="AH102" s="258">
        <f ca="1">IF(State_after_knock($T$9)=AH101,State_after_knock($T$9),Judge_01($T$9,V46,$T$8))</f>
        <v>0</v>
      </c>
      <c r="AI102" s="258">
        <f ca="1">IF(State_after_knock($T$9)=AI101,State_after_knock($T$9),Judge_01($T$9,W46,$T$8))</f>
        <v>0</v>
      </c>
      <c r="AJ102" s="258">
        <f ca="1">IF(State_after_knock($T$9)=AJ101,State_after_knock($T$9),Judge_01($T$9,X46,$T$8))</f>
        <v>0</v>
      </c>
      <c r="AK102" s="258">
        <f ca="1">IF(State_after_knock($T$9)=AK101,State_after_knock($T$9),Judge_01($T$9,Y46,$T$8))</f>
        <v>0</v>
      </c>
      <c r="AL102" s="258">
        <f ca="1">IF(State_after_knock($T$9)=AL101,State_after_knock($T$9),Judge_01($T$9,Z46,$T$8))</f>
        <v>0</v>
      </c>
      <c r="AM102" s="258">
        <f ca="1">IF(State_after_knock($T$9)=AM101,State_after_knock($T$9),Judge_01($T$9,AA46,$T$8))</f>
        <v>0</v>
      </c>
      <c r="AN102" s="258">
        <f ca="1">IF(State_after_knock($T$9)=AN101,State_after_knock($T$9),Judge_01($T$9,AB46,$T$8))</f>
        <v>0</v>
      </c>
      <c r="AO102" s="225">
        <f ca="1">IF(State_after_knock($T$9)=AO101,State_after_knock($T$9),Judge_01($T$9,AC46,$T$8))</f>
        <v>0</v>
      </c>
      <c r="AQ102" s="57">
        <f t="shared" si="17"/>
        <v>217</v>
      </c>
      <c r="AR102" s="258">
        <f ca="1">IF(State_after_knock($U$9)=AR101,State_after_knock($U$9),Judge_01($U$9,T46,$U$8))</f>
        <v>0</v>
      </c>
      <c r="AS102" s="258">
        <f ca="1">IF(State_after_knock($U$9)=AS101,State_after_knock($U$9),Judge_01($U$9,U46,$U$8))</f>
        <v>0</v>
      </c>
      <c r="AT102" s="258">
        <f ca="1">IF(State_after_knock($U$9)=AT101,State_after_knock($U$9),Judge_01($U$9,V46,$U$8))</f>
        <v>0</v>
      </c>
      <c r="AU102" s="258">
        <f ca="1">IF(State_after_knock($U$9)=AU101,State_after_knock($U$9),Judge_01($U$9,W46,$U$8))</f>
        <v>0</v>
      </c>
      <c r="AV102" s="258">
        <f ca="1">IF(State_after_knock($U$9)=AV101,State_after_knock($U$9),Judge_01($U$9,X46,$U$8))</f>
        <v>0</v>
      </c>
      <c r="AW102" s="258">
        <f ca="1">IF(State_after_knock($U$9)=AW101,State_after_knock($U$9),Judge_01($U$9,Y46,$U$8))</f>
        <v>0</v>
      </c>
      <c r="AX102" s="258">
        <f ca="1">IF(State_after_knock($U$9)=AX101,State_after_knock($U$9),Judge_01($U$9,Z46,$U$8))</f>
        <v>0</v>
      </c>
      <c r="AY102" s="258">
        <f ca="1">IF(State_after_knock($U$9)=AY101,State_after_knock($U$9),Judge_01($U$9,AA46,$U$8))</f>
        <v>0</v>
      </c>
      <c r="AZ102" s="258">
        <f ca="1">IF(State_after_knock($U$9)=AZ101,State_after_knock($U$9),Judge_01($U$9,AB46,$U$8))</f>
        <v>0</v>
      </c>
      <c r="BA102" s="225">
        <f ca="1">IF(State_after_knock($U$9)=BA101,State_after_knock($U$9),Judge_01($U$9,AC46,$U$8))</f>
        <v>0</v>
      </c>
    </row>
    <row r="103" spans="2:53" x14ac:dyDescent="0.15">
      <c r="B103" s="16">
        <v>40536</v>
      </c>
      <c r="C103" s="29">
        <f t="array" ref="C103">SUMPRODUCT('ファンドデータ(変更不要)'!K103:P103,TRANSPOSE(戦略の決定!$D$13:$D$18))</f>
        <v>7.8641482517558883E-3</v>
      </c>
      <c r="D103" s="29">
        <f t="array" ref="D103">SUMPRODUCT('ファンドデータ(変更不要)'!K103:P103,TRANSPOSE(戦略の決定!$E$13:$E$18))</f>
        <v>1.7191574971958386E-2</v>
      </c>
      <c r="E103" s="29">
        <f t="array" ref="E103">SUMPRODUCT('ファンドデータ(変更不要)'!K103:P103,TRANSPOSE(戦略の決定!$F$13:$F$18))</f>
        <v>1.7191574971958386E-2</v>
      </c>
      <c r="F103" s="183">
        <f t="shared" si="11"/>
        <v>1.1687994723790014</v>
      </c>
      <c r="G103" s="183">
        <f t="shared" si="12"/>
        <v>1.2603646720651298</v>
      </c>
      <c r="H103" s="75">
        <f t="shared" si="13"/>
        <v>1.2603646720651298</v>
      </c>
      <c r="J103"/>
      <c r="K103"/>
      <c r="L103"/>
      <c r="M103"/>
      <c r="N103"/>
      <c r="O103"/>
      <c r="P103"/>
      <c r="AE103" s="57">
        <f t="shared" si="16"/>
        <v>224</v>
      </c>
      <c r="AF103" s="258">
        <f ca="1">IF(State_after_knock($T$9)=AF102,State_after_knock($T$9),Judge_01($T$9,T47,$T$8))</f>
        <v>0</v>
      </c>
      <c r="AG103" s="258">
        <f ca="1">IF(State_after_knock($T$9)=AG102,State_after_knock($T$9),Judge_01($T$9,U47,$T$8))</f>
        <v>0</v>
      </c>
      <c r="AH103" s="258">
        <f ca="1">IF(State_after_knock($T$9)=AH102,State_after_knock($T$9),Judge_01($T$9,V47,$T$8))</f>
        <v>0</v>
      </c>
      <c r="AI103" s="258">
        <f ca="1">IF(State_after_knock($T$9)=AI102,State_after_knock($T$9),Judge_01($T$9,W47,$T$8))</f>
        <v>0</v>
      </c>
      <c r="AJ103" s="258">
        <f ca="1">IF(State_after_knock($T$9)=AJ102,State_after_knock($T$9),Judge_01($T$9,X47,$T$8))</f>
        <v>0</v>
      </c>
      <c r="AK103" s="258">
        <f ca="1">IF(State_after_knock($T$9)=AK102,State_after_knock($T$9),Judge_01($T$9,Y47,$T$8))</f>
        <v>0</v>
      </c>
      <c r="AL103" s="258">
        <f ca="1">IF(State_after_knock($T$9)=AL102,State_after_knock($T$9),Judge_01($T$9,Z47,$T$8))</f>
        <v>0</v>
      </c>
      <c r="AM103" s="258">
        <f ca="1">IF(State_after_knock($T$9)=AM102,State_after_knock($T$9),Judge_01($T$9,AA47,$T$8))</f>
        <v>0</v>
      </c>
      <c r="AN103" s="258">
        <f ca="1">IF(State_after_knock($T$9)=AN102,State_after_knock($T$9),Judge_01($T$9,AB47,$T$8))</f>
        <v>0</v>
      </c>
      <c r="AO103" s="225">
        <f ca="1">IF(State_after_knock($T$9)=AO102,State_after_knock($T$9),Judge_01($T$9,AC47,$T$8))</f>
        <v>0</v>
      </c>
      <c r="AQ103" s="57">
        <f t="shared" si="17"/>
        <v>224</v>
      </c>
      <c r="AR103" s="258">
        <f ca="1">IF(State_after_knock($U$9)=AR102,State_after_knock($U$9),Judge_01($U$9,T47,$U$8))</f>
        <v>0</v>
      </c>
      <c r="AS103" s="258">
        <f ca="1">IF(State_after_knock($U$9)=AS102,State_after_knock($U$9),Judge_01($U$9,U47,$U$8))</f>
        <v>0</v>
      </c>
      <c r="AT103" s="258">
        <f ca="1">IF(State_after_knock($U$9)=AT102,State_after_knock($U$9),Judge_01($U$9,V47,$U$8))</f>
        <v>0</v>
      </c>
      <c r="AU103" s="258">
        <f ca="1">IF(State_after_knock($U$9)=AU102,State_after_knock($U$9),Judge_01($U$9,W47,$U$8))</f>
        <v>0</v>
      </c>
      <c r="AV103" s="258">
        <f ca="1">IF(State_after_knock($U$9)=AV102,State_after_knock($U$9),Judge_01($U$9,X47,$U$8))</f>
        <v>0</v>
      </c>
      <c r="AW103" s="258">
        <f ca="1">IF(State_after_knock($U$9)=AW102,State_after_knock($U$9),Judge_01($U$9,Y47,$U$8))</f>
        <v>0</v>
      </c>
      <c r="AX103" s="258">
        <f ca="1">IF(State_after_knock($U$9)=AX102,State_after_knock($U$9),Judge_01($U$9,Z47,$U$8))</f>
        <v>0</v>
      </c>
      <c r="AY103" s="258">
        <f ca="1">IF(State_after_knock($U$9)=AY102,State_after_knock($U$9),Judge_01($U$9,AA47,$U$8))</f>
        <v>0</v>
      </c>
      <c r="AZ103" s="258">
        <f ca="1">IF(State_after_knock($U$9)=AZ102,State_after_knock($U$9),Judge_01($U$9,AB47,$U$8))</f>
        <v>0</v>
      </c>
      <c r="BA103" s="225">
        <f ca="1">IF(State_after_knock($U$9)=BA102,State_after_knock($U$9),Judge_01($U$9,AC47,$U$8))</f>
        <v>0</v>
      </c>
    </row>
    <row r="104" spans="2:53" x14ac:dyDescent="0.15">
      <c r="B104" s="16">
        <v>40543</v>
      </c>
      <c r="C104" s="29">
        <f t="array" ref="C104">SUMPRODUCT('ファンドデータ(変更不要)'!K104:P104,TRANSPOSE(戦略の決定!$D$13:$D$18))</f>
        <v>-2.6016355042282951E-3</v>
      </c>
      <c r="D104" s="29">
        <f t="array" ref="D104">SUMPRODUCT('ファンドデータ(変更不要)'!K104:P104,TRANSPOSE(戦略の決定!$E$13:$E$18))</f>
        <v>-1.6466087434348366E-3</v>
      </c>
      <c r="E104" s="29">
        <f t="array" ref="E104">SUMPRODUCT('ファンドデータ(変更不要)'!K104:P104,TRANSPOSE(戦略の決定!$F$13:$F$18))</f>
        <v>-1.6466087434348366E-3</v>
      </c>
      <c r="F104" s="183">
        <f t="shared" si="11"/>
        <v>1.1657586821743369</v>
      </c>
      <c r="G104" s="183">
        <f t="shared" si="12"/>
        <v>1.2582893445761911</v>
      </c>
      <c r="H104" s="75">
        <f t="shared" si="13"/>
        <v>1.2582893445761911</v>
      </c>
      <c r="J104"/>
      <c r="K104"/>
      <c r="L104"/>
      <c r="M104"/>
      <c r="N104"/>
      <c r="O104"/>
      <c r="P104"/>
      <c r="AE104" s="57">
        <f t="shared" si="16"/>
        <v>231</v>
      </c>
      <c r="AF104" s="258">
        <f ca="1">IF(State_after_knock($T$9)=AF103,State_after_knock($T$9),Judge_01($T$9,T48,$T$8))</f>
        <v>0</v>
      </c>
      <c r="AG104" s="258">
        <f ca="1">IF(State_after_knock($T$9)=AG103,State_after_knock($T$9),Judge_01($T$9,U48,$T$8))</f>
        <v>0</v>
      </c>
      <c r="AH104" s="258">
        <f ca="1">IF(State_after_knock($T$9)=AH103,State_after_knock($T$9),Judge_01($T$9,V48,$T$8))</f>
        <v>0</v>
      </c>
      <c r="AI104" s="258">
        <f ca="1">IF(State_after_knock($T$9)=AI103,State_after_knock($T$9),Judge_01($T$9,W48,$T$8))</f>
        <v>0</v>
      </c>
      <c r="AJ104" s="258">
        <f ca="1">IF(State_after_knock($T$9)=AJ103,State_after_knock($T$9),Judge_01($T$9,X48,$T$8))</f>
        <v>0</v>
      </c>
      <c r="AK104" s="258">
        <f ca="1">IF(State_after_knock($T$9)=AK103,State_after_knock($T$9),Judge_01($T$9,Y48,$T$8))</f>
        <v>0</v>
      </c>
      <c r="AL104" s="258">
        <f ca="1">IF(State_after_knock($T$9)=AL103,State_after_knock($T$9),Judge_01($T$9,Z48,$T$8))</f>
        <v>0</v>
      </c>
      <c r="AM104" s="258">
        <f ca="1">IF(State_after_knock($T$9)=AM103,State_after_knock($T$9),Judge_01($T$9,AA48,$T$8))</f>
        <v>0</v>
      </c>
      <c r="AN104" s="258">
        <f ca="1">IF(State_after_knock($T$9)=AN103,State_after_knock($T$9),Judge_01($T$9,AB48,$T$8))</f>
        <v>0</v>
      </c>
      <c r="AO104" s="225">
        <f ca="1">IF(State_after_knock($T$9)=AO103,State_after_knock($T$9),Judge_01($T$9,AC48,$T$8))</f>
        <v>0</v>
      </c>
      <c r="AQ104" s="57">
        <f t="shared" si="17"/>
        <v>231</v>
      </c>
      <c r="AR104" s="258">
        <f ca="1">IF(State_after_knock($U$9)=AR103,State_after_knock($U$9),Judge_01($U$9,T48,$U$8))</f>
        <v>0</v>
      </c>
      <c r="AS104" s="258">
        <f ca="1">IF(State_after_knock($U$9)=AS103,State_after_knock($U$9),Judge_01($U$9,U48,$U$8))</f>
        <v>0</v>
      </c>
      <c r="AT104" s="258">
        <f ca="1">IF(State_after_knock($U$9)=AT103,State_after_knock($U$9),Judge_01($U$9,V48,$U$8))</f>
        <v>0</v>
      </c>
      <c r="AU104" s="258">
        <f ca="1">IF(State_after_knock($U$9)=AU103,State_after_knock($U$9),Judge_01($U$9,W48,$U$8))</f>
        <v>0</v>
      </c>
      <c r="AV104" s="258">
        <f ca="1">IF(State_after_knock($U$9)=AV103,State_after_knock($U$9),Judge_01($U$9,X48,$U$8))</f>
        <v>0</v>
      </c>
      <c r="AW104" s="258">
        <f ca="1">IF(State_after_knock($U$9)=AW103,State_after_knock($U$9),Judge_01($U$9,Y48,$U$8))</f>
        <v>0</v>
      </c>
      <c r="AX104" s="258">
        <f ca="1">IF(State_after_knock($U$9)=AX103,State_after_knock($U$9),Judge_01($U$9,Z48,$U$8))</f>
        <v>0</v>
      </c>
      <c r="AY104" s="258">
        <f ca="1">IF(State_after_knock($U$9)=AY103,State_after_knock($U$9),Judge_01($U$9,AA48,$U$8))</f>
        <v>0</v>
      </c>
      <c r="AZ104" s="258">
        <f ca="1">IF(State_after_knock($U$9)=AZ103,State_after_knock($U$9),Judge_01($U$9,AB48,$U$8))</f>
        <v>0</v>
      </c>
      <c r="BA104" s="225">
        <f ca="1">IF(State_after_knock($U$9)=BA103,State_after_knock($U$9),Judge_01($U$9,AC48,$U$8))</f>
        <v>0</v>
      </c>
    </row>
    <row r="105" spans="2:53" x14ac:dyDescent="0.15">
      <c r="B105" s="16">
        <v>40550</v>
      </c>
      <c r="C105" s="29">
        <f t="array" ref="C105">SUMPRODUCT('ファンドデータ(変更不要)'!K105:P105,TRANSPOSE(戦略の決定!$D$13:$D$18))</f>
        <v>7.7338715406203816E-3</v>
      </c>
      <c r="D105" s="29">
        <f t="array" ref="D105">SUMPRODUCT('ファンドデータ(変更不要)'!K105:P105,TRANSPOSE(戦略の決定!$E$13:$E$18))</f>
        <v>7.86461794158415E-3</v>
      </c>
      <c r="E105" s="29">
        <f t="array" ref="E105">SUMPRODUCT('ファンドデータ(変更不要)'!K105:P105,TRANSPOSE(戦略の決定!$F$13:$F$18))</f>
        <v>7.86461794158415E-3</v>
      </c>
      <c r="F105" s="183">
        <f t="shared" si="11"/>
        <v>1.1747745100696361</v>
      </c>
      <c r="G105" s="183">
        <f t="shared" si="12"/>
        <v>1.2681853095312492</v>
      </c>
      <c r="H105" s="75">
        <f t="shared" si="13"/>
        <v>1.2681853095312492</v>
      </c>
      <c r="J105"/>
      <c r="K105"/>
      <c r="L105"/>
      <c r="M105"/>
      <c r="N105"/>
      <c r="O105"/>
      <c r="P105"/>
      <c r="AE105" s="57">
        <f t="shared" si="16"/>
        <v>238</v>
      </c>
      <c r="AF105" s="258">
        <f ca="1">IF(State_after_knock($T$9)=AF104,State_after_knock($T$9),Judge_01($T$9,T49,$T$8))</f>
        <v>0</v>
      </c>
      <c r="AG105" s="258">
        <f ca="1">IF(State_after_knock($T$9)=AG104,State_after_knock($T$9),Judge_01($T$9,U49,$T$8))</f>
        <v>0</v>
      </c>
      <c r="AH105" s="258">
        <f ca="1">IF(State_after_knock($T$9)=AH104,State_after_knock($T$9),Judge_01($T$9,V49,$T$8))</f>
        <v>0</v>
      </c>
      <c r="AI105" s="258">
        <f ca="1">IF(State_after_knock($T$9)=AI104,State_after_knock($T$9),Judge_01($T$9,W49,$T$8))</f>
        <v>0</v>
      </c>
      <c r="AJ105" s="258">
        <f ca="1">IF(State_after_knock($T$9)=AJ104,State_after_knock($T$9),Judge_01($T$9,X49,$T$8))</f>
        <v>0</v>
      </c>
      <c r="AK105" s="258">
        <f ca="1">IF(State_after_knock($T$9)=AK104,State_after_knock($T$9),Judge_01($T$9,Y49,$T$8))</f>
        <v>0</v>
      </c>
      <c r="AL105" s="258">
        <f ca="1">IF(State_after_knock($T$9)=AL104,State_after_knock($T$9),Judge_01($T$9,Z49,$T$8))</f>
        <v>0</v>
      </c>
      <c r="AM105" s="258">
        <f ca="1">IF(State_after_knock($T$9)=AM104,State_after_knock($T$9),Judge_01($T$9,AA49,$T$8))</f>
        <v>0</v>
      </c>
      <c r="AN105" s="258">
        <f ca="1">IF(State_after_knock($T$9)=AN104,State_after_knock($T$9),Judge_01($T$9,AB49,$T$8))</f>
        <v>0</v>
      </c>
      <c r="AO105" s="225">
        <f ca="1">IF(State_after_knock($T$9)=AO104,State_after_knock($T$9),Judge_01($T$9,AC49,$T$8))</f>
        <v>0</v>
      </c>
      <c r="AQ105" s="57">
        <f t="shared" si="17"/>
        <v>238</v>
      </c>
      <c r="AR105" s="258">
        <f ca="1">IF(State_after_knock($U$9)=AR104,State_after_knock($U$9),Judge_01($U$9,T49,$U$8))</f>
        <v>0</v>
      </c>
      <c r="AS105" s="258">
        <f ca="1">IF(State_after_knock($U$9)=AS104,State_after_knock($U$9),Judge_01($U$9,U49,$U$8))</f>
        <v>0</v>
      </c>
      <c r="AT105" s="258">
        <f ca="1">IF(State_after_knock($U$9)=AT104,State_after_knock($U$9),Judge_01($U$9,V49,$U$8))</f>
        <v>0</v>
      </c>
      <c r="AU105" s="258">
        <f ca="1">IF(State_after_knock($U$9)=AU104,State_after_knock($U$9),Judge_01($U$9,W49,$U$8))</f>
        <v>0</v>
      </c>
      <c r="AV105" s="258">
        <f ca="1">IF(State_after_knock($U$9)=AV104,State_after_knock($U$9),Judge_01($U$9,X49,$U$8))</f>
        <v>0</v>
      </c>
      <c r="AW105" s="258">
        <f ca="1">IF(State_after_knock($U$9)=AW104,State_after_knock($U$9),Judge_01($U$9,Y49,$U$8))</f>
        <v>0</v>
      </c>
      <c r="AX105" s="258">
        <f ca="1">IF(State_after_knock($U$9)=AX104,State_after_knock($U$9),Judge_01($U$9,Z49,$U$8))</f>
        <v>0</v>
      </c>
      <c r="AY105" s="258">
        <f ca="1">IF(State_after_knock($U$9)=AY104,State_after_knock($U$9),Judge_01($U$9,AA49,$U$8))</f>
        <v>0</v>
      </c>
      <c r="AZ105" s="258">
        <f ca="1">IF(State_after_knock($U$9)=AZ104,State_after_knock($U$9),Judge_01($U$9,AB49,$U$8))</f>
        <v>0</v>
      </c>
      <c r="BA105" s="225">
        <f ca="1">IF(State_after_knock($U$9)=BA104,State_after_knock($U$9),Judge_01($U$9,AC49,$U$8))</f>
        <v>0</v>
      </c>
    </row>
    <row r="106" spans="2:53" x14ac:dyDescent="0.15">
      <c r="B106" s="16">
        <v>40557</v>
      </c>
      <c r="C106" s="29">
        <f t="array" ref="C106">SUMPRODUCT('ファンドデータ(変更不要)'!K106:P106,TRANSPOSE(戦略の決定!$D$13:$D$18))</f>
        <v>5.3612467790283887E-3</v>
      </c>
      <c r="D106" s="29">
        <f t="array" ref="D106">SUMPRODUCT('ファンドデータ(変更不要)'!K106:P106,TRANSPOSE(戦略の決定!$E$13:$E$18))</f>
        <v>8.8255683089420896E-3</v>
      </c>
      <c r="E106" s="29">
        <f t="array" ref="E106">SUMPRODUCT('ファンドデータ(変更不要)'!K106:P106,TRANSPOSE(戦略の決定!$F$13:$F$18))</f>
        <v>8.8255683089420896E-3</v>
      </c>
      <c r="F106" s="183">
        <f t="shared" si="11"/>
        <v>1.1810727661278317</v>
      </c>
      <c r="G106" s="183">
        <f t="shared" si="12"/>
        <v>1.279377765608914</v>
      </c>
      <c r="H106" s="75">
        <f t="shared" si="13"/>
        <v>1.279377765608914</v>
      </c>
      <c r="J106"/>
      <c r="K106"/>
      <c r="L106"/>
      <c r="M106"/>
      <c r="N106"/>
      <c r="O106"/>
      <c r="P106"/>
      <c r="AE106" s="57">
        <f t="shared" si="16"/>
        <v>245</v>
      </c>
      <c r="AF106" s="258">
        <f ca="1">IF(State_after_knock($T$9)=AF105,State_after_knock($T$9),Judge_01($T$9,T50,$T$8))</f>
        <v>0</v>
      </c>
      <c r="AG106" s="258">
        <f ca="1">IF(State_after_knock($T$9)=AG105,State_after_knock($T$9),Judge_01($T$9,U50,$T$8))</f>
        <v>0</v>
      </c>
      <c r="AH106" s="258">
        <f ca="1">IF(State_after_knock($T$9)=AH105,State_after_knock($T$9),Judge_01($T$9,V50,$T$8))</f>
        <v>0</v>
      </c>
      <c r="AI106" s="258">
        <f ca="1">IF(State_after_knock($T$9)=AI105,State_after_knock($T$9),Judge_01($T$9,W50,$T$8))</f>
        <v>0</v>
      </c>
      <c r="AJ106" s="258">
        <f ca="1">IF(State_after_knock($T$9)=AJ105,State_after_knock($T$9),Judge_01($T$9,X50,$T$8))</f>
        <v>0</v>
      </c>
      <c r="AK106" s="258">
        <f ca="1">IF(State_after_knock($T$9)=AK105,State_after_knock($T$9),Judge_01($T$9,Y50,$T$8))</f>
        <v>0</v>
      </c>
      <c r="AL106" s="258">
        <f ca="1">IF(State_after_knock($T$9)=AL105,State_after_knock($T$9),Judge_01($T$9,Z50,$T$8))</f>
        <v>0</v>
      </c>
      <c r="AM106" s="258">
        <f ca="1">IF(State_after_knock($T$9)=AM105,State_after_knock($T$9),Judge_01($T$9,AA50,$T$8))</f>
        <v>0</v>
      </c>
      <c r="AN106" s="258">
        <f ca="1">IF(State_after_knock($T$9)=AN105,State_after_knock($T$9),Judge_01($T$9,AB50,$T$8))</f>
        <v>0</v>
      </c>
      <c r="AO106" s="225">
        <f ca="1">IF(State_after_knock($T$9)=AO105,State_after_knock($T$9),Judge_01($T$9,AC50,$T$8))</f>
        <v>0</v>
      </c>
      <c r="AQ106" s="57">
        <f t="shared" si="17"/>
        <v>245</v>
      </c>
      <c r="AR106" s="258">
        <f ca="1">IF(State_after_knock($U$9)=AR105,State_after_knock($U$9),Judge_01($U$9,T50,$U$8))</f>
        <v>0</v>
      </c>
      <c r="AS106" s="258">
        <f ca="1">IF(State_after_knock($U$9)=AS105,State_after_knock($U$9),Judge_01($U$9,U50,$U$8))</f>
        <v>0</v>
      </c>
      <c r="AT106" s="258">
        <f ca="1">IF(State_after_knock($U$9)=AT105,State_after_knock($U$9),Judge_01($U$9,V50,$U$8))</f>
        <v>0</v>
      </c>
      <c r="AU106" s="258">
        <f ca="1">IF(State_after_knock($U$9)=AU105,State_after_knock($U$9),Judge_01($U$9,W50,$U$8))</f>
        <v>0</v>
      </c>
      <c r="AV106" s="258">
        <f ca="1">IF(State_after_knock($U$9)=AV105,State_after_knock($U$9),Judge_01($U$9,X50,$U$8))</f>
        <v>0</v>
      </c>
      <c r="AW106" s="258">
        <f ca="1">IF(State_after_knock($U$9)=AW105,State_after_knock($U$9),Judge_01($U$9,Y50,$U$8))</f>
        <v>0</v>
      </c>
      <c r="AX106" s="258">
        <f ca="1">IF(State_after_knock($U$9)=AX105,State_after_knock($U$9),Judge_01($U$9,Z50,$U$8))</f>
        <v>0</v>
      </c>
      <c r="AY106" s="258">
        <f ca="1">IF(State_after_knock($U$9)=AY105,State_after_knock($U$9),Judge_01($U$9,AA50,$U$8))</f>
        <v>0</v>
      </c>
      <c r="AZ106" s="258">
        <f ca="1">IF(State_after_knock($U$9)=AZ105,State_after_knock($U$9),Judge_01($U$9,AB50,$U$8))</f>
        <v>0</v>
      </c>
      <c r="BA106" s="225">
        <f ca="1">IF(State_after_knock($U$9)=BA105,State_after_knock($U$9),Judge_01($U$9,AC50,$U$8))</f>
        <v>0</v>
      </c>
    </row>
    <row r="107" spans="2:53" x14ac:dyDescent="0.15">
      <c r="B107" s="16">
        <v>40564</v>
      </c>
      <c r="C107" s="29">
        <f t="array" ref="C107">SUMPRODUCT('ファンドデータ(変更不要)'!K107:P107,TRANSPOSE(戦略の決定!$D$13:$D$18))</f>
        <v>-9.3865953428635754E-3</v>
      </c>
      <c r="D107" s="29">
        <f t="array" ref="D107">SUMPRODUCT('ファンドデータ(変更不要)'!K107:P107,TRANSPOSE(戦略の決定!$E$13:$E$18))</f>
        <v>-1.4581750216126484E-2</v>
      </c>
      <c r="E107" s="29">
        <f t="array" ref="E107">SUMPRODUCT('ファンドデータ(変更不要)'!K107:P107,TRANSPOSE(戦略の決定!$F$13:$F$18))</f>
        <v>-1.4581750216126484E-2</v>
      </c>
      <c r="F107" s="183">
        <f t="shared" si="11"/>
        <v>1.1699865140017132</v>
      </c>
      <c r="G107" s="183">
        <f t="shared" si="12"/>
        <v>1.2607221985987387</v>
      </c>
      <c r="H107" s="75">
        <f t="shared" si="13"/>
        <v>1.2607221985987387</v>
      </c>
      <c r="J107"/>
      <c r="K107"/>
      <c r="L107"/>
      <c r="M107"/>
      <c r="N107"/>
      <c r="O107"/>
      <c r="P107"/>
      <c r="AE107" s="57">
        <f t="shared" si="16"/>
        <v>252</v>
      </c>
      <c r="AF107" s="258">
        <f ca="1">IF(State_after_knock($T$9)=AF106,State_after_knock($T$9),Judge_01($T$9,T51,$T$8))</f>
        <v>0</v>
      </c>
      <c r="AG107" s="258">
        <f ca="1">IF(State_after_knock($T$9)=AG106,State_after_knock($T$9),Judge_01($T$9,U51,$T$8))</f>
        <v>0</v>
      </c>
      <c r="AH107" s="258">
        <f ca="1">IF(State_after_knock($T$9)=AH106,State_after_knock($T$9),Judge_01($T$9,V51,$T$8))</f>
        <v>0</v>
      </c>
      <c r="AI107" s="258">
        <f ca="1">IF(State_after_knock($T$9)=AI106,State_after_knock($T$9),Judge_01($T$9,W51,$T$8))</f>
        <v>0</v>
      </c>
      <c r="AJ107" s="258">
        <f ca="1">IF(State_after_knock($T$9)=AJ106,State_after_knock($T$9),Judge_01($T$9,X51,$T$8))</f>
        <v>0</v>
      </c>
      <c r="AK107" s="258">
        <f ca="1">IF(State_after_knock($T$9)=AK106,State_after_knock($T$9),Judge_01($T$9,Y51,$T$8))</f>
        <v>0</v>
      </c>
      <c r="AL107" s="258">
        <f ca="1">IF(State_after_knock($T$9)=AL106,State_after_knock($T$9),Judge_01($T$9,Z51,$T$8))</f>
        <v>0</v>
      </c>
      <c r="AM107" s="258">
        <f ca="1">IF(State_after_knock($T$9)=AM106,State_after_knock($T$9),Judge_01($T$9,AA51,$T$8))</f>
        <v>0</v>
      </c>
      <c r="AN107" s="258">
        <f ca="1">IF(State_after_knock($T$9)=AN106,State_after_knock($T$9),Judge_01($T$9,AB51,$T$8))</f>
        <v>0</v>
      </c>
      <c r="AO107" s="225">
        <f ca="1">IF(State_after_knock($T$9)=AO106,State_after_knock($T$9),Judge_01($T$9,AC51,$T$8))</f>
        <v>0</v>
      </c>
      <c r="AQ107" s="57">
        <f t="shared" si="17"/>
        <v>252</v>
      </c>
      <c r="AR107" s="258">
        <f ca="1">IF(State_after_knock($U$9)=AR106,State_after_knock($U$9),Judge_01($U$9,T51,$U$8))</f>
        <v>0</v>
      </c>
      <c r="AS107" s="258">
        <f ca="1">IF(State_after_knock($U$9)=AS106,State_after_knock($U$9),Judge_01($U$9,U51,$U$8))</f>
        <v>0</v>
      </c>
      <c r="AT107" s="258">
        <f ca="1">IF(State_after_knock($U$9)=AT106,State_after_knock($U$9),Judge_01($U$9,V51,$U$8))</f>
        <v>0</v>
      </c>
      <c r="AU107" s="258">
        <f ca="1">IF(State_after_knock($U$9)=AU106,State_after_knock($U$9),Judge_01($U$9,W51,$U$8))</f>
        <v>0</v>
      </c>
      <c r="AV107" s="258">
        <f ca="1">IF(State_after_knock($U$9)=AV106,State_after_knock($U$9),Judge_01($U$9,X51,$U$8))</f>
        <v>0</v>
      </c>
      <c r="AW107" s="258">
        <f ca="1">IF(State_after_knock($U$9)=AW106,State_after_knock($U$9),Judge_01($U$9,Y51,$U$8))</f>
        <v>0</v>
      </c>
      <c r="AX107" s="258">
        <f ca="1">IF(State_after_knock($U$9)=AX106,State_after_knock($U$9),Judge_01($U$9,Z51,$U$8))</f>
        <v>0</v>
      </c>
      <c r="AY107" s="258">
        <f ca="1">IF(State_after_knock($U$9)=AY106,State_after_knock($U$9),Judge_01($U$9,AA51,$U$8))</f>
        <v>0</v>
      </c>
      <c r="AZ107" s="258">
        <f ca="1">IF(State_after_knock($U$9)=AZ106,State_after_knock($U$9),Judge_01($U$9,AB51,$U$8))</f>
        <v>0</v>
      </c>
      <c r="BA107" s="225">
        <f ca="1">IF(State_after_knock($U$9)=BA106,State_after_knock($U$9),Judge_01($U$9,AC51,$U$8))</f>
        <v>0</v>
      </c>
    </row>
    <row r="108" spans="2:53" x14ac:dyDescent="0.15">
      <c r="B108" s="16">
        <v>40571</v>
      </c>
      <c r="C108" s="29">
        <f t="array" ref="C108">SUMPRODUCT('ファンドデータ(変更不要)'!K108:P108,TRANSPOSE(戦略の決定!$D$13:$D$18))</f>
        <v>5.7367673028447088E-3</v>
      </c>
      <c r="D108" s="29">
        <f t="array" ref="D108">SUMPRODUCT('ファンドデータ(変更不要)'!K108:P108,TRANSPOSE(戦略の決定!$E$13:$E$18))</f>
        <v>7.8985721768256526E-3</v>
      </c>
      <c r="E108" s="29">
        <f t="array" ref="E108">SUMPRODUCT('ファンドデータ(変更不要)'!K108:P108,TRANSPOSE(戦略の決定!$F$13:$F$18))</f>
        <v>7.8985721768256526E-3</v>
      </c>
      <c r="F108" s="183">
        <f t="shared" si="11"/>
        <v>1.1766984543800076</v>
      </c>
      <c r="G108" s="183">
        <f t="shared" si="12"/>
        <v>1.2706801038792972</v>
      </c>
      <c r="H108" s="75">
        <f t="shared" si="13"/>
        <v>1.2706801038792972</v>
      </c>
      <c r="J108"/>
      <c r="K108"/>
      <c r="L108"/>
      <c r="M108"/>
      <c r="N108"/>
      <c r="O108"/>
      <c r="P108"/>
      <c r="AE108" s="57">
        <f t="shared" si="16"/>
        <v>259</v>
      </c>
      <c r="AF108" s="258">
        <f ca="1">IF(State_after_knock($T$9)=AF107,State_after_knock($T$9),Judge_01($T$9,T52,$T$8))</f>
        <v>0</v>
      </c>
      <c r="AG108" s="258">
        <f ca="1">IF(State_after_knock($T$9)=AG107,State_after_knock($T$9),Judge_01($T$9,U52,$T$8))</f>
        <v>0</v>
      </c>
      <c r="AH108" s="258">
        <f ca="1">IF(State_after_knock($T$9)=AH107,State_after_knock($T$9),Judge_01($T$9,V52,$T$8))</f>
        <v>0</v>
      </c>
      <c r="AI108" s="258">
        <f ca="1">IF(State_after_knock($T$9)=AI107,State_after_knock($T$9),Judge_01($T$9,W52,$T$8))</f>
        <v>0</v>
      </c>
      <c r="AJ108" s="258">
        <f ca="1">IF(State_after_knock($T$9)=AJ107,State_after_knock($T$9),Judge_01($T$9,X52,$T$8))</f>
        <v>0</v>
      </c>
      <c r="AK108" s="258">
        <f ca="1">IF(State_after_knock($T$9)=AK107,State_after_knock($T$9),Judge_01($T$9,Y52,$T$8))</f>
        <v>0</v>
      </c>
      <c r="AL108" s="258">
        <f ca="1">IF(State_after_knock($T$9)=AL107,State_after_knock($T$9),Judge_01($T$9,Z52,$T$8))</f>
        <v>0</v>
      </c>
      <c r="AM108" s="258">
        <f ca="1">IF(State_after_knock($T$9)=AM107,State_after_knock($T$9),Judge_01($T$9,AA52,$T$8))</f>
        <v>0</v>
      </c>
      <c r="AN108" s="258">
        <f ca="1">IF(State_after_knock($T$9)=AN107,State_after_knock($T$9),Judge_01($T$9,AB52,$T$8))</f>
        <v>0</v>
      </c>
      <c r="AO108" s="225">
        <f ca="1">IF(State_after_knock($T$9)=AO107,State_after_knock($T$9),Judge_01($T$9,AC52,$T$8))</f>
        <v>0</v>
      </c>
      <c r="AQ108" s="57">
        <f t="shared" si="17"/>
        <v>259</v>
      </c>
      <c r="AR108" s="258">
        <f ca="1">IF(State_after_knock($U$9)=AR107,State_after_knock($U$9),Judge_01($U$9,T52,$U$8))</f>
        <v>0</v>
      </c>
      <c r="AS108" s="258">
        <f ca="1">IF(State_after_knock($U$9)=AS107,State_after_knock($U$9),Judge_01($U$9,U52,$U$8))</f>
        <v>0</v>
      </c>
      <c r="AT108" s="258">
        <f ca="1">IF(State_after_knock($U$9)=AT107,State_after_knock($U$9),Judge_01($U$9,V52,$U$8))</f>
        <v>0</v>
      </c>
      <c r="AU108" s="258">
        <f ca="1">IF(State_after_knock($U$9)=AU107,State_after_knock($U$9),Judge_01($U$9,W52,$U$8))</f>
        <v>0</v>
      </c>
      <c r="AV108" s="258">
        <f ca="1">IF(State_after_knock($U$9)=AV107,State_after_knock($U$9),Judge_01($U$9,X52,$U$8))</f>
        <v>0</v>
      </c>
      <c r="AW108" s="258">
        <f ca="1">IF(State_after_knock($U$9)=AW107,State_after_knock($U$9),Judge_01($U$9,Y52,$U$8))</f>
        <v>0</v>
      </c>
      <c r="AX108" s="258">
        <f ca="1">IF(State_after_knock($U$9)=AX107,State_after_knock($U$9),Judge_01($U$9,Z52,$U$8))</f>
        <v>0</v>
      </c>
      <c r="AY108" s="258">
        <f ca="1">IF(State_after_knock($U$9)=AY107,State_after_knock($U$9),Judge_01($U$9,AA52,$U$8))</f>
        <v>0</v>
      </c>
      <c r="AZ108" s="258">
        <f ca="1">IF(State_after_knock($U$9)=AZ107,State_after_knock($U$9),Judge_01($U$9,AB52,$U$8))</f>
        <v>0</v>
      </c>
      <c r="BA108" s="225">
        <f ca="1">IF(State_after_knock($U$9)=BA107,State_after_knock($U$9),Judge_01($U$9,AC52,$U$8))</f>
        <v>0</v>
      </c>
    </row>
    <row r="109" spans="2:53" x14ac:dyDescent="0.15">
      <c r="B109" s="16">
        <v>40578</v>
      </c>
      <c r="C109" s="29">
        <f t="array" ref="C109">SUMPRODUCT('ファンドデータ(変更不要)'!K109:P109,TRANSPOSE(戦略の決定!$D$13:$D$18))</f>
        <v>-6.0585809767871261E-3</v>
      </c>
      <c r="D109" s="29">
        <f t="array" ref="D109">SUMPRODUCT('ファンドデータ(変更不要)'!K109:P109,TRANSPOSE(戦略の決定!$E$13:$E$18))</f>
        <v>-7.7438332927593492E-3</v>
      </c>
      <c r="E109" s="29">
        <f t="array" ref="E109">SUMPRODUCT('ファンドデータ(変更不要)'!K109:P109,TRANSPOSE(戦略の決定!$F$13:$F$18))</f>
        <v>-7.7438332927593492E-3</v>
      </c>
      <c r="F109" s="183">
        <f t="shared" si="11"/>
        <v>1.1695693315088862</v>
      </c>
      <c r="G109" s="183">
        <f t="shared" si="12"/>
        <v>1.2608401689864299</v>
      </c>
      <c r="H109" s="75">
        <f t="shared" si="13"/>
        <v>1.2608401689864299</v>
      </c>
      <c r="J109"/>
      <c r="K109"/>
      <c r="L109"/>
      <c r="M109"/>
      <c r="N109"/>
      <c r="O109"/>
      <c r="P109"/>
      <c r="AE109" s="57">
        <f t="shared" si="16"/>
        <v>266</v>
      </c>
      <c r="AF109" s="258">
        <f ca="1">IF(State_after_knock($T$9)=AF108,State_after_knock($T$9),Judge_01($T$9,T53,$T$8))</f>
        <v>0</v>
      </c>
      <c r="AG109" s="258">
        <f ca="1">IF(State_after_knock($T$9)=AG108,State_after_knock($T$9),Judge_01($T$9,U53,$T$8))</f>
        <v>0</v>
      </c>
      <c r="AH109" s="258">
        <f ca="1">IF(State_after_knock($T$9)=AH108,State_after_knock($T$9),Judge_01($T$9,V53,$T$8))</f>
        <v>0</v>
      </c>
      <c r="AI109" s="258">
        <f ca="1">IF(State_after_knock($T$9)=AI108,State_after_knock($T$9),Judge_01($T$9,W53,$T$8))</f>
        <v>0</v>
      </c>
      <c r="AJ109" s="258">
        <f ca="1">IF(State_after_knock($T$9)=AJ108,State_after_knock($T$9),Judge_01($T$9,X53,$T$8))</f>
        <v>0</v>
      </c>
      <c r="AK109" s="258">
        <f ca="1">IF(State_after_knock($T$9)=AK108,State_after_knock($T$9),Judge_01($T$9,Y53,$T$8))</f>
        <v>0</v>
      </c>
      <c r="AL109" s="258">
        <f ca="1">IF(State_after_knock($T$9)=AL108,State_after_knock($T$9),Judge_01($T$9,Z53,$T$8))</f>
        <v>0</v>
      </c>
      <c r="AM109" s="258">
        <f ca="1">IF(State_after_knock($T$9)=AM108,State_after_knock($T$9),Judge_01($T$9,AA53,$T$8))</f>
        <v>0</v>
      </c>
      <c r="AN109" s="258">
        <f ca="1">IF(State_after_knock($T$9)=AN108,State_after_knock($T$9),Judge_01($T$9,AB53,$T$8))</f>
        <v>0</v>
      </c>
      <c r="AO109" s="225">
        <f ca="1">IF(State_after_knock($T$9)=AO108,State_after_knock($T$9),Judge_01($T$9,AC53,$T$8))</f>
        <v>0</v>
      </c>
      <c r="AQ109" s="57">
        <f t="shared" si="17"/>
        <v>266</v>
      </c>
      <c r="AR109" s="258">
        <f ca="1">IF(State_after_knock($U$9)=AR108,State_after_knock($U$9),Judge_01($U$9,T53,$U$8))</f>
        <v>0</v>
      </c>
      <c r="AS109" s="258">
        <f ca="1">IF(State_after_knock($U$9)=AS108,State_after_knock($U$9),Judge_01($U$9,U53,$U$8))</f>
        <v>0</v>
      </c>
      <c r="AT109" s="258">
        <f ca="1">IF(State_after_knock($U$9)=AT108,State_after_knock($U$9),Judge_01($U$9,V53,$U$8))</f>
        <v>0</v>
      </c>
      <c r="AU109" s="258">
        <f ca="1">IF(State_after_knock($U$9)=AU108,State_after_knock($U$9),Judge_01($U$9,W53,$U$8))</f>
        <v>0</v>
      </c>
      <c r="AV109" s="258">
        <f ca="1">IF(State_after_knock($U$9)=AV108,State_after_knock($U$9),Judge_01($U$9,X53,$U$8))</f>
        <v>0</v>
      </c>
      <c r="AW109" s="258">
        <f ca="1">IF(State_after_knock($U$9)=AW108,State_after_knock($U$9),Judge_01($U$9,Y53,$U$8))</f>
        <v>0</v>
      </c>
      <c r="AX109" s="258">
        <f ca="1">IF(State_after_knock($U$9)=AX108,State_after_knock($U$9),Judge_01($U$9,Z53,$U$8))</f>
        <v>0</v>
      </c>
      <c r="AY109" s="258">
        <f ca="1">IF(State_after_knock($U$9)=AY108,State_after_knock($U$9),Judge_01($U$9,AA53,$U$8))</f>
        <v>0</v>
      </c>
      <c r="AZ109" s="258">
        <f ca="1">IF(State_after_knock($U$9)=AZ108,State_after_knock($U$9),Judge_01($U$9,AB53,$U$8))</f>
        <v>0</v>
      </c>
      <c r="BA109" s="225">
        <f ca="1">IF(State_after_knock($U$9)=BA108,State_after_knock($U$9),Judge_01($U$9,AC53,$U$8))</f>
        <v>0</v>
      </c>
    </row>
    <row r="110" spans="2:53" x14ac:dyDescent="0.15">
      <c r="B110" s="16">
        <v>40585</v>
      </c>
      <c r="C110" s="29">
        <f t="array" ref="C110">SUMPRODUCT('ファンドデータ(変更不要)'!K110:P110,TRANSPOSE(戦略の決定!$D$13:$D$18))</f>
        <v>4.1717933102571351E-4</v>
      </c>
      <c r="D110" s="29">
        <f t="array" ref="D110">SUMPRODUCT('ファンドデータ(変更不要)'!K110:P110,TRANSPOSE(戦略の決定!$E$13:$E$18))</f>
        <v>-1.0159995230358551E-3</v>
      </c>
      <c r="E110" s="29">
        <f t="array" ref="E110">SUMPRODUCT('ファンドデータ(変更不要)'!K110:P110,TRANSPOSE(戦略の決定!$F$13:$F$18))</f>
        <v>-1.0159995230358551E-3</v>
      </c>
      <c r="F110" s="183">
        <f t="shared" si="11"/>
        <v>1.1700572516601933</v>
      </c>
      <c r="G110" s="183">
        <f t="shared" si="12"/>
        <v>1.2595591559761152</v>
      </c>
      <c r="H110" s="75">
        <f t="shared" si="13"/>
        <v>1.2595591559761152</v>
      </c>
      <c r="J110"/>
      <c r="K110"/>
      <c r="L110"/>
      <c r="M110"/>
      <c r="N110"/>
      <c r="O110"/>
      <c r="P110"/>
      <c r="AE110" s="57">
        <f t="shared" si="16"/>
        <v>273</v>
      </c>
      <c r="AF110" s="258">
        <f ca="1">IF(State_after_knock($T$9)=AF109,State_after_knock($T$9),Judge_01($T$9,T54,$T$8))</f>
        <v>0</v>
      </c>
      <c r="AG110" s="258">
        <f ca="1">IF(State_after_knock($T$9)=AG109,State_after_knock($T$9),Judge_01($T$9,U54,$T$8))</f>
        <v>0</v>
      </c>
      <c r="AH110" s="258">
        <f ca="1">IF(State_after_knock($T$9)=AH109,State_after_knock($T$9),Judge_01($T$9,V54,$T$8))</f>
        <v>0</v>
      </c>
      <c r="AI110" s="258">
        <f ca="1">IF(State_after_knock($T$9)=AI109,State_after_knock($T$9),Judge_01($T$9,W54,$T$8))</f>
        <v>0</v>
      </c>
      <c r="AJ110" s="258">
        <f ca="1">IF(State_after_knock($T$9)=AJ109,State_after_knock($T$9),Judge_01($T$9,X54,$T$8))</f>
        <v>0</v>
      </c>
      <c r="AK110" s="258">
        <f ca="1">IF(State_after_knock($T$9)=AK109,State_after_knock($T$9),Judge_01($T$9,Y54,$T$8))</f>
        <v>0</v>
      </c>
      <c r="AL110" s="258">
        <f ca="1">IF(State_after_knock($T$9)=AL109,State_after_knock($T$9),Judge_01($T$9,Z54,$T$8))</f>
        <v>0</v>
      </c>
      <c r="AM110" s="258">
        <f ca="1">IF(State_after_knock($T$9)=AM109,State_after_knock($T$9),Judge_01($T$9,AA54,$T$8))</f>
        <v>0</v>
      </c>
      <c r="AN110" s="258">
        <f ca="1">IF(State_after_knock($T$9)=AN109,State_after_knock($T$9),Judge_01($T$9,AB54,$T$8))</f>
        <v>0</v>
      </c>
      <c r="AO110" s="225">
        <f ca="1">IF(State_after_knock($T$9)=AO109,State_after_knock($T$9),Judge_01($T$9,AC54,$T$8))</f>
        <v>0</v>
      </c>
      <c r="AQ110" s="57">
        <f t="shared" si="17"/>
        <v>273</v>
      </c>
      <c r="AR110" s="258">
        <f ca="1">IF(State_after_knock($U$9)=AR109,State_after_knock($U$9),Judge_01($U$9,T54,$U$8))</f>
        <v>0</v>
      </c>
      <c r="AS110" s="258">
        <f ca="1">IF(State_after_knock($U$9)=AS109,State_after_knock($U$9),Judge_01($U$9,U54,$U$8))</f>
        <v>0</v>
      </c>
      <c r="AT110" s="258">
        <f ca="1">IF(State_after_knock($U$9)=AT109,State_after_knock($U$9),Judge_01($U$9,V54,$U$8))</f>
        <v>0</v>
      </c>
      <c r="AU110" s="258">
        <f ca="1">IF(State_after_knock($U$9)=AU109,State_after_knock($U$9),Judge_01($U$9,W54,$U$8))</f>
        <v>0</v>
      </c>
      <c r="AV110" s="258">
        <f ca="1">IF(State_after_knock($U$9)=AV109,State_after_knock($U$9),Judge_01($U$9,X54,$U$8))</f>
        <v>0</v>
      </c>
      <c r="AW110" s="258">
        <f ca="1">IF(State_after_knock($U$9)=AW109,State_after_knock($U$9),Judge_01($U$9,Y54,$U$8))</f>
        <v>0</v>
      </c>
      <c r="AX110" s="258">
        <f ca="1">IF(State_after_knock($U$9)=AX109,State_after_knock($U$9),Judge_01($U$9,Z54,$U$8))</f>
        <v>0</v>
      </c>
      <c r="AY110" s="258">
        <f ca="1">IF(State_after_knock($U$9)=AY109,State_after_knock($U$9),Judge_01($U$9,AA54,$U$8))</f>
        <v>0</v>
      </c>
      <c r="AZ110" s="258">
        <f ca="1">IF(State_after_knock($U$9)=AZ109,State_after_knock($U$9),Judge_01($U$9,AB54,$U$8))</f>
        <v>0</v>
      </c>
      <c r="BA110" s="225">
        <f ca="1">IF(State_after_knock($U$9)=BA109,State_after_knock($U$9),Judge_01($U$9,AC54,$U$8))</f>
        <v>0</v>
      </c>
    </row>
    <row r="111" spans="2:53" x14ac:dyDescent="0.15">
      <c r="B111" s="16">
        <v>40592</v>
      </c>
      <c r="C111" s="29">
        <f t="array" ref="C111">SUMPRODUCT('ファンドデータ(変更不要)'!K111:P111,TRANSPOSE(戦略の決定!$D$13:$D$18))</f>
        <v>9.7066839879917377E-3</v>
      </c>
      <c r="D111" s="29">
        <f t="array" ref="D111">SUMPRODUCT('ファンドデータ(変更不要)'!K111:P111,TRANSPOSE(戦略の決定!$E$13:$E$18))</f>
        <v>1.1591142520047823E-2</v>
      </c>
      <c r="E111" s="29">
        <f t="array" ref="E111">SUMPRODUCT('ファンドデータ(変更不要)'!K111:P111,TRANSPOSE(戦略の決定!$F$13:$F$18))</f>
        <v>1.1591142520047823E-2</v>
      </c>
      <c r="F111" s="183">
        <f t="shared" si="11"/>
        <v>1.1814146276499169</v>
      </c>
      <c r="G111" s="183">
        <f t="shared" si="12"/>
        <v>1.2741588856654655</v>
      </c>
      <c r="H111" s="75">
        <f t="shared" si="13"/>
        <v>1.2741588856654655</v>
      </c>
      <c r="J111"/>
      <c r="K111"/>
      <c r="L111"/>
      <c r="M111"/>
      <c r="N111"/>
      <c r="O111"/>
      <c r="P111"/>
      <c r="AE111" s="57">
        <f t="shared" si="16"/>
        <v>280</v>
      </c>
      <c r="AF111" s="258">
        <f ca="1">IF(State_after_knock($T$9)=AF110,State_after_knock($T$9),Judge_01($T$9,T55,$T$8))</f>
        <v>0</v>
      </c>
      <c r="AG111" s="258">
        <f ca="1">IF(State_after_knock($T$9)=AG110,State_after_knock($T$9),Judge_01($T$9,U55,$T$8))</f>
        <v>0</v>
      </c>
      <c r="AH111" s="258">
        <f ca="1">IF(State_after_knock($T$9)=AH110,State_after_knock($T$9),Judge_01($T$9,V55,$T$8))</f>
        <v>0</v>
      </c>
      <c r="AI111" s="258">
        <f ca="1">IF(State_after_knock($T$9)=AI110,State_after_knock($T$9),Judge_01($T$9,W55,$T$8))</f>
        <v>0</v>
      </c>
      <c r="AJ111" s="258">
        <f ca="1">IF(State_after_knock($T$9)=AJ110,State_after_knock($T$9),Judge_01($T$9,X55,$T$8))</f>
        <v>0</v>
      </c>
      <c r="AK111" s="258">
        <f ca="1">IF(State_after_knock($T$9)=AK110,State_after_knock($T$9),Judge_01($T$9,Y55,$T$8))</f>
        <v>0</v>
      </c>
      <c r="AL111" s="258">
        <f ca="1">IF(State_after_knock($T$9)=AL110,State_after_knock($T$9),Judge_01($T$9,Z55,$T$8))</f>
        <v>0</v>
      </c>
      <c r="AM111" s="258">
        <f ca="1">IF(State_after_knock($T$9)=AM110,State_after_knock($T$9),Judge_01($T$9,AA55,$T$8))</f>
        <v>0</v>
      </c>
      <c r="AN111" s="258">
        <f ca="1">IF(State_after_knock($T$9)=AN110,State_after_knock($T$9),Judge_01($T$9,AB55,$T$8))</f>
        <v>0</v>
      </c>
      <c r="AO111" s="225">
        <f ca="1">IF(State_after_knock($T$9)=AO110,State_after_knock($T$9),Judge_01($T$9,AC55,$T$8))</f>
        <v>0</v>
      </c>
      <c r="AQ111" s="57">
        <f t="shared" si="17"/>
        <v>280</v>
      </c>
      <c r="AR111" s="258">
        <f ca="1">IF(State_after_knock($U$9)=AR110,State_after_knock($U$9),Judge_01($U$9,T55,$U$8))</f>
        <v>0</v>
      </c>
      <c r="AS111" s="258">
        <f ca="1">IF(State_after_knock($U$9)=AS110,State_after_knock($U$9),Judge_01($U$9,U55,$U$8))</f>
        <v>0</v>
      </c>
      <c r="AT111" s="258">
        <f ca="1">IF(State_after_knock($U$9)=AT110,State_after_knock($U$9),Judge_01($U$9,V55,$U$8))</f>
        <v>0</v>
      </c>
      <c r="AU111" s="258">
        <f ca="1">IF(State_after_knock($U$9)=AU110,State_after_knock($U$9),Judge_01($U$9,W55,$U$8))</f>
        <v>0</v>
      </c>
      <c r="AV111" s="258">
        <f ca="1">IF(State_after_knock($U$9)=AV110,State_after_knock($U$9),Judge_01($U$9,X55,$U$8))</f>
        <v>0</v>
      </c>
      <c r="AW111" s="258">
        <f ca="1">IF(State_after_knock($U$9)=AW110,State_after_knock($U$9),Judge_01($U$9,Y55,$U$8))</f>
        <v>0</v>
      </c>
      <c r="AX111" s="258">
        <f ca="1">IF(State_after_knock($U$9)=AX110,State_after_knock($U$9),Judge_01($U$9,Z55,$U$8))</f>
        <v>0</v>
      </c>
      <c r="AY111" s="258">
        <f ca="1">IF(State_after_knock($U$9)=AY110,State_after_knock($U$9),Judge_01($U$9,AA55,$U$8))</f>
        <v>0</v>
      </c>
      <c r="AZ111" s="258">
        <f ca="1">IF(State_after_knock($U$9)=AZ110,State_after_knock($U$9),Judge_01($U$9,AB55,$U$8))</f>
        <v>0</v>
      </c>
      <c r="BA111" s="225">
        <f ca="1">IF(State_after_knock($U$9)=BA110,State_after_knock($U$9),Judge_01($U$9,AC55,$U$8))</f>
        <v>0</v>
      </c>
    </row>
    <row r="112" spans="2:53" x14ac:dyDescent="0.15">
      <c r="B112" s="16">
        <v>40599</v>
      </c>
      <c r="C112" s="29">
        <f t="array" ref="C112">SUMPRODUCT('ファンドデータ(変更不要)'!K112:P112,TRANSPOSE(戦略の決定!$D$13:$D$18))</f>
        <v>-5.5144225060419719E-3</v>
      </c>
      <c r="D112" s="29">
        <f t="array" ref="D112">SUMPRODUCT('ファンドデータ(変更不要)'!K112:P112,TRANSPOSE(戦略の決定!$E$13:$E$18))</f>
        <v>-6.2579188934236175E-3</v>
      </c>
      <c r="E112" s="29">
        <f t="array" ref="E112">SUMPRODUCT('ファンドデータ(変更不要)'!K112:P112,TRANSPOSE(戦略の決定!$F$13:$F$18))</f>
        <v>-6.2579188934236175E-3</v>
      </c>
      <c r="F112" s="183">
        <f t="shared" si="11"/>
        <v>1.1748998082382369</v>
      </c>
      <c r="G112" s="183">
        <f t="shared" si="12"/>
        <v>1.2661853027016361</v>
      </c>
      <c r="H112" s="75">
        <f t="shared" si="13"/>
        <v>1.2661853027016361</v>
      </c>
      <c r="J112"/>
      <c r="K112"/>
      <c r="L112"/>
      <c r="M112"/>
      <c r="N112"/>
      <c r="O112"/>
      <c r="P112"/>
      <c r="AE112" s="57">
        <f t="shared" si="16"/>
        <v>287</v>
      </c>
      <c r="AF112" s="258">
        <f ca="1">IF(State_after_knock($T$9)=AF111,State_after_knock($T$9),Judge_01($T$9,T56,$T$8))</f>
        <v>0</v>
      </c>
      <c r="AG112" s="258">
        <f ca="1">IF(State_after_knock($T$9)=AG111,State_after_knock($T$9),Judge_01($T$9,U56,$T$8))</f>
        <v>0</v>
      </c>
      <c r="AH112" s="258">
        <f ca="1">IF(State_after_knock($T$9)=AH111,State_after_knock($T$9),Judge_01($T$9,V56,$T$8))</f>
        <v>0</v>
      </c>
      <c r="AI112" s="258">
        <f ca="1">IF(State_after_knock($T$9)=AI111,State_after_knock($T$9),Judge_01($T$9,W56,$T$8))</f>
        <v>0</v>
      </c>
      <c r="AJ112" s="258">
        <f ca="1">IF(State_after_knock($T$9)=AJ111,State_after_knock($T$9),Judge_01($T$9,X56,$T$8))</f>
        <v>0</v>
      </c>
      <c r="AK112" s="258">
        <f ca="1">IF(State_after_knock($T$9)=AK111,State_after_knock($T$9),Judge_01($T$9,Y56,$T$8))</f>
        <v>0</v>
      </c>
      <c r="AL112" s="258">
        <f ca="1">IF(State_after_knock($T$9)=AL111,State_after_knock($T$9),Judge_01($T$9,Z56,$T$8))</f>
        <v>0</v>
      </c>
      <c r="AM112" s="258">
        <f ca="1">IF(State_after_knock($T$9)=AM111,State_after_knock($T$9),Judge_01($T$9,AA56,$T$8))</f>
        <v>0</v>
      </c>
      <c r="AN112" s="258">
        <f ca="1">IF(State_after_knock($T$9)=AN111,State_after_knock($T$9),Judge_01($T$9,AB56,$T$8))</f>
        <v>0</v>
      </c>
      <c r="AO112" s="225">
        <f ca="1">IF(State_after_knock($T$9)=AO111,State_after_knock($T$9),Judge_01($T$9,AC56,$T$8))</f>
        <v>0</v>
      </c>
      <c r="AQ112" s="57">
        <f t="shared" si="17"/>
        <v>287</v>
      </c>
      <c r="AR112" s="258">
        <f ca="1">IF(State_after_knock($U$9)=AR111,State_after_knock($U$9),Judge_01($U$9,T56,$U$8))</f>
        <v>0</v>
      </c>
      <c r="AS112" s="258">
        <f ca="1">IF(State_after_knock($U$9)=AS111,State_after_knock($U$9),Judge_01($U$9,U56,$U$8))</f>
        <v>0</v>
      </c>
      <c r="AT112" s="258">
        <f ca="1">IF(State_after_knock($U$9)=AT111,State_after_knock($U$9),Judge_01($U$9,V56,$U$8))</f>
        <v>0</v>
      </c>
      <c r="AU112" s="258">
        <f ca="1">IF(State_after_knock($U$9)=AU111,State_after_knock($U$9),Judge_01($U$9,W56,$U$8))</f>
        <v>0</v>
      </c>
      <c r="AV112" s="258">
        <f ca="1">IF(State_after_knock($U$9)=AV111,State_after_knock($U$9),Judge_01($U$9,X56,$U$8))</f>
        <v>0</v>
      </c>
      <c r="AW112" s="258">
        <f ca="1">IF(State_after_knock($U$9)=AW111,State_after_knock($U$9),Judge_01($U$9,Y56,$U$8))</f>
        <v>0</v>
      </c>
      <c r="AX112" s="258">
        <f ca="1">IF(State_after_knock($U$9)=AX111,State_after_knock($U$9),Judge_01($U$9,Z56,$U$8))</f>
        <v>0</v>
      </c>
      <c r="AY112" s="258">
        <f ca="1">IF(State_after_knock($U$9)=AY111,State_after_knock($U$9),Judge_01($U$9,AA56,$U$8))</f>
        <v>0</v>
      </c>
      <c r="AZ112" s="258">
        <f ca="1">IF(State_after_knock($U$9)=AZ111,State_after_knock($U$9),Judge_01($U$9,AB56,$U$8))</f>
        <v>0</v>
      </c>
      <c r="BA112" s="225">
        <f ca="1">IF(State_after_knock($U$9)=BA111,State_after_knock($U$9),Judge_01($U$9,AC56,$U$8))</f>
        <v>0</v>
      </c>
    </row>
    <row r="113" spans="2:53" x14ac:dyDescent="0.15">
      <c r="B113" s="16">
        <v>40606</v>
      </c>
      <c r="C113" s="29">
        <f t="array" ref="C113">SUMPRODUCT('ファンドデータ(変更不要)'!K113:P113,TRANSPOSE(戦略の決定!$D$13:$D$18))</f>
        <v>5.4946959417983363E-3</v>
      </c>
      <c r="D113" s="29">
        <f t="array" ref="D113">SUMPRODUCT('ファンドデータ(変更不要)'!K113:P113,TRANSPOSE(戦略の決定!$E$13:$E$18))</f>
        <v>7.5509645748551187E-3</v>
      </c>
      <c r="E113" s="29">
        <f t="array" ref="E113">SUMPRODUCT('ファンドデータ(変更不要)'!K113:P113,TRANSPOSE(戦略の決定!$F$13:$F$18))</f>
        <v>7.5509645748551187E-3</v>
      </c>
      <c r="F113" s="183">
        <f t="shared" si="11"/>
        <v>1.1813555254465831</v>
      </c>
      <c r="G113" s="183">
        <f t="shared" si="12"/>
        <v>1.2757462230675383</v>
      </c>
      <c r="H113" s="75">
        <f t="shared" si="13"/>
        <v>1.2757462230675383</v>
      </c>
      <c r="J113"/>
      <c r="K113"/>
      <c r="L113"/>
      <c r="M113"/>
      <c r="N113"/>
      <c r="O113"/>
      <c r="P113"/>
      <c r="AE113" s="57">
        <f t="shared" si="16"/>
        <v>294</v>
      </c>
      <c r="AF113" s="258">
        <f ca="1">IF(State_after_knock($T$9)=AF112,State_after_knock($T$9),Judge_01($T$9,T57,$T$8))</f>
        <v>0</v>
      </c>
      <c r="AG113" s="258">
        <f ca="1">IF(State_after_knock($T$9)=AG112,State_after_knock($T$9),Judge_01($T$9,U57,$T$8))</f>
        <v>0</v>
      </c>
      <c r="AH113" s="258">
        <f ca="1">IF(State_after_knock($T$9)=AH112,State_after_knock($T$9),Judge_01($T$9,V57,$T$8))</f>
        <v>0</v>
      </c>
      <c r="AI113" s="258">
        <f ca="1">IF(State_after_knock($T$9)=AI112,State_after_knock($T$9),Judge_01($T$9,W57,$T$8))</f>
        <v>0</v>
      </c>
      <c r="AJ113" s="258">
        <f ca="1">IF(State_after_knock($T$9)=AJ112,State_after_knock($T$9),Judge_01($T$9,X57,$T$8))</f>
        <v>0</v>
      </c>
      <c r="AK113" s="258">
        <f ca="1">IF(State_after_knock($T$9)=AK112,State_after_knock($T$9),Judge_01($T$9,Y57,$T$8))</f>
        <v>0</v>
      </c>
      <c r="AL113" s="258">
        <f ca="1">IF(State_after_knock($T$9)=AL112,State_after_knock($T$9),Judge_01($T$9,Z57,$T$8))</f>
        <v>0</v>
      </c>
      <c r="AM113" s="258">
        <f ca="1">IF(State_after_knock($T$9)=AM112,State_after_knock($T$9),Judge_01($T$9,AA57,$T$8))</f>
        <v>0</v>
      </c>
      <c r="AN113" s="258">
        <f ca="1">IF(State_after_knock($T$9)=AN112,State_after_knock($T$9),Judge_01($T$9,AB57,$T$8))</f>
        <v>0</v>
      </c>
      <c r="AO113" s="225">
        <f ca="1">IF(State_after_knock($T$9)=AO112,State_after_knock($T$9),Judge_01($T$9,AC57,$T$8))</f>
        <v>0</v>
      </c>
      <c r="AQ113" s="57">
        <f t="shared" si="17"/>
        <v>294</v>
      </c>
      <c r="AR113" s="258">
        <f ca="1">IF(State_after_knock($U$9)=AR112,State_after_knock($U$9),Judge_01($U$9,T57,$U$8))</f>
        <v>0</v>
      </c>
      <c r="AS113" s="258">
        <f ca="1">IF(State_after_knock($U$9)=AS112,State_after_knock($U$9),Judge_01($U$9,U57,$U$8))</f>
        <v>0</v>
      </c>
      <c r="AT113" s="258">
        <f ca="1">IF(State_after_knock($U$9)=AT112,State_after_knock($U$9),Judge_01($U$9,V57,$U$8))</f>
        <v>0</v>
      </c>
      <c r="AU113" s="258">
        <f ca="1">IF(State_after_knock($U$9)=AU112,State_after_knock($U$9),Judge_01($U$9,W57,$U$8))</f>
        <v>0</v>
      </c>
      <c r="AV113" s="258">
        <f ca="1">IF(State_after_knock($U$9)=AV112,State_after_knock($U$9),Judge_01($U$9,X57,$U$8))</f>
        <v>0</v>
      </c>
      <c r="AW113" s="258">
        <f ca="1">IF(State_after_knock($U$9)=AW112,State_after_knock($U$9),Judge_01($U$9,Y57,$U$8))</f>
        <v>0</v>
      </c>
      <c r="AX113" s="258">
        <f ca="1">IF(State_after_knock($U$9)=AX112,State_after_knock($U$9),Judge_01($U$9,Z57,$U$8))</f>
        <v>0</v>
      </c>
      <c r="AY113" s="258">
        <f ca="1">IF(State_after_knock($U$9)=AY112,State_after_knock($U$9),Judge_01($U$9,AA57,$U$8))</f>
        <v>0</v>
      </c>
      <c r="AZ113" s="258">
        <f ca="1">IF(State_after_knock($U$9)=AZ112,State_after_knock($U$9),Judge_01($U$9,AB57,$U$8))</f>
        <v>0</v>
      </c>
      <c r="BA113" s="225">
        <f ca="1">IF(State_after_knock($U$9)=BA112,State_after_knock($U$9),Judge_01($U$9,AC57,$U$8))</f>
        <v>0</v>
      </c>
    </row>
    <row r="114" spans="2:53" x14ac:dyDescent="0.15">
      <c r="B114" s="16">
        <v>40613</v>
      </c>
      <c r="C114" s="29">
        <f t="array" ref="C114">SUMPRODUCT('ファンドデータ(変更不要)'!K114:P114,TRANSPOSE(戦略の決定!$D$13:$D$18))</f>
        <v>-9.0300926804676353E-3</v>
      </c>
      <c r="D114" s="29">
        <f t="array" ref="D114">SUMPRODUCT('ファンドデータ(変更不要)'!K114:P114,TRANSPOSE(戦略の決定!$E$13:$E$18))</f>
        <v>-1.2937504714638328E-2</v>
      </c>
      <c r="E114" s="29">
        <f t="array" ref="E114">SUMPRODUCT('ファンドデータ(変更不要)'!K114:P114,TRANSPOSE(戦略の決定!$F$13:$F$18))</f>
        <v>-1.2937504714638328E-2</v>
      </c>
      <c r="F114" s="183">
        <f t="shared" si="11"/>
        <v>1.1706877755632179</v>
      </c>
      <c r="G114" s="183">
        <f t="shared" si="12"/>
        <v>1.2592412502919199</v>
      </c>
      <c r="H114" s="75">
        <f t="shared" si="13"/>
        <v>1.2592412502919199</v>
      </c>
      <c r="J114"/>
      <c r="K114"/>
      <c r="L114"/>
      <c r="M114"/>
      <c r="N114"/>
      <c r="O114"/>
      <c r="P114"/>
      <c r="AE114" s="57">
        <f t="shared" si="16"/>
        <v>301</v>
      </c>
      <c r="AF114" s="258">
        <f ca="1">IF(State_after_knock($T$9)=AF113,State_after_knock($T$9),Judge_01($T$9,T58,$T$8))</f>
        <v>0</v>
      </c>
      <c r="AG114" s="258">
        <f ca="1">IF(State_after_knock($T$9)=AG113,State_after_knock($T$9),Judge_01($T$9,U58,$T$8))</f>
        <v>0</v>
      </c>
      <c r="AH114" s="258">
        <f ca="1">IF(State_after_knock($T$9)=AH113,State_after_knock($T$9),Judge_01($T$9,V58,$T$8))</f>
        <v>0</v>
      </c>
      <c r="AI114" s="258">
        <f ca="1">IF(State_after_knock($T$9)=AI113,State_after_knock($T$9),Judge_01($T$9,W58,$T$8))</f>
        <v>0</v>
      </c>
      <c r="AJ114" s="258">
        <f ca="1">IF(State_after_knock($T$9)=AJ113,State_after_knock($T$9),Judge_01($T$9,X58,$T$8))</f>
        <v>0</v>
      </c>
      <c r="AK114" s="258">
        <f ca="1">IF(State_after_knock($T$9)=AK113,State_after_knock($T$9),Judge_01($T$9,Y58,$T$8))</f>
        <v>0</v>
      </c>
      <c r="AL114" s="258">
        <f ca="1">IF(State_after_knock($T$9)=AL113,State_after_knock($T$9),Judge_01($T$9,Z58,$T$8))</f>
        <v>0</v>
      </c>
      <c r="AM114" s="258">
        <f ca="1">IF(State_after_knock($T$9)=AM113,State_after_knock($T$9),Judge_01($T$9,AA58,$T$8))</f>
        <v>0</v>
      </c>
      <c r="AN114" s="258">
        <f ca="1">IF(State_after_knock($T$9)=AN113,State_after_knock($T$9),Judge_01($T$9,AB58,$T$8))</f>
        <v>0</v>
      </c>
      <c r="AO114" s="225">
        <f ca="1">IF(State_after_knock($T$9)=AO113,State_after_knock($T$9),Judge_01($T$9,AC58,$T$8))</f>
        <v>0</v>
      </c>
      <c r="AQ114" s="57">
        <f t="shared" si="17"/>
        <v>301</v>
      </c>
      <c r="AR114" s="258">
        <f ca="1">IF(State_after_knock($U$9)=AR113,State_after_knock($U$9),Judge_01($U$9,T58,$U$8))</f>
        <v>0</v>
      </c>
      <c r="AS114" s="258">
        <f ca="1">IF(State_after_knock($U$9)=AS113,State_after_knock($U$9),Judge_01($U$9,U58,$U$8))</f>
        <v>0</v>
      </c>
      <c r="AT114" s="258">
        <f ca="1">IF(State_after_knock($U$9)=AT113,State_after_knock($U$9),Judge_01($U$9,V58,$U$8))</f>
        <v>0</v>
      </c>
      <c r="AU114" s="258">
        <f ca="1">IF(State_after_knock($U$9)=AU113,State_after_knock($U$9),Judge_01($U$9,W58,$U$8))</f>
        <v>0</v>
      </c>
      <c r="AV114" s="258">
        <f ca="1">IF(State_after_knock($U$9)=AV113,State_after_knock($U$9),Judge_01($U$9,X58,$U$8))</f>
        <v>0</v>
      </c>
      <c r="AW114" s="258">
        <f ca="1">IF(State_after_knock($U$9)=AW113,State_after_knock($U$9),Judge_01($U$9,Y58,$U$8))</f>
        <v>0</v>
      </c>
      <c r="AX114" s="258">
        <f ca="1">IF(State_after_knock($U$9)=AX113,State_after_knock($U$9),Judge_01($U$9,Z58,$U$8))</f>
        <v>0</v>
      </c>
      <c r="AY114" s="258">
        <f ca="1">IF(State_after_knock($U$9)=AY113,State_after_knock($U$9),Judge_01($U$9,AA58,$U$8))</f>
        <v>0</v>
      </c>
      <c r="AZ114" s="258">
        <f ca="1">IF(State_after_knock($U$9)=AZ113,State_after_knock($U$9),Judge_01($U$9,AB58,$U$8))</f>
        <v>0</v>
      </c>
      <c r="BA114" s="225">
        <f ca="1">IF(State_after_knock($U$9)=BA113,State_after_knock($U$9),Judge_01($U$9,AC58,$U$8))</f>
        <v>0</v>
      </c>
    </row>
    <row r="115" spans="2:53" x14ac:dyDescent="0.15">
      <c r="B115" s="16">
        <v>40620</v>
      </c>
      <c r="C115" s="29">
        <f t="array" ref="C115">SUMPRODUCT('ファンドデータ(変更不要)'!K115:P115,TRANSPOSE(戦略の決定!$D$13:$D$18))</f>
        <v>-2.3512168819973114E-2</v>
      </c>
      <c r="D115" s="29">
        <f t="array" ref="D115">SUMPRODUCT('ファンドデータ(変更不要)'!K115:P115,TRANSPOSE(戦略の決定!$E$13:$E$18))</f>
        <v>-2.6631616292209566E-2</v>
      </c>
      <c r="E115" s="29">
        <f t="array" ref="E115">SUMPRODUCT('ファンドデータ(変更不要)'!K115:P115,TRANSPOSE(戦略の決定!$F$13:$F$18))</f>
        <v>-2.6631616292209566E-2</v>
      </c>
      <c r="F115" s="183">
        <f t="shared" si="11"/>
        <v>1.1431623669486968</v>
      </c>
      <c r="G115" s="183">
        <f t="shared" si="12"/>
        <v>1.2257056204948233</v>
      </c>
      <c r="H115" s="75">
        <f t="shared" si="13"/>
        <v>1.2257056204948233</v>
      </c>
      <c r="J115"/>
      <c r="K115"/>
      <c r="L115"/>
      <c r="M115"/>
      <c r="N115"/>
      <c r="O115"/>
      <c r="P115"/>
      <c r="AE115" s="57">
        <f t="shared" si="16"/>
        <v>308</v>
      </c>
      <c r="AF115" s="258">
        <f ca="1">IF(State_after_knock($T$9)=AF114,State_after_knock($T$9),Judge_01($T$9,T59,$T$8))</f>
        <v>0</v>
      </c>
      <c r="AG115" s="258">
        <f ca="1">IF(State_after_knock($T$9)=AG114,State_after_knock($T$9),Judge_01($T$9,U59,$T$8))</f>
        <v>0</v>
      </c>
      <c r="AH115" s="258">
        <f ca="1">IF(State_after_knock($T$9)=AH114,State_after_knock($T$9),Judge_01($T$9,V59,$T$8))</f>
        <v>0</v>
      </c>
      <c r="AI115" s="258">
        <f ca="1">IF(State_after_knock($T$9)=AI114,State_after_knock($T$9),Judge_01($T$9,W59,$T$8))</f>
        <v>0</v>
      </c>
      <c r="AJ115" s="258">
        <f ca="1">IF(State_after_knock($T$9)=AJ114,State_after_knock($T$9),Judge_01($T$9,X59,$T$8))</f>
        <v>0</v>
      </c>
      <c r="AK115" s="258">
        <f ca="1">IF(State_after_knock($T$9)=AK114,State_after_knock($T$9),Judge_01($T$9,Y59,$T$8))</f>
        <v>0</v>
      </c>
      <c r="AL115" s="258">
        <f ca="1">IF(State_after_knock($T$9)=AL114,State_after_knock($T$9),Judge_01($T$9,Z59,$T$8))</f>
        <v>0</v>
      </c>
      <c r="AM115" s="258">
        <f ca="1">IF(State_after_knock($T$9)=AM114,State_after_knock($T$9),Judge_01($T$9,AA59,$T$8))</f>
        <v>0</v>
      </c>
      <c r="AN115" s="258">
        <f ca="1">IF(State_after_knock($T$9)=AN114,State_after_knock($T$9),Judge_01($T$9,AB59,$T$8))</f>
        <v>0</v>
      </c>
      <c r="AO115" s="225">
        <f ca="1">IF(State_after_knock($T$9)=AO114,State_after_knock($T$9),Judge_01($T$9,AC59,$T$8))</f>
        <v>0</v>
      </c>
      <c r="AQ115" s="57">
        <f t="shared" si="17"/>
        <v>308</v>
      </c>
      <c r="AR115" s="258">
        <f ca="1">IF(State_after_knock($U$9)=AR114,State_after_knock($U$9),Judge_01($U$9,T59,$U$8))</f>
        <v>0</v>
      </c>
      <c r="AS115" s="258">
        <f ca="1">IF(State_after_knock($U$9)=AS114,State_after_knock($U$9),Judge_01($U$9,U59,$U$8))</f>
        <v>0</v>
      </c>
      <c r="AT115" s="258">
        <f ca="1">IF(State_after_knock($U$9)=AT114,State_after_knock($U$9),Judge_01($U$9,V59,$U$8))</f>
        <v>0</v>
      </c>
      <c r="AU115" s="258">
        <f ca="1">IF(State_after_knock($U$9)=AU114,State_after_knock($U$9),Judge_01($U$9,W59,$U$8))</f>
        <v>0</v>
      </c>
      <c r="AV115" s="258">
        <f ca="1">IF(State_after_knock($U$9)=AV114,State_after_knock($U$9),Judge_01($U$9,X59,$U$8))</f>
        <v>0</v>
      </c>
      <c r="AW115" s="258">
        <f ca="1">IF(State_after_knock($U$9)=AW114,State_after_knock($U$9),Judge_01($U$9,Y59,$U$8))</f>
        <v>0</v>
      </c>
      <c r="AX115" s="258">
        <f ca="1">IF(State_after_knock($U$9)=AX114,State_after_knock($U$9),Judge_01($U$9,Z59,$U$8))</f>
        <v>0</v>
      </c>
      <c r="AY115" s="258">
        <f ca="1">IF(State_after_knock($U$9)=AY114,State_after_knock($U$9),Judge_01($U$9,AA59,$U$8))</f>
        <v>0</v>
      </c>
      <c r="AZ115" s="258">
        <f ca="1">IF(State_after_knock($U$9)=AZ114,State_after_knock($U$9),Judge_01($U$9,AB59,$U$8))</f>
        <v>0</v>
      </c>
      <c r="BA115" s="225">
        <f ca="1">IF(State_after_knock($U$9)=BA114,State_after_knock($U$9),Judge_01($U$9,AC59,$U$8))</f>
        <v>0</v>
      </c>
    </row>
    <row r="116" spans="2:53" x14ac:dyDescent="0.15">
      <c r="B116" s="16">
        <v>40627</v>
      </c>
      <c r="C116" s="29">
        <f t="array" ref="C116">SUMPRODUCT('ファンドデータ(変更不要)'!K116:P116,TRANSPOSE(戦略の決定!$D$13:$D$18))</f>
        <v>8.8864550514780472E-3</v>
      </c>
      <c r="D116" s="29">
        <f t="array" ref="D116">SUMPRODUCT('ファンドデータ(変更不要)'!K116:P116,TRANSPOSE(戦略の決定!$E$13:$E$18))</f>
        <v>1.2184892543108401E-2</v>
      </c>
      <c r="E116" s="29">
        <f t="array" ref="E116">SUMPRODUCT('ファンドデータ(変更不要)'!K116:P116,TRANSPOSE(戦略の決定!$F$13:$F$18))</f>
        <v>1.2184892543108401E-2</v>
      </c>
      <c r="F116" s="183">
        <f t="shared" si="11"/>
        <v>1.1533210279391275</v>
      </c>
      <c r="G116" s="183">
        <f t="shared" si="12"/>
        <v>1.2406407117700369</v>
      </c>
      <c r="H116" s="75">
        <f t="shared" si="13"/>
        <v>1.2406407117700369</v>
      </c>
      <c r="J116"/>
      <c r="K116"/>
      <c r="L116"/>
      <c r="M116"/>
      <c r="N116"/>
      <c r="O116"/>
      <c r="P116"/>
      <c r="AE116" s="57">
        <f t="shared" si="16"/>
        <v>315</v>
      </c>
      <c r="AF116" s="258">
        <f ca="1">IF(State_after_knock($T$9)=AF115,State_after_knock($T$9),Judge_01($T$9,T60,$T$8))</f>
        <v>0</v>
      </c>
      <c r="AG116" s="258">
        <f ca="1">IF(State_after_knock($T$9)=AG115,State_after_knock($T$9),Judge_01($T$9,U60,$T$8))</f>
        <v>0</v>
      </c>
      <c r="AH116" s="258">
        <f ca="1">IF(State_after_knock($T$9)=AH115,State_after_knock($T$9),Judge_01($T$9,V60,$T$8))</f>
        <v>0</v>
      </c>
      <c r="AI116" s="258">
        <f ca="1">IF(State_after_knock($T$9)=AI115,State_after_knock($T$9),Judge_01($T$9,W60,$T$8))</f>
        <v>0</v>
      </c>
      <c r="AJ116" s="258">
        <f ca="1">IF(State_after_knock($T$9)=AJ115,State_after_knock($T$9),Judge_01($T$9,X60,$T$8))</f>
        <v>0</v>
      </c>
      <c r="AK116" s="258">
        <f ca="1">IF(State_after_knock($T$9)=AK115,State_after_knock($T$9),Judge_01($T$9,Y60,$T$8))</f>
        <v>0</v>
      </c>
      <c r="AL116" s="258">
        <f ca="1">IF(State_after_knock($T$9)=AL115,State_after_knock($T$9),Judge_01($T$9,Z60,$T$8))</f>
        <v>0</v>
      </c>
      <c r="AM116" s="258">
        <f ca="1">IF(State_after_knock($T$9)=AM115,State_after_knock($T$9),Judge_01($T$9,AA60,$T$8))</f>
        <v>0</v>
      </c>
      <c r="AN116" s="258">
        <f ca="1">IF(State_after_knock($T$9)=AN115,State_after_knock($T$9),Judge_01($T$9,AB60,$T$8))</f>
        <v>0</v>
      </c>
      <c r="AO116" s="225">
        <f ca="1">IF(State_after_knock($T$9)=AO115,State_after_knock($T$9),Judge_01($T$9,AC60,$T$8))</f>
        <v>0</v>
      </c>
      <c r="AQ116" s="57">
        <f t="shared" si="17"/>
        <v>315</v>
      </c>
      <c r="AR116" s="258">
        <f ca="1">IF(State_after_knock($U$9)=AR115,State_after_knock($U$9),Judge_01($U$9,T60,$U$8))</f>
        <v>0</v>
      </c>
      <c r="AS116" s="258">
        <f ca="1">IF(State_after_knock($U$9)=AS115,State_after_knock($U$9),Judge_01($U$9,U60,$U$8))</f>
        <v>0</v>
      </c>
      <c r="AT116" s="258">
        <f ca="1">IF(State_after_knock($U$9)=AT115,State_after_knock($U$9),Judge_01($U$9,V60,$U$8))</f>
        <v>0</v>
      </c>
      <c r="AU116" s="258">
        <f ca="1">IF(State_after_knock($U$9)=AU115,State_after_knock($U$9),Judge_01($U$9,W60,$U$8))</f>
        <v>0</v>
      </c>
      <c r="AV116" s="258">
        <f ca="1">IF(State_after_knock($U$9)=AV115,State_after_knock($U$9),Judge_01($U$9,X60,$U$8))</f>
        <v>0</v>
      </c>
      <c r="AW116" s="258">
        <f ca="1">IF(State_after_knock($U$9)=AW115,State_after_knock($U$9),Judge_01($U$9,Y60,$U$8))</f>
        <v>0</v>
      </c>
      <c r="AX116" s="258">
        <f ca="1">IF(State_after_knock($U$9)=AX115,State_after_knock($U$9),Judge_01($U$9,Z60,$U$8))</f>
        <v>0</v>
      </c>
      <c r="AY116" s="258">
        <f ca="1">IF(State_after_knock($U$9)=AY115,State_after_knock($U$9),Judge_01($U$9,AA60,$U$8))</f>
        <v>0</v>
      </c>
      <c r="AZ116" s="258">
        <f ca="1">IF(State_after_knock($U$9)=AZ115,State_after_knock($U$9),Judge_01($U$9,AB60,$U$8))</f>
        <v>0</v>
      </c>
      <c r="BA116" s="225">
        <f ca="1">IF(State_after_knock($U$9)=BA115,State_after_knock($U$9),Judge_01($U$9,AC60,$U$8))</f>
        <v>0</v>
      </c>
    </row>
    <row r="117" spans="2:53" x14ac:dyDescent="0.15">
      <c r="B117" s="16">
        <v>40634</v>
      </c>
      <c r="C117" s="29">
        <f t="array" ref="C117">SUMPRODUCT('ファンドデータ(変更不要)'!K117:P117,TRANSPOSE(戦略の決定!$D$13:$D$18))</f>
        <v>1.646801488952818E-2</v>
      </c>
      <c r="D117" s="29">
        <f t="array" ref="D117">SUMPRODUCT('ファンドデータ(変更不要)'!K117:P117,TRANSPOSE(戦略の決定!$E$13:$E$18))</f>
        <v>2.0908692923143114E-2</v>
      </c>
      <c r="E117" s="29">
        <f t="array" ref="E117">SUMPRODUCT('ファンドデータ(変更不要)'!K117:P117,TRANSPOSE(戦略の決定!$F$13:$F$18))</f>
        <v>2.0908692923143114E-2</v>
      </c>
      <c r="F117" s="183">
        <f t="shared" si="11"/>
        <v>1.1723139357996351</v>
      </c>
      <c r="G117" s="183">
        <f t="shared" si="12"/>
        <v>1.2665808874403861</v>
      </c>
      <c r="H117" s="75">
        <f t="shared" si="13"/>
        <v>1.2665808874403861</v>
      </c>
      <c r="J117"/>
      <c r="K117"/>
      <c r="L117"/>
      <c r="M117"/>
      <c r="N117"/>
      <c r="O117"/>
      <c r="P117"/>
      <c r="AE117" s="57">
        <f t="shared" si="16"/>
        <v>322</v>
      </c>
      <c r="AF117" s="258">
        <f ca="1">IF(State_after_knock($T$9)=AF116,State_after_knock($T$9),Judge_01($T$9,T61,$T$8))</f>
        <v>0</v>
      </c>
      <c r="AG117" s="258">
        <f ca="1">IF(State_after_knock($T$9)=AG116,State_after_knock($T$9),Judge_01($T$9,U61,$T$8))</f>
        <v>0</v>
      </c>
      <c r="AH117" s="258">
        <f ca="1">IF(State_after_knock($T$9)=AH116,State_after_knock($T$9),Judge_01($T$9,V61,$T$8))</f>
        <v>0</v>
      </c>
      <c r="AI117" s="258">
        <f ca="1">IF(State_after_knock($T$9)=AI116,State_after_knock($T$9),Judge_01($T$9,W61,$T$8))</f>
        <v>0</v>
      </c>
      <c r="AJ117" s="258">
        <f ca="1">IF(State_after_knock($T$9)=AJ116,State_after_knock($T$9),Judge_01($T$9,X61,$T$8))</f>
        <v>0</v>
      </c>
      <c r="AK117" s="258">
        <f ca="1">IF(State_after_knock($T$9)=AK116,State_after_knock($T$9),Judge_01($T$9,Y61,$T$8))</f>
        <v>0</v>
      </c>
      <c r="AL117" s="258">
        <f ca="1">IF(State_after_knock($T$9)=AL116,State_after_knock($T$9),Judge_01($T$9,Z61,$T$8))</f>
        <v>0</v>
      </c>
      <c r="AM117" s="258">
        <f ca="1">IF(State_after_knock($T$9)=AM116,State_after_knock($T$9),Judge_01($T$9,AA61,$T$8))</f>
        <v>0</v>
      </c>
      <c r="AN117" s="258">
        <f ca="1">IF(State_after_knock($T$9)=AN116,State_after_knock($T$9),Judge_01($T$9,AB61,$T$8))</f>
        <v>0</v>
      </c>
      <c r="AO117" s="225">
        <f ca="1">IF(State_after_knock($T$9)=AO116,State_after_knock($T$9),Judge_01($T$9,AC61,$T$8))</f>
        <v>0</v>
      </c>
      <c r="AQ117" s="57">
        <f t="shared" si="17"/>
        <v>322</v>
      </c>
      <c r="AR117" s="258">
        <f ca="1">IF(State_after_knock($U$9)=AR116,State_after_knock($U$9),Judge_01($U$9,T61,$U$8))</f>
        <v>0</v>
      </c>
      <c r="AS117" s="258">
        <f ca="1">IF(State_after_knock($U$9)=AS116,State_after_knock($U$9),Judge_01($U$9,U61,$U$8))</f>
        <v>0</v>
      </c>
      <c r="AT117" s="258">
        <f ca="1">IF(State_after_knock($U$9)=AT116,State_after_knock($U$9),Judge_01($U$9,V61,$U$8))</f>
        <v>0</v>
      </c>
      <c r="AU117" s="258">
        <f ca="1">IF(State_after_knock($U$9)=AU116,State_after_knock($U$9),Judge_01($U$9,W61,$U$8))</f>
        <v>0</v>
      </c>
      <c r="AV117" s="258">
        <f ca="1">IF(State_after_knock($U$9)=AV116,State_after_knock($U$9),Judge_01($U$9,X61,$U$8))</f>
        <v>0</v>
      </c>
      <c r="AW117" s="258">
        <f ca="1">IF(State_after_knock($U$9)=AW116,State_after_knock($U$9),Judge_01($U$9,Y61,$U$8))</f>
        <v>0</v>
      </c>
      <c r="AX117" s="258">
        <f ca="1">IF(State_after_knock($U$9)=AX116,State_after_knock($U$9),Judge_01($U$9,Z61,$U$8))</f>
        <v>0</v>
      </c>
      <c r="AY117" s="258">
        <f ca="1">IF(State_after_knock($U$9)=AY116,State_after_knock($U$9),Judge_01($U$9,AA61,$U$8))</f>
        <v>0</v>
      </c>
      <c r="AZ117" s="258">
        <f ca="1">IF(State_after_knock($U$9)=AZ116,State_after_knock($U$9),Judge_01($U$9,AB61,$U$8))</f>
        <v>0</v>
      </c>
      <c r="BA117" s="225">
        <f ca="1">IF(State_after_knock($U$9)=BA116,State_after_knock($U$9),Judge_01($U$9,AC61,$U$8))</f>
        <v>0</v>
      </c>
    </row>
    <row r="118" spans="2:53" x14ac:dyDescent="0.15">
      <c r="B118" s="16">
        <v>40641</v>
      </c>
      <c r="C118" s="29">
        <f t="array" ref="C118">SUMPRODUCT('ファンドデータ(変更不要)'!K118:P118,TRANSPOSE(戦略の決定!$D$13:$D$18))</f>
        <v>5.6963172351353767E-3</v>
      </c>
      <c r="D118" s="29">
        <f t="array" ref="D118">SUMPRODUCT('ファンドデータ(変更不要)'!K118:P118,TRANSPOSE(戦略の決定!$E$13:$E$18))</f>
        <v>4.6791192124104874E-3</v>
      </c>
      <c r="E118" s="29">
        <f t="array" ref="E118">SUMPRODUCT('ファンドデータ(変更不要)'!K118:P118,TRANSPOSE(戦略の決定!$F$13:$F$18))</f>
        <v>4.6791192124104874E-3</v>
      </c>
      <c r="F118" s="183">
        <f t="shared" si="11"/>
        <v>1.17899180787712</v>
      </c>
      <c r="G118" s="183">
        <f t="shared" si="12"/>
        <v>1.2725073704048804</v>
      </c>
      <c r="H118" s="75">
        <f t="shared" si="13"/>
        <v>1.2725073704048804</v>
      </c>
      <c r="J118"/>
      <c r="K118"/>
      <c r="L118"/>
      <c r="M118"/>
      <c r="N118"/>
      <c r="O118"/>
      <c r="P118"/>
      <c r="AE118" s="57">
        <f t="shared" si="16"/>
        <v>329</v>
      </c>
      <c r="AF118" s="258">
        <f ca="1">IF(State_after_knock($T$9)=AF117,State_after_knock($T$9),Judge_01($T$9,T62,$T$8))</f>
        <v>0</v>
      </c>
      <c r="AG118" s="258">
        <f ca="1">IF(State_after_knock($T$9)=AG117,State_after_knock($T$9),Judge_01($T$9,U62,$T$8))</f>
        <v>0</v>
      </c>
      <c r="AH118" s="258">
        <f ca="1">IF(State_after_knock($T$9)=AH117,State_after_knock($T$9),Judge_01($T$9,V62,$T$8))</f>
        <v>0</v>
      </c>
      <c r="AI118" s="258">
        <f ca="1">IF(State_after_knock($T$9)=AI117,State_after_knock($T$9),Judge_01($T$9,W62,$T$8))</f>
        <v>0</v>
      </c>
      <c r="AJ118" s="258">
        <f ca="1">IF(State_after_knock($T$9)=AJ117,State_after_knock($T$9),Judge_01($T$9,X62,$T$8))</f>
        <v>0</v>
      </c>
      <c r="AK118" s="258">
        <f ca="1">IF(State_after_knock($T$9)=AK117,State_after_knock($T$9),Judge_01($T$9,Y62,$T$8))</f>
        <v>0</v>
      </c>
      <c r="AL118" s="258">
        <f ca="1">IF(State_after_knock($T$9)=AL117,State_after_knock($T$9),Judge_01($T$9,Z62,$T$8))</f>
        <v>0</v>
      </c>
      <c r="AM118" s="258">
        <f ca="1">IF(State_after_knock($T$9)=AM117,State_after_knock($T$9),Judge_01($T$9,AA62,$T$8))</f>
        <v>0</v>
      </c>
      <c r="AN118" s="258">
        <f ca="1">IF(State_after_knock($T$9)=AN117,State_after_knock($T$9),Judge_01($T$9,AB62,$T$8))</f>
        <v>0</v>
      </c>
      <c r="AO118" s="225">
        <f ca="1">IF(State_after_knock($T$9)=AO117,State_after_knock($T$9),Judge_01($T$9,AC62,$T$8))</f>
        <v>0</v>
      </c>
      <c r="AQ118" s="57">
        <f t="shared" si="17"/>
        <v>329</v>
      </c>
      <c r="AR118" s="258">
        <f ca="1">IF(State_after_knock($U$9)=AR117,State_after_knock($U$9),Judge_01($U$9,T62,$U$8))</f>
        <v>0</v>
      </c>
      <c r="AS118" s="258">
        <f ca="1">IF(State_after_knock($U$9)=AS117,State_after_knock($U$9),Judge_01($U$9,U62,$U$8))</f>
        <v>0</v>
      </c>
      <c r="AT118" s="258">
        <f ca="1">IF(State_after_knock($U$9)=AT117,State_after_knock($U$9),Judge_01($U$9,V62,$U$8))</f>
        <v>0</v>
      </c>
      <c r="AU118" s="258">
        <f ca="1">IF(State_after_knock($U$9)=AU117,State_after_knock($U$9),Judge_01($U$9,W62,$U$8))</f>
        <v>0</v>
      </c>
      <c r="AV118" s="258">
        <f ca="1">IF(State_after_knock($U$9)=AV117,State_after_knock($U$9),Judge_01($U$9,X62,$U$8))</f>
        <v>0</v>
      </c>
      <c r="AW118" s="258">
        <f ca="1">IF(State_after_knock($U$9)=AW117,State_after_knock($U$9),Judge_01($U$9,Y62,$U$8))</f>
        <v>0</v>
      </c>
      <c r="AX118" s="258">
        <f ca="1">IF(State_after_knock($U$9)=AX117,State_after_knock($U$9),Judge_01($U$9,Z62,$U$8))</f>
        <v>0</v>
      </c>
      <c r="AY118" s="258">
        <f ca="1">IF(State_after_knock($U$9)=AY117,State_after_knock($U$9),Judge_01($U$9,AA62,$U$8))</f>
        <v>0</v>
      </c>
      <c r="AZ118" s="258">
        <f ca="1">IF(State_after_knock($U$9)=AZ117,State_after_knock($U$9),Judge_01($U$9,AB62,$U$8))</f>
        <v>0</v>
      </c>
      <c r="BA118" s="225">
        <f ca="1">IF(State_after_knock($U$9)=BA117,State_after_knock($U$9),Judge_01($U$9,AC62,$U$8))</f>
        <v>0</v>
      </c>
    </row>
    <row r="119" spans="2:53" x14ac:dyDescent="0.15">
      <c r="B119" s="16">
        <v>40648</v>
      </c>
      <c r="C119" s="29">
        <f t="array" ref="C119">SUMPRODUCT('ファンドデータ(変更不要)'!K119:P119,TRANSPOSE(戦略の決定!$D$13:$D$18))</f>
        <v>-5.3150970106366898E-3</v>
      </c>
      <c r="D119" s="29">
        <f t="array" ref="D119">SUMPRODUCT('ファンドデータ(変更不要)'!K119:P119,TRANSPOSE(戦略の決定!$E$13:$E$18))</f>
        <v>-5.9554045721641208E-3</v>
      </c>
      <c r="E119" s="29">
        <f t="array" ref="E119">SUMPRODUCT('ファンドデータ(変更不要)'!K119:P119,TRANSPOSE(戦略の決定!$F$13:$F$18))</f>
        <v>-5.9554045721641208E-3</v>
      </c>
      <c r="F119" s="183">
        <f t="shared" si="11"/>
        <v>1.1727253520435073</v>
      </c>
      <c r="G119" s="183">
        <f t="shared" si="12"/>
        <v>1.2649290741930586</v>
      </c>
      <c r="H119" s="75">
        <f t="shared" si="13"/>
        <v>1.2649290741930586</v>
      </c>
      <c r="J119"/>
      <c r="K119"/>
      <c r="L119"/>
      <c r="M119"/>
      <c r="N119"/>
      <c r="O119"/>
      <c r="P119"/>
      <c r="AE119" s="57">
        <f t="shared" si="16"/>
        <v>336</v>
      </c>
      <c r="AF119" s="258">
        <f ca="1">IF(State_after_knock($T$9)=AF118,State_after_knock($T$9),Judge_01($T$9,T63,$T$8))</f>
        <v>0</v>
      </c>
      <c r="AG119" s="258">
        <f ca="1">IF(State_after_knock($T$9)=AG118,State_after_knock($T$9),Judge_01($T$9,U63,$T$8))</f>
        <v>0</v>
      </c>
      <c r="AH119" s="258">
        <f ca="1">IF(State_after_knock($T$9)=AH118,State_after_knock($T$9),Judge_01($T$9,V63,$T$8))</f>
        <v>0</v>
      </c>
      <c r="AI119" s="258">
        <f ca="1">IF(State_after_knock($T$9)=AI118,State_after_knock($T$9),Judge_01($T$9,W63,$T$8))</f>
        <v>0</v>
      </c>
      <c r="AJ119" s="258">
        <f ca="1">IF(State_after_knock($T$9)=AJ118,State_after_knock($T$9),Judge_01($T$9,X63,$T$8))</f>
        <v>0</v>
      </c>
      <c r="AK119" s="258">
        <f ca="1">IF(State_after_knock($T$9)=AK118,State_after_knock($T$9),Judge_01($T$9,Y63,$T$8))</f>
        <v>0</v>
      </c>
      <c r="AL119" s="258">
        <f ca="1">IF(State_after_knock($T$9)=AL118,State_after_knock($T$9),Judge_01($T$9,Z63,$T$8))</f>
        <v>0</v>
      </c>
      <c r="AM119" s="258">
        <f ca="1">IF(State_after_knock($T$9)=AM118,State_after_knock($T$9),Judge_01($T$9,AA63,$T$8))</f>
        <v>0</v>
      </c>
      <c r="AN119" s="258">
        <f ca="1">IF(State_after_knock($T$9)=AN118,State_after_knock($T$9),Judge_01($T$9,AB63,$T$8))</f>
        <v>0</v>
      </c>
      <c r="AO119" s="225">
        <f ca="1">IF(State_after_knock($T$9)=AO118,State_after_knock($T$9),Judge_01($T$9,AC63,$T$8))</f>
        <v>0</v>
      </c>
      <c r="AQ119" s="57">
        <f t="shared" si="17"/>
        <v>336</v>
      </c>
      <c r="AR119" s="258">
        <f ca="1">IF(State_after_knock($U$9)=AR118,State_after_knock($U$9),Judge_01($U$9,T63,$U$8))</f>
        <v>0</v>
      </c>
      <c r="AS119" s="258">
        <f ca="1">IF(State_after_knock($U$9)=AS118,State_after_knock($U$9),Judge_01($U$9,U63,$U$8))</f>
        <v>0</v>
      </c>
      <c r="AT119" s="258">
        <f ca="1">IF(State_after_knock($U$9)=AT118,State_after_knock($U$9),Judge_01($U$9,V63,$U$8))</f>
        <v>0</v>
      </c>
      <c r="AU119" s="258">
        <f ca="1">IF(State_after_knock($U$9)=AU118,State_after_knock($U$9),Judge_01($U$9,W63,$U$8))</f>
        <v>0</v>
      </c>
      <c r="AV119" s="258">
        <f ca="1">IF(State_after_knock($U$9)=AV118,State_after_knock($U$9),Judge_01($U$9,X63,$U$8))</f>
        <v>0</v>
      </c>
      <c r="AW119" s="258">
        <f ca="1">IF(State_after_knock($U$9)=AW118,State_after_knock($U$9),Judge_01($U$9,Y63,$U$8))</f>
        <v>0</v>
      </c>
      <c r="AX119" s="258">
        <f ca="1">IF(State_after_knock($U$9)=AX118,State_after_knock($U$9),Judge_01($U$9,Z63,$U$8))</f>
        <v>0</v>
      </c>
      <c r="AY119" s="258">
        <f ca="1">IF(State_after_knock($U$9)=AY118,State_after_knock($U$9),Judge_01($U$9,AA63,$U$8))</f>
        <v>0</v>
      </c>
      <c r="AZ119" s="258">
        <f ca="1">IF(State_after_knock($U$9)=AZ118,State_after_knock($U$9),Judge_01($U$9,AB63,$U$8))</f>
        <v>0</v>
      </c>
      <c r="BA119" s="225">
        <f ca="1">IF(State_after_knock($U$9)=BA118,State_after_knock($U$9),Judge_01($U$9,AC63,$U$8))</f>
        <v>0</v>
      </c>
    </row>
    <row r="120" spans="2:53" x14ac:dyDescent="0.15">
      <c r="B120" s="16">
        <v>40655</v>
      </c>
      <c r="C120" s="29">
        <f t="array" ref="C120">SUMPRODUCT('ファンドデータ(変更不要)'!K120:P120,TRANSPOSE(戦略の決定!$D$13:$D$18))</f>
        <v>-1.1640253278164675E-4</v>
      </c>
      <c r="D120" s="29">
        <f t="array" ref="D120">SUMPRODUCT('ファンドデータ(変更不要)'!K120:P120,TRANSPOSE(戦略の決定!$E$13:$E$18))</f>
        <v>9.0554714381616257E-4</v>
      </c>
      <c r="E120" s="29">
        <f t="array" ref="E120">SUMPRODUCT('ファンドデータ(変更不要)'!K120:P120,TRANSPOSE(戦略の決定!$F$13:$F$18))</f>
        <v>9.0554714381616257E-4</v>
      </c>
      <c r="F120" s="183">
        <f t="shared" si="11"/>
        <v>1.172588843842272</v>
      </c>
      <c r="G120" s="183">
        <f t="shared" si="12"/>
        <v>1.2660745271033242</v>
      </c>
      <c r="H120" s="75">
        <f t="shared" si="13"/>
        <v>1.2660745271033242</v>
      </c>
      <c r="J120"/>
      <c r="K120"/>
      <c r="L120"/>
      <c r="M120"/>
      <c r="N120"/>
      <c r="O120"/>
      <c r="P120"/>
      <c r="AE120" s="57">
        <f t="shared" si="16"/>
        <v>343</v>
      </c>
      <c r="AF120" s="258">
        <f ca="1">IF(State_after_knock($T$9)=AF119,State_after_knock($T$9),Judge_01($T$9,T64,$T$8))</f>
        <v>0</v>
      </c>
      <c r="AG120" s="258">
        <f ca="1">IF(State_after_knock($T$9)=AG119,State_after_knock($T$9),Judge_01($T$9,U64,$T$8))</f>
        <v>0</v>
      </c>
      <c r="AH120" s="258">
        <f ca="1">IF(State_after_knock($T$9)=AH119,State_after_knock($T$9),Judge_01($T$9,V64,$T$8))</f>
        <v>0</v>
      </c>
      <c r="AI120" s="258">
        <f ca="1">IF(State_after_knock($T$9)=AI119,State_after_knock($T$9),Judge_01($T$9,W64,$T$8))</f>
        <v>0</v>
      </c>
      <c r="AJ120" s="258">
        <f ca="1">IF(State_after_knock($T$9)=AJ119,State_after_knock($T$9),Judge_01($T$9,X64,$T$8))</f>
        <v>0</v>
      </c>
      <c r="AK120" s="258">
        <f ca="1">IF(State_after_knock($T$9)=AK119,State_after_knock($T$9),Judge_01($T$9,Y64,$T$8))</f>
        <v>0</v>
      </c>
      <c r="AL120" s="258">
        <f ca="1">IF(State_after_knock($T$9)=AL119,State_after_knock($T$9),Judge_01($T$9,Z64,$T$8))</f>
        <v>0</v>
      </c>
      <c r="AM120" s="258">
        <f ca="1">IF(State_after_knock($T$9)=AM119,State_after_knock($T$9),Judge_01($T$9,AA64,$T$8))</f>
        <v>0</v>
      </c>
      <c r="AN120" s="258">
        <f ca="1">IF(State_after_knock($T$9)=AN119,State_after_knock($T$9),Judge_01($T$9,AB64,$T$8))</f>
        <v>0</v>
      </c>
      <c r="AO120" s="225">
        <f ca="1">IF(State_after_knock($T$9)=AO119,State_after_knock($T$9),Judge_01($T$9,AC64,$T$8))</f>
        <v>0</v>
      </c>
      <c r="AQ120" s="57">
        <f t="shared" si="17"/>
        <v>343</v>
      </c>
      <c r="AR120" s="258">
        <f ca="1">IF(State_after_knock($U$9)=AR119,State_after_knock($U$9),Judge_01($U$9,T64,$U$8))</f>
        <v>0</v>
      </c>
      <c r="AS120" s="258">
        <f ca="1">IF(State_after_knock($U$9)=AS119,State_after_knock($U$9),Judge_01($U$9,U64,$U$8))</f>
        <v>0</v>
      </c>
      <c r="AT120" s="258">
        <f ca="1">IF(State_after_knock($U$9)=AT119,State_after_knock($U$9),Judge_01($U$9,V64,$U$8))</f>
        <v>0</v>
      </c>
      <c r="AU120" s="258">
        <f ca="1">IF(State_after_knock($U$9)=AU119,State_after_knock($U$9),Judge_01($U$9,W64,$U$8))</f>
        <v>0</v>
      </c>
      <c r="AV120" s="258">
        <f ca="1">IF(State_after_knock($U$9)=AV119,State_after_knock($U$9),Judge_01($U$9,X64,$U$8))</f>
        <v>0</v>
      </c>
      <c r="AW120" s="258">
        <f ca="1">IF(State_after_knock($U$9)=AW119,State_after_knock($U$9),Judge_01($U$9,Y64,$U$8))</f>
        <v>0</v>
      </c>
      <c r="AX120" s="258">
        <f ca="1">IF(State_after_knock($U$9)=AX119,State_after_knock($U$9),Judge_01($U$9,Z64,$U$8))</f>
        <v>0</v>
      </c>
      <c r="AY120" s="258">
        <f ca="1">IF(State_after_knock($U$9)=AY119,State_after_knock($U$9),Judge_01($U$9,AA64,$U$8))</f>
        <v>0</v>
      </c>
      <c r="AZ120" s="258">
        <f ca="1">IF(State_after_knock($U$9)=AZ119,State_after_knock($U$9),Judge_01($U$9,AB64,$U$8))</f>
        <v>0</v>
      </c>
      <c r="BA120" s="225">
        <f ca="1">IF(State_after_knock($U$9)=BA119,State_after_knock($U$9),Judge_01($U$9,AC64,$U$8))</f>
        <v>0</v>
      </c>
    </row>
    <row r="121" spans="2:53" x14ac:dyDescent="0.15">
      <c r="B121" s="16">
        <v>40662</v>
      </c>
      <c r="C121" s="29">
        <f t="array" ref="C121">SUMPRODUCT('ファンドデータ(変更不要)'!K121:P121,TRANSPOSE(戦略の決定!$D$13:$D$18))</f>
        <v>1.0833504279538234E-2</v>
      </c>
      <c r="D121" s="29">
        <f t="array" ref="D121">SUMPRODUCT('ファンドデータ(変更不要)'!K121:P121,TRANSPOSE(戦略の決定!$E$13:$E$18))</f>
        <v>1.3027168483716614E-2</v>
      </c>
      <c r="E121" s="29">
        <f t="array" ref="E121">SUMPRODUCT('ファンドデータ(変更不要)'!K121:P121,TRANSPOSE(戦略の決定!$F$13:$F$18))</f>
        <v>1.3027168483716614E-2</v>
      </c>
      <c r="F121" s="183">
        <f t="shared" si="11"/>
        <v>1.185292090100176</v>
      </c>
      <c r="G121" s="183">
        <f t="shared" si="12"/>
        <v>1.2825678932808411</v>
      </c>
      <c r="H121" s="75">
        <f t="shared" si="13"/>
        <v>1.2825678932808411</v>
      </c>
      <c r="J121"/>
      <c r="K121"/>
      <c r="L121"/>
      <c r="M121"/>
      <c r="N121"/>
      <c r="O121"/>
      <c r="P121"/>
      <c r="AE121" s="57">
        <f t="shared" si="16"/>
        <v>350</v>
      </c>
      <c r="AF121" s="258">
        <f ca="1">IF(State_after_knock($T$9)=AF120,State_after_knock($T$9),Judge_01($T$9,T65,$T$8))</f>
        <v>0</v>
      </c>
      <c r="AG121" s="258">
        <f ca="1">IF(State_after_knock($T$9)=AG120,State_after_knock($T$9),Judge_01($T$9,U65,$T$8))</f>
        <v>0</v>
      </c>
      <c r="AH121" s="258">
        <f ca="1">IF(State_after_knock($T$9)=AH120,State_after_knock($T$9),Judge_01($T$9,V65,$T$8))</f>
        <v>0</v>
      </c>
      <c r="AI121" s="258">
        <f ca="1">IF(State_after_knock($T$9)=AI120,State_after_knock($T$9),Judge_01($T$9,W65,$T$8))</f>
        <v>0</v>
      </c>
      <c r="AJ121" s="258">
        <f ca="1">IF(State_after_knock($T$9)=AJ120,State_after_knock($T$9),Judge_01($T$9,X65,$T$8))</f>
        <v>0</v>
      </c>
      <c r="AK121" s="258">
        <f ca="1">IF(State_after_knock($T$9)=AK120,State_after_knock($T$9),Judge_01($T$9,Y65,$T$8))</f>
        <v>0</v>
      </c>
      <c r="AL121" s="258">
        <f ca="1">IF(State_after_knock($T$9)=AL120,State_after_knock($T$9),Judge_01($T$9,Z65,$T$8))</f>
        <v>0</v>
      </c>
      <c r="AM121" s="258">
        <f ca="1">IF(State_after_knock($T$9)=AM120,State_after_knock($T$9),Judge_01($T$9,AA65,$T$8))</f>
        <v>0</v>
      </c>
      <c r="AN121" s="258">
        <f ca="1">IF(State_after_knock($T$9)=AN120,State_after_knock($T$9),Judge_01($T$9,AB65,$T$8))</f>
        <v>0</v>
      </c>
      <c r="AO121" s="225">
        <f ca="1">IF(State_after_knock($T$9)=AO120,State_after_knock($T$9),Judge_01($T$9,AC65,$T$8))</f>
        <v>0</v>
      </c>
      <c r="AQ121" s="57">
        <f t="shared" si="17"/>
        <v>350</v>
      </c>
      <c r="AR121" s="258">
        <f ca="1">IF(State_after_knock($U$9)=AR120,State_after_knock($U$9),Judge_01($U$9,T65,$U$8))</f>
        <v>0</v>
      </c>
      <c r="AS121" s="258">
        <f ca="1">IF(State_after_knock($U$9)=AS120,State_after_knock($U$9),Judge_01($U$9,U65,$U$8))</f>
        <v>0</v>
      </c>
      <c r="AT121" s="258">
        <f ca="1">IF(State_after_knock($U$9)=AT120,State_after_knock($U$9),Judge_01($U$9,V65,$U$8))</f>
        <v>0</v>
      </c>
      <c r="AU121" s="258">
        <f ca="1">IF(State_after_knock($U$9)=AU120,State_after_knock($U$9),Judge_01($U$9,W65,$U$8))</f>
        <v>0</v>
      </c>
      <c r="AV121" s="258">
        <f ca="1">IF(State_after_knock($U$9)=AV120,State_after_knock($U$9),Judge_01($U$9,X65,$U$8))</f>
        <v>0</v>
      </c>
      <c r="AW121" s="258">
        <f ca="1">IF(State_after_knock($U$9)=AW120,State_after_knock($U$9),Judge_01($U$9,Y65,$U$8))</f>
        <v>0</v>
      </c>
      <c r="AX121" s="258">
        <f ca="1">IF(State_after_knock($U$9)=AX120,State_after_knock($U$9),Judge_01($U$9,Z65,$U$8))</f>
        <v>0</v>
      </c>
      <c r="AY121" s="258">
        <f ca="1">IF(State_after_knock($U$9)=AY120,State_after_knock($U$9),Judge_01($U$9,AA65,$U$8))</f>
        <v>0</v>
      </c>
      <c r="AZ121" s="258">
        <f ca="1">IF(State_after_knock($U$9)=AZ120,State_after_knock($U$9),Judge_01($U$9,AB65,$U$8))</f>
        <v>0</v>
      </c>
      <c r="BA121" s="225">
        <f ca="1">IF(State_after_knock($U$9)=BA120,State_after_knock($U$9),Judge_01($U$9,AC65,$U$8))</f>
        <v>0</v>
      </c>
    </row>
    <row r="122" spans="2:53" x14ac:dyDescent="0.15">
      <c r="B122" s="16">
        <v>40669</v>
      </c>
      <c r="C122" s="29">
        <f t="array" ref="C122">SUMPRODUCT('ファンドデータ(変更不要)'!K122:P122,TRANSPOSE(戦略の決定!$D$13:$D$18))</f>
        <v>-7.837745032519973E-3</v>
      </c>
      <c r="D122" s="29">
        <f t="array" ref="D122">SUMPRODUCT('ファンドデータ(変更不要)'!K122:P122,TRANSPOSE(戦略の決定!$E$13:$E$18))</f>
        <v>-1.0251699771562371E-2</v>
      </c>
      <c r="E122" s="29">
        <f t="array" ref="E122">SUMPRODUCT('ファンドデータ(変更不要)'!K122:P122,TRANSPOSE(戦略の決定!$F$13:$F$18))</f>
        <v>-1.0251699771562371E-2</v>
      </c>
      <c r="F122" s="183">
        <f t="shared" si="11"/>
        <v>1.176002072908908</v>
      </c>
      <c r="G122" s="183">
        <f t="shared" si="12"/>
        <v>1.2694193923022807</v>
      </c>
      <c r="H122" s="75">
        <f t="shared" si="13"/>
        <v>1.2694193923022807</v>
      </c>
      <c r="J122"/>
      <c r="K122"/>
      <c r="L122"/>
      <c r="M122"/>
      <c r="N122"/>
      <c r="O122"/>
      <c r="P122"/>
      <c r="AE122" s="57">
        <f t="shared" si="16"/>
        <v>357</v>
      </c>
      <c r="AF122" s="258">
        <f ca="1">IF(State_after_knock($T$9)=AF121,State_after_knock($T$9),Judge_01($T$9,T66,$T$8))</f>
        <v>0</v>
      </c>
      <c r="AG122" s="258">
        <f ca="1">IF(State_after_knock($T$9)=AG121,State_after_knock($T$9),Judge_01($T$9,U66,$T$8))</f>
        <v>0</v>
      </c>
      <c r="AH122" s="258">
        <f ca="1">IF(State_after_knock($T$9)=AH121,State_after_knock($T$9),Judge_01($T$9,V66,$T$8))</f>
        <v>0</v>
      </c>
      <c r="AI122" s="258">
        <f ca="1">IF(State_after_knock($T$9)=AI121,State_after_knock($T$9),Judge_01($T$9,W66,$T$8))</f>
        <v>0</v>
      </c>
      <c r="AJ122" s="258">
        <f ca="1">IF(State_after_knock($T$9)=AJ121,State_after_knock($T$9),Judge_01($T$9,X66,$T$8))</f>
        <v>0</v>
      </c>
      <c r="AK122" s="258">
        <f ca="1">IF(State_after_knock($T$9)=AK121,State_after_knock($T$9),Judge_01($T$9,Y66,$T$8))</f>
        <v>0</v>
      </c>
      <c r="AL122" s="258">
        <f ca="1">IF(State_after_knock($T$9)=AL121,State_after_knock($T$9),Judge_01($T$9,Z66,$T$8))</f>
        <v>0</v>
      </c>
      <c r="AM122" s="258">
        <f ca="1">IF(State_after_knock($T$9)=AM121,State_after_knock($T$9),Judge_01($T$9,AA66,$T$8))</f>
        <v>0</v>
      </c>
      <c r="AN122" s="258">
        <f ca="1">IF(State_after_knock($T$9)=AN121,State_after_knock($T$9),Judge_01($T$9,AB66,$T$8))</f>
        <v>0</v>
      </c>
      <c r="AO122" s="225">
        <f ca="1">IF(State_after_knock($T$9)=AO121,State_after_knock($T$9),Judge_01($T$9,AC66,$T$8))</f>
        <v>0</v>
      </c>
      <c r="AQ122" s="57">
        <f t="shared" si="17"/>
        <v>357</v>
      </c>
      <c r="AR122" s="258">
        <f ca="1">IF(State_after_knock($U$9)=AR121,State_after_knock($U$9),Judge_01($U$9,T66,$U$8))</f>
        <v>0</v>
      </c>
      <c r="AS122" s="258">
        <f ca="1">IF(State_after_knock($U$9)=AS121,State_after_knock($U$9),Judge_01($U$9,U66,$U$8))</f>
        <v>0</v>
      </c>
      <c r="AT122" s="258">
        <f ca="1">IF(State_after_knock($U$9)=AT121,State_after_knock($U$9),Judge_01($U$9,V66,$U$8))</f>
        <v>0</v>
      </c>
      <c r="AU122" s="258">
        <f ca="1">IF(State_after_knock($U$9)=AU121,State_after_knock($U$9),Judge_01($U$9,W66,$U$8))</f>
        <v>0</v>
      </c>
      <c r="AV122" s="258">
        <f ca="1">IF(State_after_knock($U$9)=AV121,State_after_knock($U$9),Judge_01($U$9,X66,$U$8))</f>
        <v>0</v>
      </c>
      <c r="AW122" s="258">
        <f ca="1">IF(State_after_knock($U$9)=AW121,State_after_knock($U$9),Judge_01($U$9,Y66,$U$8))</f>
        <v>0</v>
      </c>
      <c r="AX122" s="258">
        <f ca="1">IF(State_after_knock($U$9)=AX121,State_after_knock($U$9),Judge_01($U$9,Z66,$U$8))</f>
        <v>0</v>
      </c>
      <c r="AY122" s="258">
        <f ca="1">IF(State_after_knock($U$9)=AY121,State_after_knock($U$9),Judge_01($U$9,AA66,$U$8))</f>
        <v>0</v>
      </c>
      <c r="AZ122" s="258">
        <f ca="1">IF(State_after_knock($U$9)=AZ121,State_after_knock($U$9),Judge_01($U$9,AB66,$U$8))</f>
        <v>0</v>
      </c>
      <c r="BA122" s="225">
        <f ca="1">IF(State_after_knock($U$9)=BA121,State_after_knock($U$9),Judge_01($U$9,AC66,$U$8))</f>
        <v>0</v>
      </c>
    </row>
    <row r="123" spans="2:53" ht="16.5" thickBot="1" x14ac:dyDescent="0.2">
      <c r="B123" s="16">
        <v>40676</v>
      </c>
      <c r="C123" s="29">
        <f t="array" ref="C123">SUMPRODUCT('ファンドデータ(変更不要)'!K123:P123,TRANSPOSE(戦略の決定!$D$13:$D$18))</f>
        <v>-6.3609419559246712E-3</v>
      </c>
      <c r="D123" s="29">
        <f t="array" ref="D123">SUMPRODUCT('ファンドデータ(変更不要)'!K123:P123,TRANSPOSE(戦略の決定!$E$13:$E$18))</f>
        <v>-8.4738184650795124E-3</v>
      </c>
      <c r="E123" s="29">
        <f t="array" ref="E123">SUMPRODUCT('ファンドデータ(変更不要)'!K123:P123,TRANSPOSE(戦略の決定!$F$13:$F$18))</f>
        <v>-8.4738184650795124E-3</v>
      </c>
      <c r="F123" s="183">
        <f t="shared" si="11"/>
        <v>1.1685215919830874</v>
      </c>
      <c r="G123" s="183">
        <f t="shared" si="12"/>
        <v>1.2586625628158596</v>
      </c>
      <c r="H123" s="75">
        <f t="shared" si="13"/>
        <v>1.2586625628158596</v>
      </c>
      <c r="J123"/>
      <c r="K123"/>
      <c r="L123"/>
      <c r="M123"/>
      <c r="N123"/>
      <c r="O123"/>
      <c r="P123"/>
      <c r="AE123" s="34">
        <f t="shared" si="16"/>
        <v>364</v>
      </c>
      <c r="AF123" s="259">
        <f ca="1">IF(State_after_knock($T$9)=AF122,State_after_knock($T$9),Judge_01($T$9,T67,$T$8))</f>
        <v>0</v>
      </c>
      <c r="AG123" s="259">
        <f ca="1">IF(State_after_knock($T$9)=AG122,State_after_knock($T$9),Judge_01($T$9,U67,$T$8))</f>
        <v>0</v>
      </c>
      <c r="AH123" s="259">
        <f ca="1">IF(State_after_knock($T$9)=AH122,State_after_knock($T$9),Judge_01($T$9,V67,$T$8))</f>
        <v>0</v>
      </c>
      <c r="AI123" s="259">
        <f ca="1">IF(State_after_knock($T$9)=AI122,State_after_knock($T$9),Judge_01($T$9,W67,$T$8))</f>
        <v>0</v>
      </c>
      <c r="AJ123" s="259">
        <f ca="1">IF(State_after_knock($T$9)=AJ122,State_after_knock($T$9),Judge_01($T$9,X67,$T$8))</f>
        <v>0</v>
      </c>
      <c r="AK123" s="259">
        <f ca="1">IF(State_after_knock($T$9)=AK122,State_after_knock($T$9),Judge_01($T$9,Y67,$T$8))</f>
        <v>0</v>
      </c>
      <c r="AL123" s="259">
        <f ca="1">IF(State_after_knock($T$9)=AL122,State_after_knock($T$9),Judge_01($T$9,Z67,$T$8))</f>
        <v>0</v>
      </c>
      <c r="AM123" s="259">
        <f ca="1">IF(State_after_knock($T$9)=AM122,State_after_knock($T$9),Judge_01($T$9,AA67,$T$8))</f>
        <v>0</v>
      </c>
      <c r="AN123" s="259">
        <f ca="1">IF(State_after_knock($T$9)=AN122,State_after_knock($T$9),Judge_01($T$9,AB67,$T$8))</f>
        <v>0</v>
      </c>
      <c r="AO123" s="227">
        <f ca="1">IF(State_after_knock($T$9)=AO122,State_after_knock($T$9),Judge_01($T$9,AC67,$T$8))</f>
        <v>0</v>
      </c>
      <c r="AQ123" s="34">
        <f t="shared" si="17"/>
        <v>364</v>
      </c>
      <c r="AR123" s="259">
        <f ca="1">IF(State_after_knock($U$9)=AR122,State_after_knock($U$9),Judge_01($U$9,T67,$U$8))</f>
        <v>0</v>
      </c>
      <c r="AS123" s="259">
        <f ca="1">IF(State_after_knock($U$9)=AS122,State_after_knock($U$9),Judge_01($U$9,U67,$U$8))</f>
        <v>0</v>
      </c>
      <c r="AT123" s="259">
        <f ca="1">IF(State_after_knock($U$9)=AT122,State_after_knock($U$9),Judge_01($U$9,V67,$U$8))</f>
        <v>0</v>
      </c>
      <c r="AU123" s="259">
        <f ca="1">IF(State_after_knock($U$9)=AU122,State_after_knock($U$9),Judge_01($U$9,W67,$U$8))</f>
        <v>0</v>
      </c>
      <c r="AV123" s="259">
        <f ca="1">IF(State_after_knock($U$9)=AV122,State_after_knock($U$9),Judge_01($U$9,X67,$U$8))</f>
        <v>0</v>
      </c>
      <c r="AW123" s="259">
        <f ca="1">IF(State_after_knock($U$9)=AW122,State_after_knock($U$9),Judge_01($U$9,Y67,$U$8))</f>
        <v>0</v>
      </c>
      <c r="AX123" s="259">
        <f ca="1">IF(State_after_knock($U$9)=AX122,State_after_knock($U$9),Judge_01($U$9,Z67,$U$8))</f>
        <v>0</v>
      </c>
      <c r="AY123" s="259">
        <f ca="1">IF(State_after_knock($U$9)=AY122,State_after_knock($U$9),Judge_01($U$9,AA67,$U$8))</f>
        <v>0</v>
      </c>
      <c r="AZ123" s="259">
        <f ca="1">IF(State_after_knock($U$9)=AZ122,State_after_knock($U$9),Judge_01($U$9,AB67,$U$8))</f>
        <v>0</v>
      </c>
      <c r="BA123" s="227">
        <f ca="1">IF(State_after_knock($U$9)=BA122,State_after_knock($U$9),Judge_01($U$9,AC67,$U$8))</f>
        <v>0</v>
      </c>
    </row>
    <row r="124" spans="2:53" x14ac:dyDescent="0.15">
      <c r="B124" s="16">
        <v>40683</v>
      </c>
      <c r="C124" s="29">
        <f t="array" ref="C124">SUMPRODUCT('ファンドデータ(変更不要)'!K124:P124,TRANSPOSE(戦略の決定!$D$13:$D$18))</f>
        <v>4.2556157511809073E-3</v>
      </c>
      <c r="D124" s="29">
        <f t="array" ref="D124">SUMPRODUCT('ファンドデータ(変更不要)'!K124:P124,TRANSPOSE(戦略の決定!$E$13:$E$18))</f>
        <v>6.1301751788651083E-3</v>
      </c>
      <c r="E124" s="29">
        <f t="array" ref="E124">SUMPRODUCT('ファンドデータ(変更不要)'!K124:P124,TRANSPOSE(戦略の決定!$F$13:$F$18))</f>
        <v>6.1301751788651083E-3</v>
      </c>
      <c r="F124" s="183">
        <f t="shared" si="11"/>
        <v>1.1734943708755254</v>
      </c>
      <c r="G124" s="183">
        <f t="shared" si="12"/>
        <v>1.2663783848170003</v>
      </c>
      <c r="H124" s="75">
        <f t="shared" si="13"/>
        <v>1.2663783848170003</v>
      </c>
      <c r="J124"/>
      <c r="K124"/>
      <c r="L124"/>
      <c r="M124"/>
      <c r="N124"/>
      <c r="O124"/>
      <c r="P124"/>
    </row>
    <row r="125" spans="2:53" x14ac:dyDescent="0.15">
      <c r="B125" s="16">
        <v>40690</v>
      </c>
      <c r="C125" s="29">
        <f t="array" ref="C125">SUMPRODUCT('ファンドデータ(変更不要)'!K125:P125,TRANSPOSE(戦略の決定!$D$13:$D$18))</f>
        <v>-3.05926355125361E-3</v>
      </c>
      <c r="D125" s="29">
        <f t="array" ref="D125">SUMPRODUCT('ファンドデータ(変更不要)'!K125:P125,TRANSPOSE(戦略の決定!$E$13:$E$18))</f>
        <v>-3.7718776292733026E-3</v>
      </c>
      <c r="E125" s="29">
        <f t="array" ref="E125">SUMPRODUCT('ファンドデータ(変更不要)'!K125:P125,TRANSPOSE(戦略の決定!$F$13:$F$18))</f>
        <v>-3.7718776292733026E-3</v>
      </c>
      <c r="F125" s="183">
        <f t="shared" si="11"/>
        <v>1.1699043423191047</v>
      </c>
      <c r="G125" s="183">
        <f t="shared" si="12"/>
        <v>1.2616017605171137</v>
      </c>
      <c r="H125" s="75">
        <f t="shared" si="13"/>
        <v>1.2616017605171137</v>
      </c>
      <c r="J125"/>
      <c r="K125"/>
      <c r="L125"/>
      <c r="M125"/>
      <c r="N125"/>
      <c r="O125"/>
      <c r="P125"/>
    </row>
    <row r="126" spans="2:53" x14ac:dyDescent="0.15">
      <c r="B126" s="16">
        <v>40697</v>
      </c>
      <c r="C126" s="29">
        <f t="array" ref="C126">SUMPRODUCT('ファンドデータ(変更不要)'!K126:P126,TRANSPOSE(戦略の決定!$D$13:$D$18))</f>
        <v>2.1278306820484046E-3</v>
      </c>
      <c r="D126" s="29">
        <f t="array" ref="D126">SUMPRODUCT('ファンドデータ(変更不要)'!K126:P126,TRANSPOSE(戦略の決定!$E$13:$E$18))</f>
        <v>1.3842737214974682E-3</v>
      </c>
      <c r="E126" s="29">
        <f t="array" ref="E126">SUMPRODUCT('ファンドデータ(変更不要)'!K126:P126,TRANSPOSE(戦略の決定!$F$13:$F$18))</f>
        <v>1.3842737214974682E-3</v>
      </c>
      <c r="F126" s="183">
        <f t="shared" si="11"/>
        <v>1.172393700673753</v>
      </c>
      <c r="G126" s="183">
        <f t="shared" si="12"/>
        <v>1.2633481626811927</v>
      </c>
      <c r="H126" s="75">
        <f t="shared" si="13"/>
        <v>1.2633481626811927</v>
      </c>
      <c r="J126"/>
      <c r="K126"/>
      <c r="L126"/>
      <c r="M126"/>
      <c r="N126"/>
      <c r="O126"/>
      <c r="P126"/>
    </row>
    <row r="127" spans="2:53" x14ac:dyDescent="0.15">
      <c r="B127" s="16">
        <v>40704</v>
      </c>
      <c r="C127" s="29">
        <f t="array" ref="C127">SUMPRODUCT('ファンドデータ(変更不要)'!K127:P127,TRANSPOSE(戦略の決定!$D$13:$D$18))</f>
        <v>-9.5102486533038683E-3</v>
      </c>
      <c r="D127" s="29">
        <f t="array" ref="D127">SUMPRODUCT('ファンドデータ(変更不要)'!K127:P127,TRANSPOSE(戦略の決定!$E$13:$E$18))</f>
        <v>-1.6055734816786973E-2</v>
      </c>
      <c r="E127" s="29">
        <f t="array" ref="E127">SUMPRODUCT('ファンドデータ(変更不要)'!K127:P127,TRANSPOSE(戦略の決定!$F$13:$F$18))</f>
        <v>-1.6055734816786973E-2</v>
      </c>
      <c r="F127" s="183">
        <f t="shared" si="11"/>
        <v>1.1612439450607785</v>
      </c>
      <c r="G127" s="183">
        <f t="shared" si="12"/>
        <v>1.2430641795999082</v>
      </c>
      <c r="H127" s="75">
        <f t="shared" si="13"/>
        <v>1.2430641795999082</v>
      </c>
      <c r="J127"/>
      <c r="K127"/>
      <c r="L127"/>
      <c r="M127"/>
      <c r="N127"/>
      <c r="O127"/>
      <c r="P127"/>
    </row>
    <row r="128" spans="2:53" x14ac:dyDescent="0.15">
      <c r="B128" s="16">
        <v>40711</v>
      </c>
      <c r="C128" s="29">
        <f t="array" ref="C128">SUMPRODUCT('ファンドデータ(変更不要)'!K128:P128,TRANSPOSE(戦略の決定!$D$13:$D$18))</f>
        <v>-6.5245821270943855E-3</v>
      </c>
      <c r="D128" s="29">
        <f t="array" ref="D128">SUMPRODUCT('ファンドデータ(変更不要)'!K128:P128,TRANSPOSE(戦略の決定!$E$13:$E$18))</f>
        <v>-8.4422277343962921E-3</v>
      </c>
      <c r="E128" s="29">
        <f t="array" ref="E128">SUMPRODUCT('ファンドデータ(変更不要)'!K128:P128,TRANSPOSE(戦略の決定!$F$13:$F$18))</f>
        <v>-8.4422277343962921E-3</v>
      </c>
      <c r="F128" s="183">
        <f t="shared" si="11"/>
        <v>1.1536673135716384</v>
      </c>
      <c r="G128" s="183">
        <f t="shared" si="12"/>
        <v>1.2325699487072552</v>
      </c>
      <c r="H128" s="75">
        <f t="shared" si="13"/>
        <v>1.2325699487072552</v>
      </c>
      <c r="J128"/>
      <c r="K128"/>
      <c r="L128"/>
      <c r="M128"/>
      <c r="N128"/>
      <c r="O128"/>
      <c r="P128"/>
    </row>
    <row r="129" spans="2:16" x14ac:dyDescent="0.15">
      <c r="B129" s="16">
        <v>40718</v>
      </c>
      <c r="C129" s="29">
        <f t="array" ref="C129">SUMPRODUCT('ファンドデータ(変更不要)'!K129:P129,TRANSPOSE(戦略の決定!$D$13:$D$18))</f>
        <v>3.442196603309338E-3</v>
      </c>
      <c r="D129" s="29">
        <f t="array" ref="D129">SUMPRODUCT('ファンドデータ(変更不要)'!K129:P129,TRANSPOSE(戦略の決定!$E$13:$E$18))</f>
        <v>7.2421369316779879E-5</v>
      </c>
      <c r="E129" s="29">
        <f t="array" ref="E129">SUMPRODUCT('ファンドデータ(変更不要)'!K129:P129,TRANSPOSE(戦略の決定!$F$13:$F$18))</f>
        <v>7.2421369316779879E-5</v>
      </c>
      <c r="F129" s="183">
        <f t="shared" si="11"/>
        <v>1.1576384632797638</v>
      </c>
      <c r="G129" s="183">
        <f t="shared" si="12"/>
        <v>1.2326592131107195</v>
      </c>
      <c r="H129" s="75">
        <f t="shared" si="13"/>
        <v>1.2326592131107195</v>
      </c>
      <c r="J129"/>
      <c r="K129"/>
      <c r="L129"/>
      <c r="M129"/>
      <c r="N129"/>
      <c r="O129"/>
      <c r="P129"/>
    </row>
    <row r="130" spans="2:16" x14ac:dyDescent="0.15">
      <c r="B130" s="16">
        <v>40725</v>
      </c>
      <c r="C130" s="29">
        <f t="array" ref="C130">SUMPRODUCT('ファンドデータ(変更不要)'!K130:P130,TRANSPOSE(戦略の決定!$D$13:$D$18))</f>
        <v>9.1349769118199663E-3</v>
      </c>
      <c r="D130" s="29">
        <f t="array" ref="D130">SUMPRODUCT('ファンドデータ(変更不要)'!K130:P130,TRANSPOSE(戦略の決定!$E$13:$E$18))</f>
        <v>1.4088123457649706E-2</v>
      </c>
      <c r="E130" s="29">
        <f t="array" ref="E130">SUMPRODUCT('ファンドデータ(変更不要)'!K130:P130,TRANSPOSE(戦略の決定!$F$13:$F$18))</f>
        <v>1.4088123457649706E-2</v>
      </c>
      <c r="F130" s="183">
        <f t="shared" si="11"/>
        <v>1.1682134639140591</v>
      </c>
      <c r="G130" s="183">
        <f t="shared" si="12"/>
        <v>1.2500250682862326</v>
      </c>
      <c r="H130" s="75">
        <f t="shared" si="13"/>
        <v>1.2500250682862326</v>
      </c>
      <c r="J130"/>
      <c r="K130"/>
      <c r="L130"/>
      <c r="M130"/>
      <c r="N130"/>
      <c r="O130"/>
      <c r="P130"/>
    </row>
    <row r="131" spans="2:16" x14ac:dyDescent="0.15">
      <c r="B131" s="16">
        <v>40732</v>
      </c>
      <c r="C131" s="29">
        <f t="array" ref="C131">SUMPRODUCT('ファンドデータ(変更不要)'!K131:P131,TRANSPOSE(戦略の決定!$D$13:$D$18))</f>
        <v>1.6434824962040752E-3</v>
      </c>
      <c r="D131" s="29">
        <f t="array" ref="D131">SUMPRODUCT('ファンドデータ(変更不要)'!K131:P131,TRANSPOSE(戦略の決定!$E$13:$E$18))</f>
        <v>-1.4570734027501869E-4</v>
      </c>
      <c r="E131" s="29">
        <f t="array" ref="E131">SUMPRODUCT('ファンドデータ(変更不要)'!K131:P131,TRANSPOSE(戦略の決定!$F$13:$F$18))</f>
        <v>-1.4570734027501869E-4</v>
      </c>
      <c r="F131" s="183">
        <f t="shared" si="11"/>
        <v>1.1701334022938319</v>
      </c>
      <c r="G131" s="183">
        <f t="shared" si="12"/>
        <v>1.2498429304582557</v>
      </c>
      <c r="H131" s="75">
        <f t="shared" si="13"/>
        <v>1.2498429304582557</v>
      </c>
      <c r="J131"/>
      <c r="K131"/>
      <c r="L131"/>
      <c r="M131"/>
      <c r="N131"/>
      <c r="O131"/>
      <c r="P131"/>
    </row>
    <row r="132" spans="2:16" x14ac:dyDescent="0.15">
      <c r="B132" s="16">
        <v>40739</v>
      </c>
      <c r="C132" s="29">
        <f t="array" ref="C132">SUMPRODUCT('ファンドデータ(変更不要)'!K132:P132,TRANSPOSE(戦略の決定!$D$13:$D$18))</f>
        <v>-1.5018332914541264E-2</v>
      </c>
      <c r="D132" s="29">
        <f t="array" ref="D132">SUMPRODUCT('ファンドデータ(変更不要)'!K132:P132,TRANSPOSE(戦略の決定!$E$13:$E$18))</f>
        <v>-2.0591144522880751E-2</v>
      </c>
      <c r="E132" s="29">
        <f t="array" ref="E132">SUMPRODUCT('ファンドデータ(変更不要)'!K132:P132,TRANSPOSE(戦略の決定!$F$13:$F$18))</f>
        <v>-2.0591144522880751E-2</v>
      </c>
      <c r="F132" s="183">
        <f t="shared" si="11"/>
        <v>1.1525599493037584</v>
      </c>
      <c r="G132" s="183">
        <f t="shared" si="12"/>
        <v>1.2241072340462889</v>
      </c>
      <c r="H132" s="75">
        <f t="shared" si="13"/>
        <v>1.2241072340462889</v>
      </c>
      <c r="J132"/>
      <c r="K132"/>
      <c r="L132"/>
      <c r="M132"/>
      <c r="N132"/>
      <c r="O132"/>
      <c r="P132"/>
    </row>
    <row r="133" spans="2:16" x14ac:dyDescent="0.15">
      <c r="B133" s="16">
        <v>40746</v>
      </c>
      <c r="C133" s="29">
        <f t="array" ref="C133">SUMPRODUCT('ファンドデータ(変更不要)'!K133:P133,TRANSPOSE(戦略の決定!$D$13:$D$18))</f>
        <v>2.7387395136176168E-3</v>
      </c>
      <c r="D133" s="29">
        <f t="array" ref="D133">SUMPRODUCT('ファンドデータ(変更不要)'!K133:P133,TRANSPOSE(戦略の決定!$E$13:$E$18))</f>
        <v>2.3237888919516239E-3</v>
      </c>
      <c r="E133" s="29">
        <f t="array" ref="E133">SUMPRODUCT('ファンドデータ(変更不要)'!K133:P133,TRANSPOSE(戦略の決定!$F$13:$F$18))</f>
        <v>2.3237888919516239E-3</v>
      </c>
      <c r="F133" s="183">
        <f t="shared" ref="F133:F196" si="18">F132*(1+C133)</f>
        <v>1.1557165107787297</v>
      </c>
      <c r="G133" s="183">
        <f t="shared" ref="G133:G196" si="19">G132*(1+D133)</f>
        <v>1.2269518008393232</v>
      </c>
      <c r="H133" s="75">
        <f t="shared" ref="H133:H196" si="20">H132*(1+E133)</f>
        <v>1.2269518008393232</v>
      </c>
      <c r="J133"/>
      <c r="K133"/>
      <c r="L133"/>
      <c r="M133"/>
      <c r="N133"/>
      <c r="O133"/>
      <c r="P133"/>
    </row>
    <row r="134" spans="2:16" x14ac:dyDescent="0.15">
      <c r="B134" s="16">
        <v>40753</v>
      </c>
      <c r="C134" s="29">
        <f t="array" ref="C134">SUMPRODUCT('ファンドデータ(変更不要)'!K134:P134,TRANSPOSE(戦略の決定!$D$13:$D$18))</f>
        <v>-9.2965138410087446E-3</v>
      </c>
      <c r="D134" s="29">
        <f t="array" ref="D134">SUMPRODUCT('ファンドデータ(変更不要)'!K134:P134,TRANSPOSE(戦略の決定!$E$13:$E$18))</f>
        <v>-1.114970060555914E-2</v>
      </c>
      <c r="E134" s="29">
        <f t="array" ref="E134">SUMPRODUCT('ファンドデータ(変更不要)'!K134:P134,TRANSPOSE(戦略の決定!$F$13:$F$18))</f>
        <v>-1.114970060555914E-2</v>
      </c>
      <c r="F134" s="183">
        <f t="shared" si="18"/>
        <v>1.144972376239993</v>
      </c>
      <c r="G134" s="183">
        <f t="shared" si="19"/>
        <v>1.2132716556025132</v>
      </c>
      <c r="H134" s="75">
        <f t="shared" si="20"/>
        <v>1.2132716556025132</v>
      </c>
      <c r="J134"/>
      <c r="K134"/>
      <c r="L134"/>
      <c r="M134"/>
      <c r="N134"/>
      <c r="O134"/>
      <c r="P134"/>
    </row>
    <row r="135" spans="2:16" x14ac:dyDescent="0.15">
      <c r="B135" s="16">
        <v>40760</v>
      </c>
      <c r="C135" s="29">
        <f t="array" ref="C135">SUMPRODUCT('ファンドデータ(変更不要)'!K135:P135,TRANSPOSE(戦略の決定!$D$13:$D$18))</f>
        <v>-6.1000429864429143E-3</v>
      </c>
      <c r="D135" s="29">
        <f t="array" ref="D135">SUMPRODUCT('ファンドデータ(変更不要)'!K135:P135,TRANSPOSE(戦略の決定!$E$13:$E$18))</f>
        <v>-1.2149580434901231E-2</v>
      </c>
      <c r="E135" s="29">
        <f t="array" ref="E135">SUMPRODUCT('ファンドデータ(変更不要)'!K135:P135,TRANSPOSE(戦略の決定!$F$13:$F$18))</f>
        <v>-1.2149580434901231E-2</v>
      </c>
      <c r="F135" s="183">
        <f t="shared" si="18"/>
        <v>1.1379879955266394</v>
      </c>
      <c r="G135" s="183">
        <f t="shared" si="19"/>
        <v>1.1985309140333846</v>
      </c>
      <c r="H135" s="75">
        <f t="shared" si="20"/>
        <v>1.1985309140333846</v>
      </c>
      <c r="J135"/>
      <c r="K135"/>
      <c r="L135"/>
      <c r="M135"/>
      <c r="N135"/>
      <c r="O135"/>
      <c r="P135"/>
    </row>
    <row r="136" spans="2:16" x14ac:dyDescent="0.15">
      <c r="B136" s="16">
        <v>40767</v>
      </c>
      <c r="C136" s="29">
        <f t="array" ref="C136">SUMPRODUCT('ファンドデータ(変更不要)'!K136:P136,TRANSPOSE(戦略の決定!$D$13:$D$18))</f>
        <v>-2.0833712402558366E-2</v>
      </c>
      <c r="D136" s="29">
        <f t="array" ref="D136">SUMPRODUCT('ファンドデータ(変更不要)'!K136:P136,TRANSPOSE(戦略の決定!$E$13:$E$18))</f>
        <v>-2.9858750490265016E-2</v>
      </c>
      <c r="E136" s="29">
        <f t="array" ref="E136">SUMPRODUCT('ファンドデータ(変更不要)'!K136:P136,TRANSPOSE(戦略の決定!$F$13:$F$18))</f>
        <v>-2.9858750490265016E-2</v>
      </c>
      <c r="F136" s="183">
        <f t="shared" si="18"/>
        <v>1.1142794809102736</v>
      </c>
      <c r="G136" s="183">
        <f t="shared" si="19"/>
        <v>1.1627442785163926</v>
      </c>
      <c r="H136" s="75">
        <f t="shared" si="20"/>
        <v>1.1627442785163926</v>
      </c>
      <c r="J136"/>
      <c r="K136"/>
      <c r="L136"/>
      <c r="M136"/>
      <c r="N136"/>
      <c r="O136"/>
      <c r="P136"/>
    </row>
    <row r="137" spans="2:16" x14ac:dyDescent="0.15">
      <c r="B137" s="16">
        <v>40774</v>
      </c>
      <c r="C137" s="29">
        <f t="array" ref="C137">SUMPRODUCT('ファンドデータ(変更不要)'!K137:P137,TRANSPOSE(戦略の決定!$D$13:$D$18))</f>
        <v>1.353922799244564E-2</v>
      </c>
      <c r="D137" s="29">
        <f t="array" ref="D137">SUMPRODUCT('ファンドデータ(変更不要)'!K137:P137,TRANSPOSE(戦略の決定!$E$13:$E$18))</f>
        <v>2.2789061293355464E-2</v>
      </c>
      <c r="E137" s="29">
        <f t="array" ref="E137">SUMPRODUCT('ファンドデータ(変更不要)'!K137:P137,TRANSPOSE(戦略の決定!$F$13:$F$18))</f>
        <v>2.2789061293355464E-2</v>
      </c>
      <c r="F137" s="183">
        <f t="shared" si="18"/>
        <v>1.1293659648496217</v>
      </c>
      <c r="G137" s="183">
        <f t="shared" si="19"/>
        <v>1.1892421291480011</v>
      </c>
      <c r="H137" s="75">
        <f t="shared" si="20"/>
        <v>1.1892421291480011</v>
      </c>
      <c r="J137"/>
      <c r="K137"/>
      <c r="L137"/>
      <c r="M137"/>
      <c r="N137"/>
      <c r="O137"/>
      <c r="P137"/>
    </row>
    <row r="138" spans="2:16" x14ac:dyDescent="0.15">
      <c r="B138" s="16">
        <v>40781</v>
      </c>
      <c r="C138" s="29">
        <f t="array" ref="C138">SUMPRODUCT('ファンドデータ(変更不要)'!K138:P138,TRANSPOSE(戦略の決定!$D$13:$D$18))</f>
        <v>-2.9875056293200523E-4</v>
      </c>
      <c r="D138" s="29">
        <f t="array" ref="D138">SUMPRODUCT('ファンドデータ(変更不要)'!K138:P138,TRANSPOSE(戦略の決定!$E$13:$E$18))</f>
        <v>-1.4028388187724986E-3</v>
      </c>
      <c r="E138" s="29">
        <f t="array" ref="E138">SUMPRODUCT('ファンドデータ(変更不要)'!K138:P138,TRANSPOSE(戦略の決定!$F$13:$F$18))</f>
        <v>-1.4028388187724986E-3</v>
      </c>
      <c r="F138" s="183">
        <f t="shared" si="18"/>
        <v>1.1290285661318666</v>
      </c>
      <c r="G138" s="183">
        <f t="shared" si="19"/>
        <v>1.1875738141243126</v>
      </c>
      <c r="H138" s="75">
        <f t="shared" si="20"/>
        <v>1.1875738141243126</v>
      </c>
      <c r="J138"/>
      <c r="K138"/>
      <c r="L138"/>
      <c r="M138"/>
      <c r="N138"/>
      <c r="O138"/>
      <c r="P138"/>
    </row>
    <row r="139" spans="2:16" x14ac:dyDescent="0.15">
      <c r="B139" s="16">
        <v>40788</v>
      </c>
      <c r="C139" s="29">
        <f t="array" ref="C139">SUMPRODUCT('ファンドデータ(変更不要)'!K139:P139,TRANSPOSE(戦略の決定!$D$13:$D$18))</f>
        <v>3.4201803739071323E-3</v>
      </c>
      <c r="D139" s="29">
        <f t="array" ref="D139">SUMPRODUCT('ファンドデータ(変更不要)'!K139:P139,TRANSPOSE(戦略の決定!$E$13:$E$18))</f>
        <v>7.5024607112599787E-3</v>
      </c>
      <c r="E139" s="29">
        <f t="array" ref="E139">SUMPRODUCT('ファンドデータ(変更不要)'!K139:P139,TRANSPOSE(戦略の決定!$F$13:$F$18))</f>
        <v>7.5024607112599787E-3</v>
      </c>
      <c r="F139" s="183">
        <f t="shared" si="18"/>
        <v>1.1328900474753314</v>
      </c>
      <c r="G139" s="183">
        <f t="shared" si="19"/>
        <v>1.1964835400065015</v>
      </c>
      <c r="H139" s="75">
        <f t="shared" si="20"/>
        <v>1.1964835400065015</v>
      </c>
      <c r="J139"/>
      <c r="K139"/>
      <c r="L139"/>
      <c r="M139"/>
      <c r="N139"/>
      <c r="O139"/>
      <c r="P139"/>
    </row>
    <row r="140" spans="2:16" x14ac:dyDescent="0.15">
      <c r="B140" s="16">
        <v>40795</v>
      </c>
      <c r="C140" s="29">
        <f t="array" ref="C140">SUMPRODUCT('ファンドデータ(変更不要)'!K140:P140,TRANSPOSE(戦略の決定!$D$13:$D$18))</f>
        <v>-6.3287544287017631E-3</v>
      </c>
      <c r="D140" s="29">
        <f t="array" ref="D140">SUMPRODUCT('ファンドデータ(変更不要)'!K140:P140,TRANSPOSE(戦略の決定!$E$13:$E$18))</f>
        <v>-1.0281359225373347E-2</v>
      </c>
      <c r="E140" s="29">
        <f t="array" ref="E140">SUMPRODUCT('ファンドデータ(変更不要)'!K140:P140,TRANSPOSE(戦略の決定!$F$13:$F$18))</f>
        <v>-1.0281359225373347E-2</v>
      </c>
      <c r="F140" s="183">
        <f t="shared" si="18"/>
        <v>1.1257202645701399</v>
      </c>
      <c r="G140" s="183">
        <f t="shared" si="19"/>
        <v>1.1841820629244484</v>
      </c>
      <c r="H140" s="75">
        <f t="shared" si="20"/>
        <v>1.1841820629244484</v>
      </c>
      <c r="J140"/>
      <c r="K140"/>
      <c r="L140"/>
      <c r="M140"/>
      <c r="N140"/>
      <c r="O140"/>
      <c r="P140"/>
    </row>
    <row r="141" spans="2:16" x14ac:dyDescent="0.15">
      <c r="B141" s="16">
        <v>40802</v>
      </c>
      <c r="C141" s="29">
        <f t="array" ref="C141">SUMPRODUCT('ファンドデータ(変更不要)'!K141:P141,TRANSPOSE(戦略の決定!$D$13:$D$18))</f>
        <v>-1.3309310812875022E-2</v>
      </c>
      <c r="D141" s="29">
        <f t="array" ref="D141">SUMPRODUCT('ファンドデータ(変更不要)'!K141:P141,TRANSPOSE(戦略の決定!$E$13:$E$18))</f>
        <v>-2.1635707884182658E-2</v>
      </c>
      <c r="E141" s="29">
        <f t="array" ref="E141">SUMPRODUCT('ファンドデータ(変更不要)'!K141:P141,TRANSPOSE(戦略の決定!$F$13:$F$18))</f>
        <v>-2.1635707884182658E-2</v>
      </c>
      <c r="F141" s="183">
        <f t="shared" si="18"/>
        <v>1.1107377036806241</v>
      </c>
      <c r="G141" s="183">
        <f t="shared" si="19"/>
        <v>1.1585614457293263</v>
      </c>
      <c r="H141" s="75">
        <f t="shared" si="20"/>
        <v>1.1585614457293263</v>
      </c>
      <c r="J141"/>
      <c r="K141"/>
      <c r="L141"/>
      <c r="M141"/>
      <c r="N141"/>
      <c r="O141"/>
      <c r="P141"/>
    </row>
    <row r="142" spans="2:16" x14ac:dyDescent="0.15">
      <c r="B142" s="16">
        <v>40809</v>
      </c>
      <c r="C142" s="29">
        <f t="array" ref="C142">SUMPRODUCT('ファンドデータ(変更不要)'!K142:P142,TRANSPOSE(戦略の決定!$D$13:$D$18))</f>
        <v>-8.0568297306841397E-3</v>
      </c>
      <c r="D142" s="29">
        <f t="array" ref="D142">SUMPRODUCT('ファンドデータ(変更不要)'!K142:P142,TRANSPOSE(戦略の決定!$E$13:$E$18))</f>
        <v>-9.332818087317311E-3</v>
      </c>
      <c r="E142" s="29">
        <f t="array" ref="E142">SUMPRODUCT('ファンドデータ(変更不要)'!K142:P142,TRANSPOSE(戦略の決定!$F$13:$F$18))</f>
        <v>-9.332818087317311E-3</v>
      </c>
      <c r="F142" s="183">
        <f t="shared" si="18"/>
        <v>1.1017886791266183</v>
      </c>
      <c r="G142" s="183">
        <f t="shared" si="19"/>
        <v>1.1477488025133551</v>
      </c>
      <c r="H142" s="75">
        <f t="shared" si="20"/>
        <v>1.1477488025133551</v>
      </c>
      <c r="J142"/>
      <c r="K142"/>
      <c r="L142"/>
      <c r="M142"/>
      <c r="N142"/>
      <c r="O142"/>
      <c r="P142"/>
    </row>
    <row r="143" spans="2:16" x14ac:dyDescent="0.15">
      <c r="B143" s="16">
        <v>40816</v>
      </c>
      <c r="C143" s="29">
        <f t="array" ref="C143">SUMPRODUCT('ファンドデータ(変更不要)'!K143:P143,TRANSPOSE(戦略の決定!$D$13:$D$18))</f>
        <v>1.2669486200215328E-3</v>
      </c>
      <c r="D143" s="29">
        <f t="array" ref="D143">SUMPRODUCT('ファンドデータ(変更不要)'!K143:P143,TRANSPOSE(戦略の決定!$E$13:$E$18))</f>
        <v>1.1418264088820524E-4</v>
      </c>
      <c r="E143" s="29">
        <f t="array" ref="E143">SUMPRODUCT('ファンドデータ(変更不要)'!K143:P143,TRANSPOSE(戦略の決定!$F$13:$F$18))</f>
        <v>1.1418264088820524E-4</v>
      </c>
      <c r="F143" s="183">
        <f t="shared" si="18"/>
        <v>1.1031845887731933</v>
      </c>
      <c r="G143" s="183">
        <f t="shared" si="19"/>
        <v>1.1478798555027023</v>
      </c>
      <c r="H143" s="75">
        <f t="shared" si="20"/>
        <v>1.1478798555027023</v>
      </c>
      <c r="J143"/>
      <c r="K143"/>
      <c r="L143"/>
      <c r="M143"/>
      <c r="N143"/>
      <c r="O143"/>
      <c r="P143"/>
    </row>
    <row r="144" spans="2:16" x14ac:dyDescent="0.15">
      <c r="B144" s="16">
        <v>40823</v>
      </c>
      <c r="C144" s="29">
        <f t="array" ref="C144">SUMPRODUCT('ファンドデータ(変更不要)'!K144:P144,TRANSPOSE(戦略の決定!$D$13:$D$18))</f>
        <v>-1.3301057982767176E-2</v>
      </c>
      <c r="D144" s="29">
        <f t="array" ref="D144">SUMPRODUCT('ファンドデータ(変更不要)'!K144:P144,TRANSPOSE(戦略の決定!$E$13:$E$18))</f>
        <v>-2.2165732567507892E-2</v>
      </c>
      <c r="E144" s="29">
        <f t="array" ref="E144">SUMPRODUCT('ファンドデータ(変更不要)'!K144:P144,TRANSPOSE(戦略の決定!$F$13:$F$18))</f>
        <v>-2.2165732567507892E-2</v>
      </c>
      <c r="F144" s="183">
        <f t="shared" si="18"/>
        <v>1.088511066592226</v>
      </c>
      <c r="G144" s="183">
        <f t="shared" si="19"/>
        <v>1.1224362576059999</v>
      </c>
      <c r="H144" s="75">
        <f t="shared" si="20"/>
        <v>1.1224362576059999</v>
      </c>
      <c r="J144"/>
      <c r="K144"/>
      <c r="L144"/>
      <c r="M144"/>
      <c r="N144"/>
      <c r="O144"/>
      <c r="P144"/>
    </row>
    <row r="145" spans="2:16" x14ac:dyDescent="0.15">
      <c r="B145" s="16">
        <v>40830</v>
      </c>
      <c r="C145" s="29">
        <f t="array" ref="C145">SUMPRODUCT('ファンドデータ(変更不要)'!K145:P145,TRANSPOSE(戦略の決定!$D$13:$D$18))</f>
        <v>1.251324229941317E-2</v>
      </c>
      <c r="D145" s="29">
        <f t="array" ref="D145">SUMPRODUCT('ファンドデータ(変更不要)'!K145:P145,TRANSPOSE(戦略の決定!$E$13:$E$18))</f>
        <v>2.0339484663213506E-2</v>
      </c>
      <c r="E145" s="29">
        <f t="array" ref="E145">SUMPRODUCT('ファンドデータ(変更不要)'!K145:P145,TRANSPOSE(戦略の決定!$F$13:$F$18))</f>
        <v>2.0339484663213506E-2</v>
      </c>
      <c r="F145" s="183">
        <f t="shared" si="18"/>
        <v>1.1021318693140871</v>
      </c>
      <c r="G145" s="183">
        <f t="shared" si="19"/>
        <v>1.1452660326530117</v>
      </c>
      <c r="H145" s="75">
        <f t="shared" si="20"/>
        <v>1.1452660326530117</v>
      </c>
      <c r="J145"/>
      <c r="K145"/>
      <c r="L145"/>
      <c r="M145"/>
      <c r="N145"/>
      <c r="O145"/>
      <c r="P145"/>
    </row>
    <row r="146" spans="2:16" x14ac:dyDescent="0.15">
      <c r="B146" s="16">
        <v>40837</v>
      </c>
      <c r="C146" s="29">
        <f t="array" ref="C146">SUMPRODUCT('ファンドデータ(変更不要)'!K146:P146,TRANSPOSE(戦略の決定!$D$13:$D$18))</f>
        <v>-8.0503591705614642E-3</v>
      </c>
      <c r="D146" s="29">
        <f t="array" ref="D146">SUMPRODUCT('ファンドデータ(変更不要)'!K146:P146,TRANSPOSE(戦略の決定!$E$13:$E$18))</f>
        <v>-1.2181464674078353E-2</v>
      </c>
      <c r="E146" s="29">
        <f t="array" ref="E146">SUMPRODUCT('ファンドデータ(変更不要)'!K146:P146,TRANSPOSE(戦略の決定!$F$13:$F$18))</f>
        <v>-1.2181464674078353E-2</v>
      </c>
      <c r="F146" s="183">
        <f t="shared" si="18"/>
        <v>1.0932593119127865</v>
      </c>
      <c r="G146" s="183">
        <f t="shared" si="19"/>
        <v>1.1313150149338274</v>
      </c>
      <c r="H146" s="75">
        <f t="shared" si="20"/>
        <v>1.1313150149338274</v>
      </c>
      <c r="J146"/>
      <c r="K146"/>
      <c r="L146"/>
      <c r="M146"/>
      <c r="N146"/>
      <c r="O146"/>
      <c r="P146"/>
    </row>
    <row r="147" spans="2:16" x14ac:dyDescent="0.15">
      <c r="B147" s="16">
        <v>40844</v>
      </c>
      <c r="C147" s="29">
        <f t="array" ref="C147">SUMPRODUCT('ファンドデータ(変更不要)'!K147:P147,TRANSPOSE(戦略の決定!$D$13:$D$18))</f>
        <v>1.8214737481271042E-2</v>
      </c>
      <c r="D147" s="29">
        <f t="array" ref="D147">SUMPRODUCT('ファンドデータ(変更不要)'!K147:P147,TRANSPOSE(戦略の決定!$E$13:$E$18))</f>
        <v>2.7730588691146987E-2</v>
      </c>
      <c r="E147" s="29">
        <f t="array" ref="E147">SUMPRODUCT('ファンドデータ(変更不要)'!K147:P147,TRANSPOSE(戦略の決定!$F$13:$F$18))</f>
        <v>2.7730588691146987E-2</v>
      </c>
      <c r="F147" s="183">
        <f t="shared" si="18"/>
        <v>1.113172743278233</v>
      </c>
      <c r="G147" s="183">
        <f t="shared" si="19"/>
        <v>1.1626870462930761</v>
      </c>
      <c r="H147" s="75">
        <f t="shared" si="20"/>
        <v>1.1626870462930761</v>
      </c>
      <c r="J147"/>
      <c r="K147"/>
      <c r="L147"/>
      <c r="M147"/>
      <c r="N147"/>
      <c r="O147"/>
      <c r="P147"/>
    </row>
    <row r="148" spans="2:16" x14ac:dyDescent="0.15">
      <c r="B148" s="16">
        <v>40851</v>
      </c>
      <c r="C148" s="29">
        <f t="array" ref="C148">SUMPRODUCT('ファンドデータ(変更不要)'!K148:P148,TRANSPOSE(戦略の決定!$D$13:$D$18))</f>
        <v>1.7813753119871965E-4</v>
      </c>
      <c r="D148" s="29">
        <f t="array" ref="D148">SUMPRODUCT('ファンドデータ(変更不要)'!K148:P148,TRANSPOSE(戦略の決定!$E$13:$E$18))</f>
        <v>-2.5169691877133206E-3</v>
      </c>
      <c r="E148" s="29">
        <f t="array" ref="E148">SUMPRODUCT('ファンドデータ(変更不要)'!K148:P148,TRANSPOSE(戦略の決定!$F$13:$F$18))</f>
        <v>-2.5169691877133206E-3</v>
      </c>
      <c r="F148" s="183">
        <f t="shared" si="18"/>
        <v>1.1133710411225182</v>
      </c>
      <c r="G148" s="183">
        <f t="shared" si="19"/>
        <v>1.159760598822603</v>
      </c>
      <c r="H148" s="75">
        <f t="shared" si="20"/>
        <v>1.159760598822603</v>
      </c>
      <c r="J148"/>
      <c r="K148"/>
      <c r="L148"/>
      <c r="M148"/>
      <c r="N148"/>
      <c r="O148"/>
      <c r="P148"/>
    </row>
    <row r="149" spans="2:16" x14ac:dyDescent="0.15">
      <c r="B149" s="16">
        <v>40858</v>
      </c>
      <c r="C149" s="29">
        <f t="array" ref="C149">SUMPRODUCT('ファンドデータ(変更不要)'!K149:P149,TRANSPOSE(戦略の決定!$D$13:$D$18))</f>
        <v>-2.0578858321866886E-2</v>
      </c>
      <c r="D149" s="29">
        <f t="array" ref="D149">SUMPRODUCT('ファンドデータ(変更不要)'!K149:P149,TRANSPOSE(戦略の決定!$E$13:$E$18))</f>
        <v>-2.890899119071514E-2</v>
      </c>
      <c r="E149" s="29">
        <f t="array" ref="E149">SUMPRODUCT('ファンドデータ(変更不要)'!K149:P149,TRANSPOSE(戦略の決定!$F$13:$F$18))</f>
        <v>-2.890899119071514E-2</v>
      </c>
      <c r="F149" s="183">
        <f t="shared" si="18"/>
        <v>1.0904591362075884</v>
      </c>
      <c r="G149" s="183">
        <f t="shared" si="19"/>
        <v>1.1262330898879018</v>
      </c>
      <c r="H149" s="75">
        <f t="shared" si="20"/>
        <v>1.1262330898879018</v>
      </c>
      <c r="J149"/>
      <c r="K149"/>
      <c r="L149"/>
      <c r="M149"/>
      <c r="N149"/>
      <c r="O149"/>
      <c r="P149"/>
    </row>
    <row r="150" spans="2:16" x14ac:dyDescent="0.15">
      <c r="B150" s="16">
        <v>40865</v>
      </c>
      <c r="C150" s="29">
        <f t="array" ref="C150">SUMPRODUCT('ファンドデータ(変更不要)'!K150:P150,TRANSPOSE(戦略の決定!$D$13:$D$18))</f>
        <v>-1.3749725548429419E-2</v>
      </c>
      <c r="D150" s="29">
        <f t="array" ref="D150">SUMPRODUCT('ファンドデータ(変更不要)'!K150:P150,TRANSPOSE(戦略の決定!$E$13:$E$18))</f>
        <v>-1.9354671869142307E-2</v>
      </c>
      <c r="E150" s="29">
        <f t="array" ref="E150">SUMPRODUCT('ファンドデータ(変更不要)'!K150:P150,TRANSPOSE(戦略の決定!$F$13:$F$18))</f>
        <v>-1.9354671869142307E-2</v>
      </c>
      <c r="F150" s="183">
        <f t="shared" si="18"/>
        <v>1.0754656223629566</v>
      </c>
      <c r="G150" s="183">
        <f t="shared" si="19"/>
        <v>1.1044352179849513</v>
      </c>
      <c r="H150" s="75">
        <f t="shared" si="20"/>
        <v>1.1044352179849513</v>
      </c>
      <c r="J150"/>
      <c r="K150"/>
      <c r="L150"/>
      <c r="M150"/>
      <c r="N150"/>
      <c r="O150"/>
      <c r="P150"/>
    </row>
    <row r="151" spans="2:16" x14ac:dyDescent="0.15">
      <c r="B151" s="16">
        <v>40872</v>
      </c>
      <c r="C151" s="29">
        <f t="array" ref="C151">SUMPRODUCT('ファンドデータ(変更不要)'!K151:P151,TRANSPOSE(戦略の決定!$D$13:$D$18))</f>
        <v>-1.318207864216653E-2</v>
      </c>
      <c r="D151" s="29">
        <f t="array" ref="D151">SUMPRODUCT('ファンドデータ(変更不要)'!K151:P151,TRANSPOSE(戦略の決定!$E$13:$E$18))</f>
        <v>-1.8118563035056087E-2</v>
      </c>
      <c r="E151" s="29">
        <f t="array" ref="E151">SUMPRODUCT('ファンドデータ(変更不要)'!K151:P151,TRANSPOSE(戦略の決定!$F$13:$F$18))</f>
        <v>-1.8118563035056087E-2</v>
      </c>
      <c r="F151" s="183">
        <f t="shared" si="18"/>
        <v>1.0612887499520216</v>
      </c>
      <c r="G151" s="183">
        <f t="shared" si="19"/>
        <v>1.084424438869755</v>
      </c>
      <c r="H151" s="75">
        <f t="shared" si="20"/>
        <v>1.084424438869755</v>
      </c>
      <c r="J151"/>
      <c r="K151"/>
      <c r="L151"/>
      <c r="M151"/>
      <c r="N151"/>
      <c r="O151"/>
      <c r="P151"/>
    </row>
    <row r="152" spans="2:16" x14ac:dyDescent="0.15">
      <c r="B152" s="16">
        <v>40879</v>
      </c>
      <c r="C152" s="29">
        <f t="array" ref="C152">SUMPRODUCT('ファンドデータ(変更不要)'!K152:P152,TRANSPOSE(戦略の決定!$D$13:$D$18))</f>
        <v>2.6392902379903636E-2</v>
      </c>
      <c r="D152" s="29">
        <f t="array" ref="D152">SUMPRODUCT('ファンドデータ(変更不要)'!K152:P152,TRANSPOSE(戦略の決定!$E$13:$E$18))</f>
        <v>3.6800704112727393E-2</v>
      </c>
      <c r="E152" s="29">
        <f t="array" ref="E152">SUMPRODUCT('ファンドデータ(変更不要)'!K152:P152,TRANSPOSE(戦略の決定!$F$13:$F$18))</f>
        <v>3.6800704112727393E-2</v>
      </c>
      <c r="F152" s="183">
        <f t="shared" si="18"/>
        <v>1.0892992403263952</v>
      </c>
      <c r="G152" s="183">
        <f t="shared" si="19"/>
        <v>1.1243320217772113</v>
      </c>
      <c r="H152" s="75">
        <f t="shared" si="20"/>
        <v>1.1243320217772113</v>
      </c>
      <c r="J152"/>
      <c r="K152"/>
      <c r="L152"/>
      <c r="M152"/>
      <c r="N152"/>
      <c r="O152"/>
      <c r="P152"/>
    </row>
    <row r="153" spans="2:16" x14ac:dyDescent="0.15">
      <c r="B153" s="16">
        <v>40886</v>
      </c>
      <c r="C153" s="29">
        <f t="array" ref="C153">SUMPRODUCT('ファンドデータ(変更不要)'!K153:P153,TRANSPOSE(戦略の決定!$D$13:$D$18))</f>
        <v>-2.8436177525509284E-3</v>
      </c>
      <c r="D153" s="29">
        <f t="array" ref="D153">SUMPRODUCT('ファンドデータ(変更不要)'!K153:P153,TRANSPOSE(戦略の決定!$E$13:$E$18))</f>
        <v>-4.8328064975250926E-3</v>
      </c>
      <c r="E153" s="29">
        <f t="array" ref="E153">SUMPRODUCT('ファンドデータ(変更不要)'!K153:P153,TRANSPOSE(戦略の決定!$F$13:$F$18))</f>
        <v>-4.8328064975250926E-3</v>
      </c>
      <c r="F153" s="183">
        <f t="shared" si="18"/>
        <v>1.086201689668763</v>
      </c>
      <c r="G153" s="183">
        <f t="shared" si="19"/>
        <v>1.118898342676991</v>
      </c>
      <c r="H153" s="75">
        <f t="shared" si="20"/>
        <v>1.118898342676991</v>
      </c>
      <c r="J153"/>
      <c r="K153"/>
      <c r="L153"/>
      <c r="M153"/>
      <c r="N153"/>
      <c r="O153"/>
      <c r="P153"/>
    </row>
    <row r="154" spans="2:16" x14ac:dyDescent="0.15">
      <c r="B154" s="16">
        <v>40893</v>
      </c>
      <c r="C154" s="29">
        <f t="array" ref="C154">SUMPRODUCT('ファンドデータ(変更不要)'!K154:P154,TRANSPOSE(戦略の決定!$D$13:$D$18))</f>
        <v>-5.8873851464978687E-3</v>
      </c>
      <c r="D154" s="29">
        <f t="array" ref="D154">SUMPRODUCT('ファンドデータ(変更不要)'!K154:P154,TRANSPOSE(戦略の決定!$E$13:$E$18))</f>
        <v>-8.4716382672335323E-3</v>
      </c>
      <c r="E154" s="29">
        <f t="array" ref="E154">SUMPRODUCT('ファンドデータ(変更不要)'!K154:P154,TRANSPOSE(戦略の決定!$F$13:$F$18))</f>
        <v>-8.4716382672335323E-3</v>
      </c>
      <c r="F154" s="183">
        <f t="shared" si="18"/>
        <v>1.0798068019749061</v>
      </c>
      <c r="G154" s="183">
        <f t="shared" si="19"/>
        <v>1.1094194406600244</v>
      </c>
      <c r="H154" s="75">
        <f t="shared" si="20"/>
        <v>1.1094194406600244</v>
      </c>
      <c r="J154"/>
      <c r="K154"/>
      <c r="L154"/>
      <c r="M154"/>
      <c r="N154"/>
      <c r="O154"/>
      <c r="P154"/>
    </row>
    <row r="155" spans="2:16" x14ac:dyDescent="0.15">
      <c r="B155" s="16">
        <v>40900</v>
      </c>
      <c r="C155" s="29">
        <f t="array" ref="C155">SUMPRODUCT('ファンドデータ(変更不要)'!K155:P155,TRANSPOSE(戦略の決定!$D$13:$D$18))</f>
        <v>1.5499087188168786E-3</v>
      </c>
      <c r="D155" s="29">
        <f t="array" ref="D155">SUMPRODUCT('ファンドデータ(変更不要)'!K155:P155,TRANSPOSE(戦略の決定!$E$13:$E$18))</f>
        <v>1.9776855244955098E-3</v>
      </c>
      <c r="E155" s="29">
        <f t="array" ref="E155">SUMPRODUCT('ファンドデータ(変更不要)'!K155:P155,TRANSPOSE(戦略の決定!$F$13:$F$18))</f>
        <v>1.9776855244955098E-3</v>
      </c>
      <c r="F155" s="183">
        <f t="shared" si="18"/>
        <v>1.0814804039519248</v>
      </c>
      <c r="G155" s="183">
        <f t="shared" si="19"/>
        <v>1.1116135234284117</v>
      </c>
      <c r="H155" s="75">
        <f t="shared" si="20"/>
        <v>1.1116135234284117</v>
      </c>
      <c r="J155"/>
      <c r="K155"/>
      <c r="L155"/>
      <c r="M155"/>
      <c r="N155"/>
      <c r="O155"/>
      <c r="P155"/>
    </row>
    <row r="156" spans="2:16" x14ac:dyDescent="0.15">
      <c r="B156" s="16">
        <v>40907</v>
      </c>
      <c r="C156" s="29">
        <f t="array" ref="C156">SUMPRODUCT('ファンドデータ(変更不要)'!K156:P156,TRANSPOSE(戦略の決定!$D$13:$D$18))</f>
        <v>3.6102232172549806E-3</v>
      </c>
      <c r="D156" s="29">
        <f t="array" ref="D156">SUMPRODUCT('ファンドデータ(変更不要)'!K156:P156,TRANSPOSE(戦略の決定!$E$13:$E$18))</f>
        <v>6.8269584727041789E-3</v>
      </c>
      <c r="E156" s="29">
        <f t="array" ref="E156">SUMPRODUCT('ファンドデータ(変更不要)'!K156:P156,TRANSPOSE(戦略の決定!$F$13:$F$18))</f>
        <v>6.8269584727041789E-3</v>
      </c>
      <c r="F156" s="183">
        <f t="shared" si="18"/>
        <v>1.0853847896152784</v>
      </c>
      <c r="G156" s="183">
        <f t="shared" si="19"/>
        <v>1.1192024627905537</v>
      </c>
      <c r="H156" s="75">
        <f t="shared" si="20"/>
        <v>1.1192024627905537</v>
      </c>
      <c r="J156"/>
      <c r="K156"/>
      <c r="L156"/>
      <c r="M156"/>
      <c r="N156"/>
      <c r="O156"/>
      <c r="P156"/>
    </row>
    <row r="157" spans="2:16" x14ac:dyDescent="0.15">
      <c r="B157" s="16">
        <v>40914</v>
      </c>
      <c r="C157" s="29">
        <f t="array" ref="C157">SUMPRODUCT('ファンドデータ(変更不要)'!K157:P157,TRANSPOSE(戦略の決定!$D$13:$D$18))</f>
        <v>-1.823757833772061E-3</v>
      </c>
      <c r="D157" s="29">
        <f t="array" ref="D157">SUMPRODUCT('ファンドデータ(変更不要)'!K157:P157,TRANSPOSE(戦略の決定!$E$13:$E$18))</f>
        <v>3.1728094961461306E-3</v>
      </c>
      <c r="E157" s="29">
        <f t="array" ref="E157">SUMPRODUCT('ファンドデータ(変更不要)'!K157:P157,TRANSPOSE(戦略の決定!$F$13:$F$18))</f>
        <v>3.1728094961461306E-3</v>
      </c>
      <c r="F157" s="183">
        <f t="shared" si="18"/>
        <v>1.0834053106025605</v>
      </c>
      <c r="G157" s="183">
        <f t="shared" si="19"/>
        <v>1.1227534789926057</v>
      </c>
      <c r="H157" s="75">
        <f t="shared" si="20"/>
        <v>1.1227534789926057</v>
      </c>
      <c r="J157"/>
      <c r="K157"/>
      <c r="L157"/>
      <c r="M157"/>
      <c r="N157"/>
      <c r="O157"/>
      <c r="P157"/>
    </row>
    <row r="158" spans="2:16" x14ac:dyDescent="0.15">
      <c r="B158" s="16">
        <v>40921</v>
      </c>
      <c r="C158" s="29">
        <f t="array" ref="C158">SUMPRODUCT('ファンドデータ(変更不要)'!K158:P158,TRANSPOSE(戦略の決定!$D$13:$D$18))</f>
        <v>-1.8475838826760458E-3</v>
      </c>
      <c r="D158" s="29">
        <f t="array" ref="D158">SUMPRODUCT('ファンドデータ(変更不要)'!K158:P158,TRANSPOSE(戦略の決定!$E$13:$E$18))</f>
        <v>-6.0315793573193924E-3</v>
      </c>
      <c r="E158" s="29">
        <f t="array" ref="E158">SUMPRODUCT('ファンドデータ(変更不要)'!K158:P158,TRANSPOSE(戦略の決定!$F$13:$F$18))</f>
        <v>-6.0315793573193924E-3</v>
      </c>
      <c r="F158" s="183">
        <f t="shared" si="18"/>
        <v>1.0814036284122857</v>
      </c>
      <c r="G158" s="183">
        <f t="shared" si="19"/>
        <v>1.1159815022853554</v>
      </c>
      <c r="H158" s="75">
        <f t="shared" si="20"/>
        <v>1.1159815022853554</v>
      </c>
      <c r="J158"/>
      <c r="K158"/>
      <c r="L158"/>
      <c r="M158"/>
      <c r="N158"/>
      <c r="O158"/>
      <c r="P158"/>
    </row>
    <row r="159" spans="2:16" x14ac:dyDescent="0.15">
      <c r="B159" s="16">
        <v>40928</v>
      </c>
      <c r="C159" s="29">
        <f t="array" ref="C159">SUMPRODUCT('ファンドデータ(変更不要)'!K159:P159,TRANSPOSE(戦略の決定!$D$13:$D$18))</f>
        <v>9.6859797346247542E-3</v>
      </c>
      <c r="D159" s="29">
        <f t="array" ref="D159">SUMPRODUCT('ファンドデータ(変更不要)'!K159:P159,TRANSPOSE(戦略の決定!$E$13:$E$18))</f>
        <v>1.0826411282801873E-2</v>
      </c>
      <c r="E159" s="29">
        <f t="array" ref="E159">SUMPRODUCT('ファンドデータ(変更不要)'!K159:P159,TRANSPOSE(戦略の決定!$F$13:$F$18))</f>
        <v>1.0826411282801873E-2</v>
      </c>
      <c r="F159" s="183">
        <f t="shared" si="18"/>
        <v>1.0918780820420366</v>
      </c>
      <c r="G159" s="183">
        <f t="shared" si="19"/>
        <v>1.1280635770130958</v>
      </c>
      <c r="H159" s="75">
        <f t="shared" si="20"/>
        <v>1.1280635770130958</v>
      </c>
      <c r="J159"/>
      <c r="K159"/>
      <c r="L159"/>
      <c r="M159"/>
      <c r="N159"/>
      <c r="O159"/>
      <c r="P159"/>
    </row>
    <row r="160" spans="2:16" x14ac:dyDescent="0.15">
      <c r="B160" s="16">
        <v>40935</v>
      </c>
      <c r="C160" s="29">
        <f t="array" ref="C160">SUMPRODUCT('ファンドデータ(変更不要)'!K160:P160,TRANSPOSE(戦略の決定!$D$13:$D$18))</f>
        <v>5.9797370777801397E-3</v>
      </c>
      <c r="D160" s="29">
        <f t="array" ref="D160">SUMPRODUCT('ファンドデータ(変更不要)'!K160:P160,TRANSPOSE(戦略の決定!$E$13:$E$18))</f>
        <v>6.1649991971645095E-3</v>
      </c>
      <c r="E160" s="29">
        <f t="array" ref="E160">SUMPRODUCT('ファンドデータ(変更不要)'!K160:P160,TRANSPOSE(戦略の決定!$F$13:$F$18))</f>
        <v>6.1649991971645095E-3</v>
      </c>
      <c r="F160" s="183">
        <f t="shared" si="18"/>
        <v>1.0984072258936388</v>
      </c>
      <c r="G160" s="183">
        <f t="shared" si="19"/>
        <v>1.135018088059732</v>
      </c>
      <c r="H160" s="75">
        <f t="shared" si="20"/>
        <v>1.135018088059732</v>
      </c>
      <c r="J160"/>
      <c r="K160"/>
      <c r="L160"/>
      <c r="M160"/>
      <c r="N160"/>
      <c r="O160"/>
      <c r="P160"/>
    </row>
    <row r="161" spans="2:16" x14ac:dyDescent="0.15">
      <c r="B161" s="16">
        <v>40942</v>
      </c>
      <c r="C161" s="29">
        <f t="array" ref="C161">SUMPRODUCT('ファンドデータ(変更不要)'!K161:P161,TRANSPOSE(戦略の決定!$D$13:$D$18))</f>
        <v>4.3953457732354611E-3</v>
      </c>
      <c r="D161" s="29">
        <f t="array" ref="D161">SUMPRODUCT('ファンドデータ(変更不要)'!K161:P161,TRANSPOSE(戦略の決定!$E$13:$E$18))</f>
        <v>8.7284140887730396E-3</v>
      </c>
      <c r="E161" s="29">
        <f t="array" ref="E161">SUMPRODUCT('ファンドデータ(変更不要)'!K161:P161,TRANSPOSE(戦略の決定!$F$13:$F$18))</f>
        <v>8.7284140887730396E-3</v>
      </c>
      <c r="F161" s="183">
        <f t="shared" si="18"/>
        <v>1.1032351054512617</v>
      </c>
      <c r="G161" s="183">
        <f t="shared" si="19"/>
        <v>1.144924995930565</v>
      </c>
      <c r="H161" s="75">
        <f t="shared" si="20"/>
        <v>1.144924995930565</v>
      </c>
      <c r="J161"/>
      <c r="K161"/>
      <c r="L161"/>
      <c r="M161"/>
      <c r="N161"/>
      <c r="O161"/>
      <c r="P161"/>
    </row>
    <row r="162" spans="2:16" x14ac:dyDescent="0.15">
      <c r="B162" s="16">
        <v>40949</v>
      </c>
      <c r="C162" s="29">
        <f t="array" ref="C162">SUMPRODUCT('ファンドデータ(変更不要)'!K162:P162,TRANSPOSE(戦略の決定!$D$13:$D$18))</f>
        <v>7.6193778585116959E-3</v>
      </c>
      <c r="D162" s="29">
        <f t="array" ref="D162">SUMPRODUCT('ファンドデータ(変更不要)'!K162:P162,TRANSPOSE(戦略の決定!$E$13:$E$18))</f>
        <v>8.5759019597256951E-3</v>
      </c>
      <c r="E162" s="29">
        <f t="array" ref="E162">SUMPRODUCT('ファンドデータ(変更不要)'!K162:P162,TRANSPOSE(戦略の決定!$F$13:$F$18))</f>
        <v>8.5759019597256951E-3</v>
      </c>
      <c r="F162" s="183">
        <f t="shared" si="18"/>
        <v>1.1116410705864699</v>
      </c>
      <c r="G162" s="183">
        <f t="shared" si="19"/>
        <v>1.1547437604469049</v>
      </c>
      <c r="H162" s="75">
        <f t="shared" si="20"/>
        <v>1.1547437604469049</v>
      </c>
      <c r="J162"/>
      <c r="K162"/>
      <c r="L162"/>
      <c r="M162"/>
      <c r="N162"/>
      <c r="O162"/>
      <c r="P162"/>
    </row>
    <row r="163" spans="2:16" x14ac:dyDescent="0.15">
      <c r="B163" s="16">
        <v>40956</v>
      </c>
      <c r="C163" s="29">
        <f t="array" ref="C163">SUMPRODUCT('ファンドデータ(変更不要)'!K163:P163,TRANSPOSE(戦略の決定!$D$13:$D$18))</f>
        <v>1.9860876996105139E-2</v>
      </c>
      <c r="D163" s="29">
        <f t="array" ref="D163">SUMPRODUCT('ファンドデータ(変更不要)'!K163:P163,TRANSPOSE(戦略の決定!$E$13:$E$18))</f>
        <v>2.4646481687582104E-2</v>
      </c>
      <c r="E163" s="29">
        <f t="array" ref="E163">SUMPRODUCT('ファンドデータ(変更不要)'!K163:P163,TRANSPOSE(戦略の決定!$F$13:$F$18))</f>
        <v>2.4646481687582104E-2</v>
      </c>
      <c r="F163" s="183">
        <f t="shared" si="18"/>
        <v>1.1337192371532063</v>
      </c>
      <c r="G163" s="183">
        <f t="shared" si="19"/>
        <v>1.1832041313926094</v>
      </c>
      <c r="H163" s="75">
        <f t="shared" si="20"/>
        <v>1.1832041313926094</v>
      </c>
      <c r="J163"/>
      <c r="K163"/>
      <c r="L163"/>
      <c r="M163"/>
      <c r="N163"/>
      <c r="O163"/>
      <c r="P163"/>
    </row>
    <row r="164" spans="2:16" x14ac:dyDescent="0.15">
      <c r="B164" s="16">
        <v>40963</v>
      </c>
      <c r="C164" s="29">
        <f t="array" ref="C164">SUMPRODUCT('ファンドデータ(変更不要)'!K164:P164,TRANSPOSE(戦略の決定!$D$13:$D$18))</f>
        <v>2.235695893329457E-2</v>
      </c>
      <c r="D164" s="29">
        <f t="array" ref="D164">SUMPRODUCT('ファンドデータ(変更不要)'!K164:P164,TRANSPOSE(戦略の決定!$E$13:$E$18))</f>
        <v>3.1068697487840698E-2</v>
      </c>
      <c r="E164" s="29">
        <f t="array" ref="E164">SUMPRODUCT('ファンドデータ(変更不要)'!K164:P164,TRANSPOSE(戦略の決定!$F$13:$F$18))</f>
        <v>3.1068697487840698E-2</v>
      </c>
      <c r="F164" s="183">
        <f t="shared" si="18"/>
        <v>1.1590657515801266</v>
      </c>
      <c r="G164" s="183">
        <f t="shared" si="19"/>
        <v>1.2199647426172098</v>
      </c>
      <c r="H164" s="75">
        <f t="shared" si="20"/>
        <v>1.2199647426172098</v>
      </c>
      <c r="J164"/>
      <c r="K164"/>
      <c r="L164"/>
      <c r="M164"/>
      <c r="N164"/>
      <c r="O164"/>
      <c r="P164"/>
    </row>
    <row r="165" spans="2:16" x14ac:dyDescent="0.15">
      <c r="B165" s="16">
        <v>40970</v>
      </c>
      <c r="C165" s="29">
        <f t="array" ref="C165">SUMPRODUCT('ファンドデータ(変更不要)'!K165:P165,TRANSPOSE(戦略の決定!$D$13:$D$18))</f>
        <v>1.4976491120547691E-2</v>
      </c>
      <c r="D165" s="29">
        <f t="array" ref="D165">SUMPRODUCT('ファンドデータ(変更不要)'!K165:P165,TRANSPOSE(戦略の決定!$E$13:$E$18))</f>
        <v>1.9691694736051771E-2</v>
      </c>
      <c r="E165" s="29">
        <f t="array" ref="E165">SUMPRODUCT('ファンドデータ(変更不要)'!K165:P165,TRANSPOSE(戦略の決定!$F$13:$F$18))</f>
        <v>1.9691694736051771E-2</v>
      </c>
      <c r="F165" s="183">
        <f t="shared" si="18"/>
        <v>1.1764244895167972</v>
      </c>
      <c r="G165" s="183">
        <f t="shared" si="19"/>
        <v>1.2439879159175737</v>
      </c>
      <c r="H165" s="75">
        <f t="shared" si="20"/>
        <v>1.2439879159175737</v>
      </c>
      <c r="J165"/>
      <c r="K165"/>
      <c r="L165"/>
      <c r="M165"/>
      <c r="N165"/>
      <c r="O165"/>
      <c r="P165"/>
    </row>
    <row r="166" spans="2:16" x14ac:dyDescent="0.15">
      <c r="B166" s="16">
        <v>40977</v>
      </c>
      <c r="C166" s="29">
        <f t="array" ref="C166">SUMPRODUCT('ファンドデータ(変更不要)'!K166:P166,TRANSPOSE(戦略の決定!$D$13:$D$18))</f>
        <v>5.7022398501013882E-3</v>
      </c>
      <c r="D166" s="29">
        <f t="array" ref="D166">SUMPRODUCT('ファンドデータ(変更不要)'!K166:P166,TRANSPOSE(戦略の決定!$E$13:$E$18))</f>
        <v>6.934670911527936E-3</v>
      </c>
      <c r="E166" s="29">
        <f t="array" ref="E166">SUMPRODUCT('ファンドデータ(変更不要)'!K166:P166,TRANSPOSE(戦略の決定!$F$13:$F$18))</f>
        <v>6.934670911527936E-3</v>
      </c>
      <c r="F166" s="183">
        <f t="shared" si="18"/>
        <v>1.1831327441215551</v>
      </c>
      <c r="G166" s="183">
        <f t="shared" si="19"/>
        <v>1.2526145627323795</v>
      </c>
      <c r="H166" s="75">
        <f t="shared" si="20"/>
        <v>1.2526145627323795</v>
      </c>
      <c r="J166"/>
      <c r="K166"/>
      <c r="L166"/>
      <c r="M166"/>
      <c r="N166"/>
      <c r="O166"/>
      <c r="P166"/>
    </row>
    <row r="167" spans="2:16" x14ac:dyDescent="0.15">
      <c r="B167" s="16">
        <v>40984</v>
      </c>
      <c r="C167" s="29">
        <f t="array" ref="C167">SUMPRODUCT('ファンドデータ(変更不要)'!K167:P167,TRANSPOSE(戦略の決定!$D$13:$D$18))</f>
        <v>1.1766113871848585E-2</v>
      </c>
      <c r="D167" s="29">
        <f t="array" ref="D167">SUMPRODUCT('ファンドデータ(変更不要)'!K167:P167,TRANSPOSE(戦略の決定!$E$13:$E$18))</f>
        <v>1.9270104922935564E-2</v>
      </c>
      <c r="E167" s="29">
        <f t="array" ref="E167">SUMPRODUCT('ファンドデータ(変更不要)'!K167:P167,TRANSPOSE(戦略の決定!$F$13:$F$18))</f>
        <v>1.9270104922935564E-2</v>
      </c>
      <c r="F167" s="183">
        <f t="shared" si="18"/>
        <v>1.1970536187144021</v>
      </c>
      <c r="G167" s="183">
        <f t="shared" si="19"/>
        <v>1.2767525767842296</v>
      </c>
      <c r="H167" s="75">
        <f t="shared" si="20"/>
        <v>1.2767525767842296</v>
      </c>
      <c r="J167"/>
      <c r="K167"/>
      <c r="L167"/>
      <c r="M167"/>
      <c r="N167"/>
      <c r="O167"/>
      <c r="P167"/>
    </row>
    <row r="168" spans="2:16" x14ac:dyDescent="0.15">
      <c r="B168" s="16">
        <v>40991</v>
      </c>
      <c r="C168" s="29">
        <f t="array" ref="C168">SUMPRODUCT('ファンドデータ(変更不要)'!K168:P168,TRANSPOSE(戦略の決定!$D$13:$D$18))</f>
        <v>-1.282218857473609E-2</v>
      </c>
      <c r="D168" s="29">
        <f t="array" ref="D168">SUMPRODUCT('ファンドデータ(変更不要)'!K168:P168,TRANSPOSE(戦略の決定!$E$13:$E$18))</f>
        <v>-2.0927184741404113E-2</v>
      </c>
      <c r="E168" s="29">
        <f t="array" ref="E168">SUMPRODUCT('ファンドデータ(変更不要)'!K168:P168,TRANSPOSE(戦略の決定!$F$13:$F$18))</f>
        <v>-2.0927184741404113E-2</v>
      </c>
      <c r="F168" s="183">
        <f t="shared" si="18"/>
        <v>1.1817047714811759</v>
      </c>
      <c r="G168" s="183">
        <f t="shared" si="19"/>
        <v>1.2500337397408023</v>
      </c>
      <c r="H168" s="75">
        <f t="shared" si="20"/>
        <v>1.2500337397408023</v>
      </c>
      <c r="J168"/>
      <c r="K168"/>
      <c r="L168"/>
      <c r="M168"/>
      <c r="N168"/>
      <c r="O168"/>
      <c r="P168"/>
    </row>
    <row r="169" spans="2:16" x14ac:dyDescent="0.15">
      <c r="B169" s="16">
        <v>40998</v>
      </c>
      <c r="C169" s="29">
        <f t="array" ref="C169">SUMPRODUCT('ファンドデータ(変更不要)'!K169:P169,TRANSPOSE(戦略の決定!$D$13:$D$18))</f>
        <v>1.2130299210770926E-2</v>
      </c>
      <c r="D169" s="29">
        <f t="array" ref="D169">SUMPRODUCT('ファンドデータ(変更不要)'!K169:P169,TRANSPOSE(戦略の決定!$E$13:$E$18))</f>
        <v>1.7855710362803968E-2</v>
      </c>
      <c r="E169" s="29">
        <f t="array" ref="E169">SUMPRODUCT('ファンドデータ(変更不要)'!K169:P169,TRANSPOSE(戦略の決定!$F$13:$F$18))</f>
        <v>1.7855710362803968E-2</v>
      </c>
      <c r="F169" s="183">
        <f t="shared" si="18"/>
        <v>1.1960392039380383</v>
      </c>
      <c r="G169" s="183">
        <f t="shared" si="19"/>
        <v>1.2723539801413466</v>
      </c>
      <c r="H169" s="75">
        <f t="shared" si="20"/>
        <v>1.2723539801413466</v>
      </c>
      <c r="J169"/>
      <c r="K169"/>
      <c r="L169"/>
      <c r="M169"/>
      <c r="N169"/>
      <c r="O169"/>
      <c r="P169"/>
    </row>
    <row r="170" spans="2:16" x14ac:dyDescent="0.15">
      <c r="B170" s="16">
        <v>41005</v>
      </c>
      <c r="C170" s="29">
        <f t="array" ref="C170">SUMPRODUCT('ファンドデータ(変更不要)'!K170:P170,TRANSPOSE(戦略の決定!$D$13:$D$18))</f>
        <v>-1.0717967750398325E-2</v>
      </c>
      <c r="D170" s="29">
        <f t="array" ref="D170">SUMPRODUCT('ファンドデータ(変更不要)'!K170:P170,TRANSPOSE(戦略の決定!$E$13:$E$18))</f>
        <v>-1.0408250461073751E-2</v>
      </c>
      <c r="E170" s="29">
        <f t="array" ref="E170">SUMPRODUCT('ファンドデータ(変更不要)'!K170:P170,TRANSPOSE(戦略の決定!$F$13:$F$18))</f>
        <v>-1.0408250461073751E-2</v>
      </c>
      <c r="F170" s="183">
        <f t="shared" si="18"/>
        <v>1.1832200943220184</v>
      </c>
      <c r="G170" s="183">
        <f t="shared" si="19"/>
        <v>1.2591110012408915</v>
      </c>
      <c r="H170" s="75">
        <f t="shared" si="20"/>
        <v>1.2591110012408915</v>
      </c>
      <c r="J170"/>
      <c r="K170"/>
      <c r="L170"/>
      <c r="M170"/>
      <c r="N170"/>
      <c r="O170"/>
      <c r="P170"/>
    </row>
    <row r="171" spans="2:16" x14ac:dyDescent="0.15">
      <c r="B171" s="16">
        <v>41012</v>
      </c>
      <c r="C171" s="29">
        <f t="array" ref="C171">SUMPRODUCT('ファンドデータ(変更不要)'!K171:P171,TRANSPOSE(戦略の決定!$D$13:$D$18))</f>
        <v>-5.0676350601577295E-3</v>
      </c>
      <c r="D171" s="29">
        <f t="array" ref="D171">SUMPRODUCT('ファンドデータ(変更不要)'!K171:P171,TRANSPOSE(戦略の決定!$E$13:$E$18))</f>
        <v>-8.0915236455768296E-3</v>
      </c>
      <c r="E171" s="29">
        <f t="array" ref="E171">SUMPRODUCT('ファンドデータ(変更不要)'!K171:P171,TRANSPOSE(戦略の決定!$F$13:$F$18))</f>
        <v>-8.0915236455768296E-3</v>
      </c>
      <c r="F171" s="183">
        <f t="shared" si="18"/>
        <v>1.177223966688149</v>
      </c>
      <c r="G171" s="183">
        <f t="shared" si="19"/>
        <v>1.2489228748019447</v>
      </c>
      <c r="H171" s="75">
        <f t="shared" si="20"/>
        <v>1.2489228748019447</v>
      </c>
      <c r="J171"/>
      <c r="K171"/>
      <c r="L171"/>
      <c r="M171"/>
      <c r="N171"/>
      <c r="O171"/>
      <c r="P171"/>
    </row>
    <row r="172" spans="2:16" x14ac:dyDescent="0.15">
      <c r="B172" s="16">
        <v>41019</v>
      </c>
      <c r="C172" s="29">
        <f t="array" ref="C172">SUMPRODUCT('ファンドデータ(変更不要)'!K172:P172,TRANSPOSE(戦略の決定!$D$13:$D$18))</f>
        <v>5.029915767837163E-3</v>
      </c>
      <c r="D172" s="29">
        <f t="array" ref="D172">SUMPRODUCT('ファンドデータ(変更不要)'!K172:P172,TRANSPOSE(戦略の決定!$E$13:$E$18))</f>
        <v>8.4492979132712379E-3</v>
      </c>
      <c r="E172" s="29">
        <f t="array" ref="E172">SUMPRODUCT('ファンドデータ(変更不要)'!K172:P172,TRANSPOSE(戦略の決定!$F$13:$F$18))</f>
        <v>8.4492979132712379E-3</v>
      </c>
      <c r="F172" s="183">
        <f t="shared" si="18"/>
        <v>1.1831453040804694</v>
      </c>
      <c r="G172" s="183">
        <f t="shared" si="19"/>
        <v>1.2594753962418457</v>
      </c>
      <c r="H172" s="75">
        <f t="shared" si="20"/>
        <v>1.2594753962418457</v>
      </c>
      <c r="J172"/>
      <c r="K172"/>
      <c r="L172"/>
      <c r="M172"/>
      <c r="N172"/>
      <c r="O172"/>
      <c r="P172"/>
    </row>
    <row r="173" spans="2:16" x14ac:dyDescent="0.15">
      <c r="B173" s="16">
        <v>41026</v>
      </c>
      <c r="C173" s="29">
        <f t="array" ref="C173">SUMPRODUCT('ファンドデータ(変更不要)'!K173:P173,TRANSPOSE(戦略の決定!$D$13:$D$18))</f>
        <v>-1.5071843910087631E-3</v>
      </c>
      <c r="D173" s="29">
        <f t="array" ref="D173">SUMPRODUCT('ファンドデータ(変更不要)'!K173:P173,TRANSPOSE(戦略の決定!$E$13:$E$18))</f>
        <v>-2.359560376750126E-3</v>
      </c>
      <c r="E173" s="29">
        <f t="array" ref="E173">SUMPRODUCT('ファンドデータ(変更不要)'!K173:P173,TRANSPOSE(戦略の決定!$F$13:$F$18))</f>
        <v>-2.359560376750126E-3</v>
      </c>
      <c r="F173" s="183">
        <f t="shared" si="18"/>
        <v>1.181362085945864</v>
      </c>
      <c r="G173" s="183">
        <f t="shared" si="19"/>
        <v>1.2565035880013817</v>
      </c>
      <c r="H173" s="75">
        <f t="shared" si="20"/>
        <v>1.2565035880013817</v>
      </c>
      <c r="J173"/>
      <c r="K173"/>
      <c r="L173"/>
      <c r="M173"/>
      <c r="N173"/>
      <c r="O173"/>
      <c r="P173"/>
    </row>
    <row r="174" spans="2:16" x14ac:dyDescent="0.15">
      <c r="B174" s="16">
        <v>41033</v>
      </c>
      <c r="C174" s="29">
        <f t="array" ref="C174">SUMPRODUCT('ファンドデータ(変更不要)'!K174:P174,TRANSPOSE(戦略の決定!$D$13:$D$18))</f>
        <v>-4.1939653510825329E-3</v>
      </c>
      <c r="D174" s="29">
        <f t="array" ref="D174">SUMPRODUCT('ファンドデータ(変更不要)'!K174:P174,TRANSPOSE(戦略の決定!$E$13:$E$18))</f>
        <v>-2.787235904379686E-3</v>
      </c>
      <c r="E174" s="29">
        <f t="array" ref="E174">SUMPRODUCT('ファンドデータ(変更不要)'!K174:P174,TRANSPOSE(戦略の決定!$F$13:$F$18))</f>
        <v>-2.787235904379686E-3</v>
      </c>
      <c r="F174" s="183">
        <f t="shared" si="18"/>
        <v>1.1764074942903244</v>
      </c>
      <c r="G174" s="183">
        <f t="shared" si="19"/>
        <v>1.2530014160869223</v>
      </c>
      <c r="H174" s="75">
        <f t="shared" si="20"/>
        <v>1.2530014160869223</v>
      </c>
      <c r="J174"/>
      <c r="K174"/>
      <c r="L174"/>
      <c r="M174"/>
      <c r="N174"/>
      <c r="O174"/>
      <c r="P174"/>
    </row>
    <row r="175" spans="2:16" x14ac:dyDescent="0.15">
      <c r="B175" s="16">
        <v>41040</v>
      </c>
      <c r="C175" s="29">
        <f t="array" ref="C175">SUMPRODUCT('ファンドデータ(変更不要)'!K175:P175,TRANSPOSE(戦略の決定!$D$13:$D$18))</f>
        <v>-1.8307911390840384E-2</v>
      </c>
      <c r="D175" s="29">
        <f t="array" ref="D175">SUMPRODUCT('ファンドデータ(変更不要)'!K175:P175,TRANSPOSE(戦略の決定!$E$13:$E$18))</f>
        <v>-2.5734435099936431E-2</v>
      </c>
      <c r="E175" s="29">
        <f t="array" ref="E175">SUMPRODUCT('ファンドデータ(変更不要)'!K175:P175,TRANSPOSE(戦略の決定!$F$13:$F$18))</f>
        <v>-2.5734435099936431E-2</v>
      </c>
      <c r="F175" s="183">
        <f t="shared" si="18"/>
        <v>1.1548699301253365</v>
      </c>
      <c r="G175" s="183">
        <f t="shared" si="19"/>
        <v>1.2207561324645049</v>
      </c>
      <c r="H175" s="75">
        <f t="shared" si="20"/>
        <v>1.2207561324645049</v>
      </c>
      <c r="J175"/>
      <c r="K175"/>
      <c r="L175"/>
      <c r="M175"/>
      <c r="N175"/>
      <c r="O175"/>
      <c r="P175"/>
    </row>
    <row r="176" spans="2:16" x14ac:dyDescent="0.15">
      <c r="B176" s="16">
        <v>41047</v>
      </c>
      <c r="C176" s="29">
        <f t="array" ref="C176">SUMPRODUCT('ファンドデータ(変更不要)'!K176:P176,TRANSPOSE(戦略の決定!$D$13:$D$18))</f>
        <v>-1.5790206485455986E-2</v>
      </c>
      <c r="D176" s="29">
        <f t="array" ref="D176">SUMPRODUCT('ファンドデータ(変更不要)'!K176:P176,TRANSPOSE(戦略の決定!$E$13:$E$18))</f>
        <v>-2.1067111189990058E-2</v>
      </c>
      <c r="E176" s="29">
        <f t="array" ref="E176">SUMPRODUCT('ファンドデータ(変更不要)'!K176:P176,TRANSPOSE(戦略の決定!$F$13:$F$18))</f>
        <v>-2.1067111189990058E-2</v>
      </c>
      <c r="F176" s="183">
        <f t="shared" si="18"/>
        <v>1.1366342954648132</v>
      </c>
      <c r="G176" s="183">
        <f t="shared" si="19"/>
        <v>1.195038327286013</v>
      </c>
      <c r="H176" s="75">
        <f t="shared" si="20"/>
        <v>1.195038327286013</v>
      </c>
      <c r="J176"/>
      <c r="K176"/>
      <c r="L176"/>
      <c r="M176"/>
      <c r="N176"/>
      <c r="O176"/>
      <c r="P176"/>
    </row>
    <row r="177" spans="2:16" x14ac:dyDescent="0.15">
      <c r="B177" s="16">
        <v>41054</v>
      </c>
      <c r="C177" s="29">
        <f t="array" ref="C177">SUMPRODUCT('ファンドデータ(変更不要)'!K177:P177,TRANSPOSE(戦略の決定!$D$13:$D$18))</f>
        <v>-2.2851223347968731E-3</v>
      </c>
      <c r="D177" s="29">
        <f t="array" ref="D177">SUMPRODUCT('ファンドデータ(変更不要)'!K177:P177,TRANSPOSE(戦略の決定!$E$13:$E$18))</f>
        <v>-2.2915582065445622E-3</v>
      </c>
      <c r="E177" s="29">
        <f t="array" ref="E177">SUMPRODUCT('ファンドデータ(変更不要)'!K177:P177,TRANSPOSE(戦略の決定!$F$13:$F$18))</f>
        <v>-2.2915582065445622E-3</v>
      </c>
      <c r="F177" s="183">
        <f t="shared" si="18"/>
        <v>1.1340369470497504</v>
      </c>
      <c r="G177" s="183">
        <f t="shared" si="19"/>
        <v>1.1922998273999854</v>
      </c>
      <c r="H177" s="75">
        <f t="shared" si="20"/>
        <v>1.1922998273999854</v>
      </c>
      <c r="J177"/>
      <c r="K177"/>
      <c r="L177"/>
      <c r="M177"/>
      <c r="N177"/>
      <c r="O177"/>
      <c r="P177"/>
    </row>
    <row r="178" spans="2:16" x14ac:dyDescent="0.15">
      <c r="B178" s="16">
        <v>41061</v>
      </c>
      <c r="C178" s="29">
        <f t="array" ref="C178">SUMPRODUCT('ファンドデータ(変更不要)'!K178:P178,TRANSPOSE(戦略の決定!$D$13:$D$18))</f>
        <v>-5.763346433490483E-3</v>
      </c>
      <c r="D178" s="29">
        <f t="array" ref="D178">SUMPRODUCT('ファンドデータ(変更不要)'!K178:P178,TRANSPOSE(戦略の決定!$E$13:$E$18))</f>
        <v>-5.4761297031892288E-3</v>
      </c>
      <c r="E178" s="29">
        <f t="array" ref="E178">SUMPRODUCT('ファンドデータ(変更不要)'!K178:P178,TRANSPOSE(戦略の決定!$F$13:$F$18))</f>
        <v>-5.4761297031892288E-3</v>
      </c>
      <c r="F178" s="183">
        <f t="shared" si="18"/>
        <v>1.1275010992555248</v>
      </c>
      <c r="G178" s="183">
        <f t="shared" si="19"/>
        <v>1.1857706389000531</v>
      </c>
      <c r="H178" s="75">
        <f t="shared" si="20"/>
        <v>1.1857706389000531</v>
      </c>
      <c r="J178"/>
      <c r="K178"/>
      <c r="L178"/>
      <c r="M178"/>
      <c r="N178"/>
      <c r="O178"/>
      <c r="P178"/>
    </row>
    <row r="179" spans="2:16" x14ac:dyDescent="0.15">
      <c r="B179" s="16">
        <v>41068</v>
      </c>
      <c r="C179" s="29">
        <f t="array" ref="C179">SUMPRODUCT('ファンドデータ(変更不要)'!K179:P179,TRANSPOSE(戦略の決定!$D$13:$D$18))</f>
        <v>4.1109768503188194E-3</v>
      </c>
      <c r="D179" s="29">
        <f t="array" ref="D179">SUMPRODUCT('ファンドデータ(変更不要)'!K179:P179,TRANSPOSE(戦略の決定!$E$13:$E$18))</f>
        <v>2.9526448376053409E-3</v>
      </c>
      <c r="E179" s="29">
        <f t="array" ref="E179">SUMPRODUCT('ファンドデータ(変更不要)'!K179:P179,TRANSPOSE(戦略の決定!$F$13:$F$18))</f>
        <v>2.9526448376053409E-3</v>
      </c>
      <c r="F179" s="183">
        <f t="shared" si="18"/>
        <v>1.1321362301732734</v>
      </c>
      <c r="G179" s="183">
        <f t="shared" si="19"/>
        <v>1.1892717984555854</v>
      </c>
      <c r="H179" s="75">
        <f t="shared" si="20"/>
        <v>1.1892717984555854</v>
      </c>
      <c r="J179"/>
      <c r="K179"/>
      <c r="L179"/>
      <c r="M179"/>
      <c r="N179"/>
      <c r="O179"/>
      <c r="P179"/>
    </row>
    <row r="180" spans="2:16" x14ac:dyDescent="0.15">
      <c r="B180" s="16">
        <v>41075</v>
      </c>
      <c r="C180" s="29">
        <f t="array" ref="C180">SUMPRODUCT('ファンドデータ(変更不要)'!K180:P180,TRANSPOSE(戦略の決定!$D$13:$D$18))</f>
        <v>2.0609157499289258E-3</v>
      </c>
      <c r="D180" s="29">
        <f t="array" ref="D180">SUMPRODUCT('ファンドデータ(変更不要)'!K180:P180,TRANSPOSE(戦略の決定!$E$13:$E$18))</f>
        <v>3.9303746187044457E-3</v>
      </c>
      <c r="E180" s="29">
        <f t="array" ref="E180">SUMPRODUCT('ファンドデータ(変更不要)'!K180:P180,TRANSPOSE(戦略の決定!$F$13:$F$18))</f>
        <v>3.9303746187044457E-3</v>
      </c>
      <c r="F180" s="183">
        <f t="shared" si="18"/>
        <v>1.1344694675611027</v>
      </c>
      <c r="G180" s="183">
        <f t="shared" si="19"/>
        <v>1.1939460821469763</v>
      </c>
      <c r="H180" s="75">
        <f t="shared" si="20"/>
        <v>1.1939460821469763</v>
      </c>
      <c r="J180"/>
      <c r="K180"/>
      <c r="L180"/>
      <c r="M180"/>
      <c r="N180"/>
      <c r="O180"/>
      <c r="P180"/>
    </row>
    <row r="181" spans="2:16" x14ac:dyDescent="0.15">
      <c r="B181" s="16">
        <v>41082</v>
      </c>
      <c r="C181" s="29">
        <f t="array" ref="C181">SUMPRODUCT('ファンドデータ(変更不要)'!K181:P181,TRANSPOSE(戦略の決定!$D$13:$D$18))</f>
        <v>1.7795045657815631E-2</v>
      </c>
      <c r="D181" s="29">
        <f t="array" ref="D181">SUMPRODUCT('ファンドデータ(変更不要)'!K181:P181,TRANSPOSE(戦略の決定!$E$13:$E$18))</f>
        <v>2.5414092907225551E-2</v>
      </c>
      <c r="E181" s="29">
        <f t="array" ref="E181">SUMPRODUCT('ファンドデータ(変更不要)'!K181:P181,TRANSPOSE(戦略の決定!$F$13:$F$18))</f>
        <v>2.5414092907225551E-2</v>
      </c>
      <c r="F181" s="183">
        <f t="shared" si="18"/>
        <v>1.1546574035337502</v>
      </c>
      <c r="G181" s="183">
        <f t="shared" si="19"/>
        <v>1.2242891388048776</v>
      </c>
      <c r="H181" s="75">
        <f t="shared" si="20"/>
        <v>1.2242891388048776</v>
      </c>
      <c r="J181"/>
      <c r="K181"/>
      <c r="L181"/>
      <c r="M181"/>
      <c r="N181"/>
      <c r="O181"/>
      <c r="P181"/>
    </row>
    <row r="182" spans="2:16" x14ac:dyDescent="0.15">
      <c r="B182" s="16">
        <v>41089</v>
      </c>
      <c r="C182" s="29">
        <f t="array" ref="C182">SUMPRODUCT('ファンドデータ(変更不要)'!K182:P182,TRANSPOSE(戦略の決定!$D$13:$D$18))</f>
        <v>-6.1756512619656322E-4</v>
      </c>
      <c r="D182" s="29">
        <f t="array" ref="D182">SUMPRODUCT('ファンドデータ(変更不要)'!K182:P182,TRANSPOSE(戦略の決定!$E$13:$E$18))</f>
        <v>-1.0515033845722248E-3</v>
      </c>
      <c r="E182" s="29">
        <f t="array" ref="E182">SUMPRODUCT('ファンドデータ(変更不要)'!K182:P182,TRANSPOSE(戦略の決定!$F$13:$F$18))</f>
        <v>-1.0515033845722248E-3</v>
      </c>
      <c r="F182" s="183">
        <f t="shared" si="18"/>
        <v>1.1539443273886232</v>
      </c>
      <c r="G182" s="183">
        <f t="shared" si="19"/>
        <v>1.2230017946317291</v>
      </c>
      <c r="H182" s="75">
        <f t="shared" si="20"/>
        <v>1.2230017946317291</v>
      </c>
      <c r="J182"/>
      <c r="K182"/>
      <c r="L182"/>
      <c r="M182"/>
      <c r="N182"/>
      <c r="O182"/>
      <c r="P182"/>
    </row>
    <row r="183" spans="2:16" x14ac:dyDescent="0.15">
      <c r="B183" s="16">
        <v>41096</v>
      </c>
      <c r="C183" s="29">
        <f t="array" ref="C183">SUMPRODUCT('ファンドデータ(変更不要)'!K183:P183,TRANSPOSE(戦略の決定!$D$13:$D$18))</f>
        <v>7.6639393150304651E-3</v>
      </c>
      <c r="D183" s="29">
        <f t="array" ref="D183">SUMPRODUCT('ファンドデータ(変更不要)'!K183:P183,TRANSPOSE(戦略の決定!$E$13:$E$18))</f>
        <v>1.1238250071444725E-2</v>
      </c>
      <c r="E183" s="29">
        <f t="array" ref="E183">SUMPRODUCT('ファンドデータ(変更不要)'!K183:P183,TRANSPOSE(戦略の決定!$F$13:$F$18))</f>
        <v>1.1238250071444725E-2</v>
      </c>
      <c r="F183" s="183">
        <f t="shared" si="18"/>
        <v>1.1627880866866531</v>
      </c>
      <c r="G183" s="183">
        <f t="shared" si="19"/>
        <v>1.2367461946376261</v>
      </c>
      <c r="H183" s="75">
        <f t="shared" si="20"/>
        <v>1.2367461946376261</v>
      </c>
      <c r="J183"/>
      <c r="K183"/>
      <c r="L183"/>
      <c r="M183"/>
      <c r="N183"/>
      <c r="O183"/>
      <c r="P183"/>
    </row>
    <row r="184" spans="2:16" x14ac:dyDescent="0.15">
      <c r="B184" s="16">
        <v>41103</v>
      </c>
      <c r="C184" s="29">
        <f t="array" ref="C184">SUMPRODUCT('ファンドデータ(変更不要)'!K184:P184,TRANSPOSE(戦略の決定!$D$13:$D$18))</f>
        <v>-9.3207021939587572E-3</v>
      </c>
      <c r="D184" s="29">
        <f t="array" ref="D184">SUMPRODUCT('ファンドデータ(変更不要)'!K184:P184,TRANSPOSE(戦略の決定!$E$13:$E$18))</f>
        <v>-1.2097969384448463E-2</v>
      </c>
      <c r="E184" s="29">
        <f t="array" ref="E184">SUMPRODUCT('ファンドデータ(変更不要)'!K184:P184,TRANSPOSE(戦略の決定!$F$13:$F$18))</f>
        <v>-1.2097969384448463E-2</v>
      </c>
      <c r="F184" s="183">
        <f t="shared" si="18"/>
        <v>1.1519500852159636</v>
      </c>
      <c r="G184" s="183">
        <f t="shared" si="19"/>
        <v>1.2217840770385668</v>
      </c>
      <c r="H184" s="75">
        <f t="shared" si="20"/>
        <v>1.2217840770385668</v>
      </c>
      <c r="J184"/>
      <c r="K184"/>
      <c r="L184"/>
      <c r="M184"/>
      <c r="N184"/>
      <c r="O184"/>
      <c r="P184"/>
    </row>
    <row r="185" spans="2:16" x14ac:dyDescent="0.15">
      <c r="B185" s="16">
        <v>41110</v>
      </c>
      <c r="C185" s="29">
        <f t="array" ref="C185">SUMPRODUCT('ファンドデータ(変更不要)'!K185:P185,TRANSPOSE(戦略の決定!$D$13:$D$18))</f>
        <v>2.82881191138263E-4</v>
      </c>
      <c r="D185" s="29">
        <f t="array" ref="D185">SUMPRODUCT('ファンドデータ(変更不要)'!K185:P185,TRANSPOSE(戦略の決定!$E$13:$E$18))</f>
        <v>2.5204319174091838E-3</v>
      </c>
      <c r="E185" s="29">
        <f t="array" ref="E185">SUMPRODUCT('ファンドデータ(変更不要)'!K185:P185,TRANSPOSE(戦略の決定!$F$13:$F$18))</f>
        <v>2.5204319174091838E-3</v>
      </c>
      <c r="F185" s="183">
        <f t="shared" si="18"/>
        <v>1.1522759502282012</v>
      </c>
      <c r="G185" s="183">
        <f t="shared" si="19"/>
        <v>1.2248635006225173</v>
      </c>
      <c r="H185" s="75">
        <f t="shared" si="20"/>
        <v>1.2248635006225173</v>
      </c>
      <c r="J185"/>
      <c r="K185"/>
      <c r="L185"/>
      <c r="M185"/>
      <c r="N185"/>
      <c r="O185"/>
      <c r="P185"/>
    </row>
    <row r="186" spans="2:16" x14ac:dyDescent="0.15">
      <c r="B186" s="16">
        <v>41117</v>
      </c>
      <c r="C186" s="29">
        <f t="array" ref="C186">SUMPRODUCT('ファンドデータ(変更不要)'!K186:P186,TRANSPOSE(戦略の決定!$D$13:$D$18))</f>
        <v>-2.8390031720705168E-3</v>
      </c>
      <c r="D186" s="29">
        <f t="array" ref="D186">SUMPRODUCT('ファンドデータ(変更不要)'!K186:P186,TRANSPOSE(戦略の決定!$E$13:$E$18))</f>
        <v>-1.8775389671141958E-3</v>
      </c>
      <c r="E186" s="29">
        <f t="array" ref="E186">SUMPRODUCT('ファンドデータ(変更不要)'!K186:P186,TRANSPOSE(戦略の決定!$F$13:$F$18))</f>
        <v>-1.8775389671141958E-3</v>
      </c>
      <c r="F186" s="183">
        <f t="shared" si="18"/>
        <v>1.1490046351504026</v>
      </c>
      <c r="G186" s="183">
        <f t="shared" si="19"/>
        <v>1.2225637716707025</v>
      </c>
      <c r="H186" s="75">
        <f t="shared" si="20"/>
        <v>1.2225637716707025</v>
      </c>
      <c r="J186"/>
      <c r="K186"/>
      <c r="L186"/>
      <c r="M186"/>
      <c r="N186"/>
      <c r="O186"/>
      <c r="P186"/>
    </row>
    <row r="187" spans="2:16" x14ac:dyDescent="0.15">
      <c r="B187" s="16">
        <v>41124</v>
      </c>
      <c r="C187" s="29">
        <f t="array" ref="C187">SUMPRODUCT('ファンドデータ(変更不要)'!K187:P187,TRANSPOSE(戦略の決定!$D$13:$D$18))</f>
        <v>-1.0087396626636065E-3</v>
      </c>
      <c r="D187" s="29">
        <f t="array" ref="D187">SUMPRODUCT('ファンドデータ(変更不要)'!K187:P187,TRANSPOSE(戦略の決定!$E$13:$E$18))</f>
        <v>-1.1675041658237807E-4</v>
      </c>
      <c r="E187" s="29">
        <f t="array" ref="E187">SUMPRODUCT('ファンドデータ(変更不要)'!K187:P187,TRANSPOSE(戦略の決定!$F$13:$F$18))</f>
        <v>-1.1675041658237807E-4</v>
      </c>
      <c r="F187" s="183">
        <f t="shared" si="18"/>
        <v>1.1478455886023422</v>
      </c>
      <c r="G187" s="183">
        <f t="shared" si="19"/>
        <v>1.2224210368410615</v>
      </c>
      <c r="H187" s="75">
        <f t="shared" si="20"/>
        <v>1.2224210368410615</v>
      </c>
      <c r="J187"/>
      <c r="K187"/>
      <c r="L187"/>
      <c r="M187"/>
      <c r="N187"/>
      <c r="O187"/>
      <c r="P187"/>
    </row>
    <row r="188" spans="2:16" x14ac:dyDescent="0.15">
      <c r="B188" s="16">
        <v>41131</v>
      </c>
      <c r="C188" s="29">
        <f t="array" ref="C188">SUMPRODUCT('ファンドデータ(変更不要)'!K188:P188,TRANSPOSE(戦略の決定!$D$13:$D$18))</f>
        <v>7.3415481888347567E-3</v>
      </c>
      <c r="D188" s="29">
        <f t="array" ref="D188">SUMPRODUCT('ファンドデータ(変更不要)'!K188:P188,TRANSPOSE(戦略の決定!$E$13:$E$18))</f>
        <v>7.3253712326322154E-3</v>
      </c>
      <c r="E188" s="29">
        <f t="array" ref="E188">SUMPRODUCT('ファンドデータ(変更不要)'!K188:P188,TRANSPOSE(戦略の決定!$F$13:$F$18))</f>
        <v>7.3253712326322154E-3</v>
      </c>
      <c r="F188" s="183">
        <f t="shared" si="18"/>
        <v>1.1562725523044077</v>
      </c>
      <c r="G188" s="183">
        <f t="shared" si="19"/>
        <v>1.2313757247385015</v>
      </c>
      <c r="H188" s="75">
        <f t="shared" si="20"/>
        <v>1.2313757247385015</v>
      </c>
      <c r="J188"/>
      <c r="K188"/>
      <c r="L188"/>
      <c r="M188"/>
      <c r="N188"/>
      <c r="O188"/>
      <c r="P188"/>
    </row>
    <row r="189" spans="2:16" x14ac:dyDescent="0.15">
      <c r="B189" s="16">
        <v>41138</v>
      </c>
      <c r="C189" s="29">
        <f t="array" ref="C189">SUMPRODUCT('ファンドデータ(変更不要)'!K189:P189,TRANSPOSE(戦略の決定!$D$13:$D$18))</f>
        <v>8.144088932887544E-3</v>
      </c>
      <c r="D189" s="29">
        <f t="array" ref="D189">SUMPRODUCT('ファンドデータ(変更不要)'!K189:P189,TRANSPOSE(戦略の決定!$E$13:$E$18))</f>
        <v>9.2269915185697968E-3</v>
      </c>
      <c r="E189" s="29">
        <f t="array" ref="E189">SUMPRODUCT('ファンドデータ(変更不要)'!K189:P189,TRANSPOSE(戦略の決定!$F$13:$F$18))</f>
        <v>9.2269915185697968E-3</v>
      </c>
      <c r="F189" s="183">
        <f t="shared" si="18"/>
        <v>1.1656893388010319</v>
      </c>
      <c r="G189" s="183">
        <f t="shared" si="19"/>
        <v>1.2427376181068366</v>
      </c>
      <c r="H189" s="75">
        <f t="shared" si="20"/>
        <v>1.2427376181068366</v>
      </c>
      <c r="J189"/>
      <c r="K189"/>
      <c r="L189"/>
      <c r="M189"/>
      <c r="N189"/>
      <c r="O189"/>
      <c r="P189"/>
    </row>
    <row r="190" spans="2:16" x14ac:dyDescent="0.15">
      <c r="B190" s="16">
        <v>41145</v>
      </c>
      <c r="C190" s="29">
        <f t="array" ref="C190">SUMPRODUCT('ファンドデータ(変更不要)'!K190:P190,TRANSPOSE(戦略の決定!$D$13:$D$18))</f>
        <v>5.1855571101180314E-3</v>
      </c>
      <c r="D190" s="29">
        <f t="array" ref="D190">SUMPRODUCT('ファンドデータ(変更不要)'!K190:P190,TRANSPOSE(戦略の決定!$E$13:$E$18))</f>
        <v>9.2617277800416016E-3</v>
      </c>
      <c r="E190" s="29">
        <f t="array" ref="E190">SUMPRODUCT('ファンドデータ(変更不要)'!K190:P190,TRANSPOSE(戦略の決定!$F$13:$F$18))</f>
        <v>9.2617277800416016E-3</v>
      </c>
      <c r="F190" s="183">
        <f t="shared" si="18"/>
        <v>1.1717340874400404</v>
      </c>
      <c r="G190" s="183">
        <f t="shared" si="19"/>
        <v>1.2542475156277593</v>
      </c>
      <c r="H190" s="75">
        <f t="shared" si="20"/>
        <v>1.2542475156277593</v>
      </c>
      <c r="J190"/>
      <c r="K190"/>
      <c r="L190"/>
      <c r="M190"/>
      <c r="N190"/>
      <c r="O190"/>
      <c r="P190"/>
    </row>
    <row r="191" spans="2:16" x14ac:dyDescent="0.15">
      <c r="B191" s="16">
        <v>41152</v>
      </c>
      <c r="C191" s="29">
        <f t="array" ref="C191">SUMPRODUCT('ファンドデータ(変更不要)'!K191:P191,TRANSPOSE(戦略の決定!$D$13:$D$18))</f>
        <v>-2.9115380341298786E-3</v>
      </c>
      <c r="D191" s="29">
        <f t="array" ref="D191">SUMPRODUCT('ファンドデータ(変更不要)'!K191:P191,TRANSPOSE(戦略の決定!$E$13:$E$18))</f>
        <v>-1.6896302991936637E-3</v>
      </c>
      <c r="E191" s="29">
        <f t="array" ref="E191">SUMPRODUCT('ファンドデータ(変更不要)'!K191:P191,TRANSPOSE(戦略の決定!$F$13:$F$18))</f>
        <v>-1.6896302991936637E-3</v>
      </c>
      <c r="F191" s="183">
        <f t="shared" si="18"/>
        <v>1.1683225390785721</v>
      </c>
      <c r="G191" s="183">
        <f t="shared" si="19"/>
        <v>1.2521283010226663</v>
      </c>
      <c r="H191" s="75">
        <f t="shared" si="20"/>
        <v>1.2521283010226663</v>
      </c>
      <c r="J191"/>
      <c r="K191"/>
      <c r="L191"/>
      <c r="M191"/>
      <c r="N191"/>
      <c r="O191"/>
      <c r="P191"/>
    </row>
    <row r="192" spans="2:16" x14ac:dyDescent="0.15">
      <c r="B192" s="16">
        <v>41159</v>
      </c>
      <c r="C192" s="29">
        <f t="array" ref="C192">SUMPRODUCT('ファンドデータ(変更不要)'!K192:P192,TRANSPOSE(戦略の決定!$D$13:$D$18))</f>
        <v>6.4088952823935386E-3</v>
      </c>
      <c r="D192" s="29">
        <f t="array" ref="D192">SUMPRODUCT('ファンドデータ(変更不要)'!K192:P192,TRANSPOSE(戦略の決定!$E$13:$E$18))</f>
        <v>9.5196118070381419E-3</v>
      </c>
      <c r="E192" s="29">
        <f t="array" ref="E192">SUMPRODUCT('ファンドデータ(変更不要)'!K192:P192,TRANSPOSE(戦略の決定!$F$13:$F$18))</f>
        <v>9.5196118070381419E-3</v>
      </c>
      <c r="F192" s="183">
        <f t="shared" si="18"/>
        <v>1.1758101958875868</v>
      </c>
      <c r="G192" s="183">
        <f t="shared" si="19"/>
        <v>1.2640480763810082</v>
      </c>
      <c r="H192" s="75">
        <f t="shared" si="20"/>
        <v>1.2640480763810082</v>
      </c>
      <c r="J192"/>
      <c r="K192"/>
      <c r="L192"/>
      <c r="M192"/>
      <c r="N192"/>
      <c r="O192"/>
      <c r="P192"/>
    </row>
    <row r="193" spans="2:16" x14ac:dyDescent="0.15">
      <c r="B193" s="16">
        <v>41166</v>
      </c>
      <c r="C193" s="29">
        <f t="array" ref="C193">SUMPRODUCT('ファンドデータ(変更不要)'!K193:P193,TRANSPOSE(戦略の決定!$D$13:$D$18))</f>
        <v>4.4150208742838983E-3</v>
      </c>
      <c r="D193" s="29">
        <f t="array" ref="D193">SUMPRODUCT('ファンドデータ(変更不要)'!K193:P193,TRANSPOSE(戦略の決定!$E$13:$E$18))</f>
        <v>3.5841938847223586E-3</v>
      </c>
      <c r="E193" s="29">
        <f t="array" ref="E193">SUMPRODUCT('ファンドデータ(変更不要)'!K193:P193,TRANSPOSE(戦略の決定!$F$13:$F$18))</f>
        <v>3.5841938847223586E-3</v>
      </c>
      <c r="F193" s="183">
        <f t="shared" si="18"/>
        <v>1.1810014224466263</v>
      </c>
      <c r="G193" s="183">
        <f t="shared" si="19"/>
        <v>1.2685786697663681</v>
      </c>
      <c r="H193" s="75">
        <f t="shared" si="20"/>
        <v>1.2685786697663681</v>
      </c>
      <c r="J193"/>
      <c r="K193"/>
      <c r="L193"/>
      <c r="M193"/>
      <c r="N193"/>
      <c r="O193"/>
      <c r="P193"/>
    </row>
    <row r="194" spans="2:16" x14ac:dyDescent="0.15">
      <c r="B194" s="16">
        <v>41173</v>
      </c>
      <c r="C194" s="29">
        <f t="array" ref="C194">SUMPRODUCT('ファンドデータ(変更不要)'!K194:P194,TRANSPOSE(戦略の決定!$D$13:$D$18))</f>
        <v>4.5457331342952656E-3</v>
      </c>
      <c r="D194" s="29">
        <f t="array" ref="D194">SUMPRODUCT('ファンドデータ(変更不要)'!K194:P194,TRANSPOSE(戦略の決定!$E$13:$E$18))</f>
        <v>7.1719718839797879E-3</v>
      </c>
      <c r="E194" s="29">
        <f t="array" ref="E194">SUMPRODUCT('ファンドデータ(変更不要)'!K194:P194,TRANSPOSE(戦略の決定!$F$13:$F$18))</f>
        <v>7.1719718839797879E-3</v>
      </c>
      <c r="F194" s="183">
        <f t="shared" si="18"/>
        <v>1.1863699397442917</v>
      </c>
      <c r="G194" s="183">
        <f t="shared" si="19"/>
        <v>1.277676880318549</v>
      </c>
      <c r="H194" s="75">
        <f t="shared" si="20"/>
        <v>1.277676880318549</v>
      </c>
      <c r="J194"/>
      <c r="K194"/>
      <c r="L194"/>
      <c r="M194"/>
      <c r="N194"/>
      <c r="O194"/>
      <c r="P194"/>
    </row>
    <row r="195" spans="2:16" x14ac:dyDescent="0.15">
      <c r="B195" s="16">
        <v>41180</v>
      </c>
      <c r="C195" s="29">
        <f t="array" ref="C195">SUMPRODUCT('ファンドデータ(変更不要)'!K195:P195,TRANSPOSE(戦略の決定!$D$13:$D$18))</f>
        <v>3.1285067773538081E-3</v>
      </c>
      <c r="D195" s="29">
        <f t="array" ref="D195">SUMPRODUCT('ファンドデータ(変更不要)'!K195:P195,TRANSPOSE(戦略の決定!$E$13:$E$18))</f>
        <v>9.6850370567228873E-3</v>
      </c>
      <c r="E195" s="29">
        <f t="array" ref="E195">SUMPRODUCT('ファンドデータ(変更不要)'!K195:P195,TRANSPOSE(戦略の決定!$F$13:$F$18))</f>
        <v>9.6850370567228873E-3</v>
      </c>
      <c r="F195" s="183">
        <f t="shared" si="18"/>
        <v>1.1900815061412306</v>
      </c>
      <c r="G195" s="183">
        <f t="shared" si="19"/>
        <v>1.2900512282509524</v>
      </c>
      <c r="H195" s="75">
        <f t="shared" si="20"/>
        <v>1.2900512282509524</v>
      </c>
      <c r="J195"/>
      <c r="K195"/>
      <c r="L195"/>
      <c r="M195"/>
      <c r="N195"/>
      <c r="O195"/>
      <c r="P195"/>
    </row>
    <row r="196" spans="2:16" x14ac:dyDescent="0.15">
      <c r="B196" s="16">
        <v>41187</v>
      </c>
      <c r="C196" s="29">
        <f t="array" ref="C196">SUMPRODUCT('ファンドデータ(変更不要)'!K196:P196,TRANSPOSE(戦略の決定!$D$13:$D$18))</f>
        <v>4.2416104912152306E-3</v>
      </c>
      <c r="D196" s="29">
        <f t="array" ref="D196">SUMPRODUCT('ファンドデータ(変更不要)'!K196:P196,TRANSPOSE(戦略の決定!$E$13:$E$18))</f>
        <v>4.1761314627312661E-3</v>
      </c>
      <c r="E196" s="29">
        <f t="array" ref="E196">SUMPRODUCT('ファンドデータ(変更不要)'!K196:P196,TRANSPOSE(戦略の決定!$F$13:$F$18))</f>
        <v>4.1761314627312661E-3</v>
      </c>
      <c r="F196" s="183">
        <f t="shared" si="18"/>
        <v>1.1951293683430806</v>
      </c>
      <c r="G196" s="183">
        <f t="shared" si="19"/>
        <v>1.2954386517737864</v>
      </c>
      <c r="H196" s="75">
        <f t="shared" si="20"/>
        <v>1.2954386517737864</v>
      </c>
      <c r="J196"/>
      <c r="K196"/>
      <c r="L196"/>
      <c r="M196"/>
      <c r="N196"/>
      <c r="O196"/>
      <c r="P196"/>
    </row>
    <row r="197" spans="2:16" x14ac:dyDescent="0.15">
      <c r="B197" s="16">
        <v>41194</v>
      </c>
      <c r="C197" s="29">
        <f t="array" ref="C197">SUMPRODUCT('ファンドデータ(変更不要)'!K197:P197,TRANSPOSE(戦略の決定!$D$13:$D$18))</f>
        <v>-3.5424594935832454E-3</v>
      </c>
      <c r="D197" s="29">
        <f t="array" ref="D197">SUMPRODUCT('ファンドデータ(変更不要)'!K197:P197,TRANSPOSE(戦略の決定!$E$13:$E$18))</f>
        <v>-1.7031444517172259E-4</v>
      </c>
      <c r="E197" s="29">
        <f t="array" ref="E197">SUMPRODUCT('ファンドデータ(変更不要)'!K197:P197,TRANSPOSE(戦略の決定!$F$13:$F$18))</f>
        <v>-1.7031444517172259E-4</v>
      </c>
      <c r="F197" s="183">
        <f t="shared" ref="F197:F260" si="21">F196*(1+C197)</f>
        <v>1.1908956709661336</v>
      </c>
      <c r="G197" s="183">
        <f t="shared" ref="G197:G260" si="22">G196*(1+D197)</f>
        <v>1.2952180198585557</v>
      </c>
      <c r="H197" s="75">
        <f t="shared" ref="H197:H260" si="23">H196*(1+E197)</f>
        <v>1.2952180198585557</v>
      </c>
      <c r="J197"/>
      <c r="K197"/>
      <c r="L197"/>
      <c r="M197"/>
      <c r="N197"/>
      <c r="O197"/>
      <c r="P197"/>
    </row>
    <row r="198" spans="2:16" x14ac:dyDescent="0.15">
      <c r="B198" s="16">
        <v>41201</v>
      </c>
      <c r="C198" s="29">
        <f t="array" ref="C198">SUMPRODUCT('ファンドデータ(変更不要)'!K198:P198,TRANSPOSE(戦略の決定!$D$13:$D$18))</f>
        <v>1.3190878966249521E-2</v>
      </c>
      <c r="D198" s="29">
        <f t="array" ref="D198">SUMPRODUCT('ファンドデータ(変更不要)'!K198:P198,TRANSPOSE(戦略の決定!$E$13:$E$18))</f>
        <v>1.3121349017245926E-2</v>
      </c>
      <c r="E198" s="29">
        <f t="array" ref="E198">SUMPRODUCT('ファンドデータ(変更不要)'!K198:P198,TRANSPOSE(戦略の決定!$F$13:$F$18))</f>
        <v>1.3121349017245926E-2</v>
      </c>
      <c r="F198" s="183">
        <f t="shared" si="21"/>
        <v>1.2066046316232784</v>
      </c>
      <c r="G198" s="183">
        <f t="shared" si="22"/>
        <v>1.3122130275505459</v>
      </c>
      <c r="H198" s="75">
        <f t="shared" si="23"/>
        <v>1.3122130275505459</v>
      </c>
      <c r="J198"/>
      <c r="K198"/>
      <c r="L198"/>
      <c r="M198"/>
      <c r="N198"/>
      <c r="O198"/>
      <c r="P198"/>
    </row>
    <row r="199" spans="2:16" x14ac:dyDescent="0.15">
      <c r="B199" s="16">
        <v>41208</v>
      </c>
      <c r="C199" s="29">
        <f t="array" ref="C199">SUMPRODUCT('ファンドデータ(変更不要)'!K199:P199,TRANSPOSE(戦略の決定!$D$13:$D$18))</f>
        <v>4.643583901800568E-3</v>
      </c>
      <c r="D199" s="29">
        <f t="array" ref="D199">SUMPRODUCT('ファンドデータ(変更不要)'!K199:P199,TRANSPOSE(戦略の決定!$E$13:$E$18))</f>
        <v>7.2376252746803628E-3</v>
      </c>
      <c r="E199" s="29">
        <f t="array" ref="E199">SUMPRODUCT('ファンドデータ(変更不要)'!K199:P199,TRANSPOSE(戦略の決定!$F$13:$F$18))</f>
        <v>7.2376252746803628E-3</v>
      </c>
      <c r="F199" s="183">
        <f t="shared" si="21"/>
        <v>1.2122076014665224</v>
      </c>
      <c r="G199" s="183">
        <f t="shared" si="22"/>
        <v>1.3217103337245106</v>
      </c>
      <c r="H199" s="75">
        <f t="shared" si="23"/>
        <v>1.3217103337245106</v>
      </c>
      <c r="J199"/>
      <c r="K199"/>
      <c r="L199"/>
      <c r="M199"/>
      <c r="N199"/>
      <c r="O199"/>
      <c r="P199"/>
    </row>
    <row r="200" spans="2:16" x14ac:dyDescent="0.15">
      <c r="B200" s="16">
        <v>41215</v>
      </c>
      <c r="C200" s="29">
        <f t="array" ref="C200">SUMPRODUCT('ファンドデータ(変更不要)'!K200:P200,TRANSPOSE(戦略の決定!$D$13:$D$18))</f>
        <v>6.4140760277125878E-3</v>
      </c>
      <c r="D200" s="29">
        <f t="array" ref="D200">SUMPRODUCT('ファンドデータ(変更不要)'!K200:P200,TRANSPOSE(戦略の決定!$E$13:$E$18))</f>
        <v>9.0127173921085383E-3</v>
      </c>
      <c r="E200" s="29">
        <f t="array" ref="E200">SUMPRODUCT('ファンドデータ(変更不要)'!K200:P200,TRANSPOSE(戦略の決定!$F$13:$F$18))</f>
        <v>9.0127173921085383E-3</v>
      </c>
      <c r="F200" s="183">
        <f t="shared" si="21"/>
        <v>1.2199827931836997</v>
      </c>
      <c r="G200" s="183">
        <f t="shared" si="22"/>
        <v>1.3336225354365991</v>
      </c>
      <c r="H200" s="75">
        <f t="shared" si="23"/>
        <v>1.3336225354365991</v>
      </c>
      <c r="J200"/>
      <c r="K200"/>
      <c r="L200"/>
      <c r="M200"/>
      <c r="N200"/>
      <c r="O200"/>
      <c r="P200"/>
    </row>
    <row r="201" spans="2:16" x14ac:dyDescent="0.15">
      <c r="B201" s="16">
        <v>41222</v>
      </c>
      <c r="C201" s="29">
        <f t="array" ref="C201">SUMPRODUCT('ファンドデータ(変更不要)'!K201:P201,TRANSPOSE(戦略の決定!$D$13:$D$18))</f>
        <v>-1.4521433779085853E-2</v>
      </c>
      <c r="D201" s="29">
        <f t="array" ref="D201">SUMPRODUCT('ファンドデータ(変更不要)'!K201:P201,TRANSPOSE(戦略の決定!$E$13:$E$18))</f>
        <v>-1.9716191757558121E-2</v>
      </c>
      <c r="E201" s="29">
        <f t="array" ref="E201">SUMPRODUCT('ファンドデータ(変更不要)'!K201:P201,TRANSPOSE(戦略の決定!$F$13:$F$18))</f>
        <v>-1.9716191757558121E-2</v>
      </c>
      <c r="F201" s="183">
        <f t="shared" si="21"/>
        <v>1.2022668938408585</v>
      </c>
      <c r="G201" s="183">
        <f t="shared" si="22"/>
        <v>1.3073285777957302</v>
      </c>
      <c r="H201" s="75">
        <f t="shared" si="23"/>
        <v>1.3073285777957302</v>
      </c>
      <c r="J201"/>
      <c r="K201"/>
      <c r="L201"/>
      <c r="M201"/>
      <c r="N201"/>
      <c r="O201"/>
      <c r="P201"/>
    </row>
    <row r="202" spans="2:16" x14ac:dyDescent="0.15">
      <c r="B202" s="16">
        <v>41229</v>
      </c>
      <c r="C202" s="29">
        <f t="array" ref="C202">SUMPRODUCT('ファンドデータ(変更不要)'!K202:P202,TRANSPOSE(戦略の決定!$D$13:$D$18))</f>
        <v>1.2500400062542296E-2</v>
      </c>
      <c r="D202" s="29">
        <f t="array" ref="D202">SUMPRODUCT('ファンドデータ(変更不要)'!K202:P202,TRANSPOSE(戦略の決定!$E$13:$E$18))</f>
        <v>1.170751090277913E-2</v>
      </c>
      <c r="E202" s="29">
        <f t="array" ref="E202">SUMPRODUCT('ファンドデータ(変更不要)'!K202:P202,TRANSPOSE(戦略の決定!$F$13:$F$18))</f>
        <v>1.170751090277913E-2</v>
      </c>
      <c r="F202" s="183">
        <f t="shared" si="21"/>
        <v>1.2172957109958193</v>
      </c>
      <c r="G202" s="183">
        <f t="shared" si="22"/>
        <v>1.3226341413737883</v>
      </c>
      <c r="H202" s="75">
        <f t="shared" si="23"/>
        <v>1.3226341413737883</v>
      </c>
      <c r="J202"/>
      <c r="K202"/>
      <c r="L202"/>
      <c r="M202"/>
      <c r="N202"/>
      <c r="O202"/>
      <c r="P202"/>
    </row>
    <row r="203" spans="2:16" x14ac:dyDescent="0.15">
      <c r="B203" s="16">
        <v>41236</v>
      </c>
      <c r="C203" s="29">
        <f t="array" ref="C203">SUMPRODUCT('ファンドデータ(変更不要)'!K203:P203,TRANSPOSE(戦略の決定!$D$13:$D$18))</f>
        <v>1.4075364131545271E-2</v>
      </c>
      <c r="D203" s="29">
        <f t="array" ref="D203">SUMPRODUCT('ファンドデータ(変更不要)'!K203:P203,TRANSPOSE(戦略の決定!$E$13:$E$18))</f>
        <v>1.6618694598656759E-2</v>
      </c>
      <c r="E203" s="29">
        <f t="array" ref="E203">SUMPRODUCT('ファンドデータ(変更不要)'!K203:P203,TRANSPOSE(戦略の決定!$F$13:$F$18))</f>
        <v>1.6618694598656759E-2</v>
      </c>
      <c r="F203" s="183">
        <f t="shared" si="21"/>
        <v>1.2344295913838537</v>
      </c>
      <c r="G203" s="183">
        <f t="shared" si="22"/>
        <v>1.344614594235036</v>
      </c>
      <c r="H203" s="75">
        <f t="shared" si="23"/>
        <v>1.344614594235036</v>
      </c>
      <c r="J203"/>
      <c r="K203"/>
      <c r="L203"/>
      <c r="M203"/>
      <c r="N203"/>
      <c r="O203"/>
      <c r="P203"/>
    </row>
    <row r="204" spans="2:16" x14ac:dyDescent="0.15">
      <c r="B204" s="16">
        <v>41243</v>
      </c>
      <c r="C204" s="29">
        <f t="array" ref="C204">SUMPRODUCT('ファンドデータ(変更不要)'!K204:P204,TRANSPOSE(戦略の決定!$D$13:$D$18))</f>
        <v>5.0655016215979147E-3</v>
      </c>
      <c r="D204" s="29">
        <f t="array" ref="D204">SUMPRODUCT('ファンドデータ(変更不要)'!K204:P204,TRANSPOSE(戦略の決定!$E$13:$E$18))</f>
        <v>6.0416451173300112E-3</v>
      </c>
      <c r="E204" s="29">
        <f t="array" ref="E204">SUMPRODUCT('ファンドデータ(変更不要)'!K204:P204,TRANSPOSE(戦略の決定!$F$13:$F$18))</f>
        <v>6.0416451173300112E-3</v>
      </c>
      <c r="F204" s="183">
        <f t="shared" si="21"/>
        <v>1.2406825964807571</v>
      </c>
      <c r="G204" s="183">
        <f t="shared" si="22"/>
        <v>1.3527382784329867</v>
      </c>
      <c r="H204" s="75">
        <f t="shared" si="23"/>
        <v>1.3527382784329867</v>
      </c>
      <c r="J204"/>
      <c r="K204"/>
      <c r="L204"/>
      <c r="M204"/>
      <c r="N204"/>
      <c r="O204"/>
      <c r="P204"/>
    </row>
    <row r="205" spans="2:16" x14ac:dyDescent="0.15">
      <c r="B205" s="16">
        <v>41250</v>
      </c>
      <c r="C205" s="29">
        <f t="array" ref="C205">SUMPRODUCT('ファンドデータ(変更不要)'!K205:P205,TRANSPOSE(戦略の決定!$D$13:$D$18))</f>
        <v>3.2291800529179711E-3</v>
      </c>
      <c r="D205" s="29">
        <f t="array" ref="D205">SUMPRODUCT('ファンドデータ(変更不要)'!K205:P205,TRANSPOSE(戦略の決定!$E$13:$E$18))</f>
        <v>2.2119303367029003E-3</v>
      </c>
      <c r="E205" s="29">
        <f t="array" ref="E205">SUMPRODUCT('ファンドデータ(変更不要)'!K205:P205,TRANSPOSE(戦略の決定!$F$13:$F$18))</f>
        <v>2.2119303367029003E-3</v>
      </c>
      <c r="F205" s="183">
        <f t="shared" si="21"/>
        <v>1.2446889839733153</v>
      </c>
      <c r="G205" s="183">
        <f t="shared" si="22"/>
        <v>1.3557304412686719</v>
      </c>
      <c r="H205" s="75">
        <f t="shared" si="23"/>
        <v>1.3557304412686719</v>
      </c>
      <c r="J205"/>
      <c r="K205"/>
      <c r="L205"/>
      <c r="M205"/>
      <c r="N205"/>
      <c r="O205"/>
      <c r="P205"/>
    </row>
    <row r="206" spans="2:16" x14ac:dyDescent="0.15">
      <c r="B206" s="16">
        <v>41257</v>
      </c>
      <c r="C206" s="29">
        <f t="array" ref="C206">SUMPRODUCT('ファンドデータ(変更不要)'!K206:P206,TRANSPOSE(戦略の決定!$D$13:$D$18))</f>
        <v>7.5746731721125895E-3</v>
      </c>
      <c r="D206" s="29">
        <f t="array" ref="D206">SUMPRODUCT('ファンドデータ(変更不要)'!K206:P206,TRANSPOSE(戦略の決定!$E$13:$E$18))</f>
        <v>7.32063275247242E-3</v>
      </c>
      <c r="E206" s="29">
        <f t="array" ref="E206">SUMPRODUCT('ファンドデータ(変更不要)'!K206:P206,TRANSPOSE(戦略の決定!$F$13:$F$18))</f>
        <v>7.32063275247242E-3</v>
      </c>
      <c r="F206" s="183">
        <f t="shared" si="21"/>
        <v>1.2541170962278421</v>
      </c>
      <c r="G206" s="183">
        <f t="shared" si="22"/>
        <v>1.3656552459405473</v>
      </c>
      <c r="H206" s="75">
        <f t="shared" si="23"/>
        <v>1.3656552459405473</v>
      </c>
      <c r="J206"/>
      <c r="K206"/>
      <c r="L206"/>
      <c r="M206"/>
      <c r="N206"/>
      <c r="O206"/>
      <c r="P206"/>
    </row>
    <row r="207" spans="2:16" x14ac:dyDescent="0.15">
      <c r="B207" s="16">
        <v>41264</v>
      </c>
      <c r="C207" s="29">
        <f t="array" ref="C207">SUMPRODUCT('ファンドデータ(変更不要)'!K207:P207,TRANSPOSE(戦略の決定!$D$13:$D$18))</f>
        <v>1.8150616368418675E-2</v>
      </c>
      <c r="D207" s="29">
        <f t="array" ref="D207">SUMPRODUCT('ファンドデータ(変更不要)'!K207:P207,TRANSPOSE(戦略の決定!$E$13:$E$18))</f>
        <v>2.6711869620528197E-2</v>
      </c>
      <c r="E207" s="29">
        <f t="array" ref="E207">SUMPRODUCT('ファンドデータ(変更不要)'!K207:P207,TRANSPOSE(戦略の決定!$F$13:$F$18))</f>
        <v>2.6711869620528197E-2</v>
      </c>
      <c r="F207" s="183">
        <f t="shared" si="21"/>
        <v>1.2768800945225487</v>
      </c>
      <c r="G207" s="183">
        <f t="shared" si="22"/>
        <v>1.4021344508167015</v>
      </c>
      <c r="H207" s="75">
        <f t="shared" si="23"/>
        <v>1.4021344508167015</v>
      </c>
      <c r="J207"/>
      <c r="K207"/>
      <c r="L207"/>
      <c r="M207"/>
      <c r="N207"/>
      <c r="O207"/>
      <c r="P207"/>
    </row>
    <row r="208" spans="2:16" x14ac:dyDescent="0.15">
      <c r="B208" s="16">
        <v>41271</v>
      </c>
      <c r="C208" s="29">
        <f t="array" ref="C208">SUMPRODUCT('ファンドデータ(変更不要)'!K208:P208,TRANSPOSE(戦略の決定!$D$13:$D$18))</f>
        <v>1.5474383774987305E-2</v>
      </c>
      <c r="D208" s="29">
        <f t="array" ref="D208">SUMPRODUCT('ファンドデータ(変更不要)'!K208:P208,TRANSPOSE(戦略の決定!$E$13:$E$18))</f>
        <v>1.4063692520529927E-2</v>
      </c>
      <c r="E208" s="29">
        <f t="array" ref="E208">SUMPRODUCT('ファンドデータ(変更不要)'!K208:P208,TRANSPOSE(戦略の決定!$F$13:$F$18))</f>
        <v>1.4063692520529927E-2</v>
      </c>
      <c r="F208" s="183">
        <f t="shared" si="21"/>
        <v>1.2966390271398327</v>
      </c>
      <c r="G208" s="183">
        <f t="shared" si="22"/>
        <v>1.4218536386054297</v>
      </c>
      <c r="H208" s="75">
        <f t="shared" si="23"/>
        <v>1.4218536386054297</v>
      </c>
      <c r="J208"/>
      <c r="K208"/>
      <c r="L208"/>
      <c r="M208"/>
      <c r="N208"/>
      <c r="O208"/>
      <c r="P208"/>
    </row>
    <row r="209" spans="2:16" x14ac:dyDescent="0.15">
      <c r="B209" s="16">
        <v>41278</v>
      </c>
      <c r="C209" s="29">
        <f t="array" ref="C209">SUMPRODUCT('ファンドデータ(変更不要)'!K209:P209,TRANSPOSE(戦略の決定!$D$13:$D$18))</f>
        <v>9.9547620608332332E-3</v>
      </c>
      <c r="D209" s="29">
        <f t="array" ref="D209">SUMPRODUCT('ファンドデータ(変更不要)'!K209:P209,TRANSPOSE(戦略の決定!$E$13:$E$18))</f>
        <v>1.554729770228518E-2</v>
      </c>
      <c r="E209" s="29">
        <f t="array" ref="E209">SUMPRODUCT('ファンドデータ(変更不要)'!K209:P209,TRANSPOSE(戦略の決定!$F$13:$F$18))</f>
        <v>1.554729770228518E-2</v>
      </c>
      <c r="F209" s="183">
        <f t="shared" si="21"/>
        <v>1.3095467601337998</v>
      </c>
      <c r="G209" s="183">
        <f t="shared" si="22"/>
        <v>1.4439596204139058</v>
      </c>
      <c r="H209" s="75">
        <f t="shared" si="23"/>
        <v>1.4439596204139058</v>
      </c>
      <c r="J209"/>
      <c r="K209"/>
      <c r="L209"/>
      <c r="M209"/>
      <c r="N209"/>
      <c r="O209"/>
      <c r="P209"/>
    </row>
    <row r="210" spans="2:16" x14ac:dyDescent="0.15">
      <c r="B210" s="16">
        <v>41285</v>
      </c>
      <c r="C210" s="29">
        <f t="array" ref="C210">SUMPRODUCT('ファンドデータ(変更不要)'!K210:P210,TRANSPOSE(戦略の決定!$D$13:$D$18))</f>
        <v>1.2125078753604033E-2</v>
      </c>
      <c r="D210" s="29">
        <f t="array" ref="D210">SUMPRODUCT('ファンドデータ(変更不要)'!K210:P210,TRANSPOSE(戦略の決定!$E$13:$E$18))</f>
        <v>1.2991734792783167E-2</v>
      </c>
      <c r="E210" s="29">
        <f t="array" ref="E210">SUMPRODUCT('ファンドデータ(変更不要)'!K210:P210,TRANSPOSE(戦略の決定!$F$13:$F$18))</f>
        <v>1.2991734792783167E-2</v>
      </c>
      <c r="F210" s="183">
        <f t="shared" si="21"/>
        <v>1.3254251177319492</v>
      </c>
      <c r="G210" s="183">
        <f t="shared" si="22"/>
        <v>1.4627191608538113</v>
      </c>
      <c r="H210" s="75">
        <f t="shared" si="23"/>
        <v>1.4627191608538113</v>
      </c>
      <c r="J210"/>
      <c r="K210"/>
      <c r="L210"/>
      <c r="M210"/>
      <c r="N210"/>
      <c r="O210"/>
      <c r="P210"/>
    </row>
    <row r="211" spans="2:16" x14ac:dyDescent="0.15">
      <c r="B211" s="16">
        <v>41292</v>
      </c>
      <c r="C211" s="29">
        <f t="array" ref="C211">SUMPRODUCT('ファンドデータ(変更不要)'!K211:P211,TRANSPOSE(戦略の決定!$D$13:$D$18))</f>
        <v>6.4577302676577155E-3</v>
      </c>
      <c r="D211" s="29">
        <f t="array" ref="D211">SUMPRODUCT('ファンドデータ(変更不要)'!K211:P211,TRANSPOSE(戦略の決定!$E$13:$E$18))</f>
        <v>6.6734405061219387E-3</v>
      </c>
      <c r="E211" s="29">
        <f t="array" ref="E211">SUMPRODUCT('ファンドデータ(変更不要)'!K211:P211,TRANSPOSE(戦略の決定!$F$13:$F$18))</f>
        <v>6.6734405061219387E-3</v>
      </c>
      <c r="F211" s="183">
        <f t="shared" si="21"/>
        <v>1.3339843556322404</v>
      </c>
      <c r="G211" s="183">
        <f t="shared" si="22"/>
        <v>1.4724805301509338</v>
      </c>
      <c r="H211" s="75">
        <f t="shared" si="23"/>
        <v>1.4724805301509338</v>
      </c>
      <c r="J211"/>
      <c r="K211"/>
      <c r="L211"/>
      <c r="M211"/>
      <c r="N211"/>
      <c r="O211"/>
      <c r="P211"/>
    </row>
    <row r="212" spans="2:16" x14ac:dyDescent="0.15">
      <c r="B212" s="16">
        <v>41299</v>
      </c>
      <c r="C212" s="29">
        <f t="array" ref="C212">SUMPRODUCT('ファンドデータ(変更不要)'!K212:P212,TRANSPOSE(戦略の決定!$D$13:$D$18))</f>
        <v>6.6402596943609914E-3</v>
      </c>
      <c r="D212" s="29">
        <f t="array" ref="D212">SUMPRODUCT('ファンドデータ(変更不要)'!K212:P212,TRANSPOSE(戦略の決定!$E$13:$E$18))</f>
        <v>1.022449955413432E-2</v>
      </c>
      <c r="E212" s="29">
        <f t="array" ref="E212">SUMPRODUCT('ファンドデータ(変更不要)'!K212:P212,TRANSPOSE(戦略の決定!$F$13:$F$18))</f>
        <v>1.022449955413432E-2</v>
      </c>
      <c r="F212" s="183">
        <f t="shared" si="21"/>
        <v>1.3428423581818532</v>
      </c>
      <c r="G212" s="183">
        <f t="shared" si="22"/>
        <v>1.4875359066749334</v>
      </c>
      <c r="H212" s="75">
        <f t="shared" si="23"/>
        <v>1.4875359066749334</v>
      </c>
      <c r="J212"/>
      <c r="K212"/>
      <c r="L212"/>
      <c r="M212"/>
      <c r="N212"/>
      <c r="O212"/>
      <c r="P212"/>
    </row>
    <row r="213" spans="2:16" x14ac:dyDescent="0.15">
      <c r="B213" s="16">
        <v>41306</v>
      </c>
      <c r="C213" s="29">
        <f t="array" ref="C213">SUMPRODUCT('ファンドデータ(変更不要)'!K213:P213,TRANSPOSE(戦略の決定!$D$13:$D$18))</f>
        <v>2.5091547993645172E-2</v>
      </c>
      <c r="D213" s="29">
        <f t="array" ref="D213">SUMPRODUCT('ファンドデータ(変更不要)'!K213:P213,TRANSPOSE(戦略の決定!$E$13:$E$18))</f>
        <v>3.821379415528852E-2</v>
      </c>
      <c r="E213" s="29">
        <f t="array" ref="E213">SUMPRODUCT('ファンドデータ(変更不要)'!K213:P213,TRANSPOSE(戦略の決定!$F$13:$F$18))</f>
        <v>3.821379415528852E-2</v>
      </c>
      <c r="F213" s="183">
        <f t="shared" si="21"/>
        <v>1.3765363516600726</v>
      </c>
      <c r="G213" s="183">
        <f t="shared" si="22"/>
        <v>1.5443802976112098</v>
      </c>
      <c r="H213" s="75">
        <f t="shared" si="23"/>
        <v>1.5443802976112098</v>
      </c>
      <c r="J213"/>
      <c r="K213"/>
      <c r="L213"/>
      <c r="M213"/>
      <c r="N213"/>
      <c r="O213"/>
      <c r="P213"/>
    </row>
    <row r="214" spans="2:16" x14ac:dyDescent="0.15">
      <c r="B214" s="16">
        <v>41313</v>
      </c>
      <c r="C214" s="29">
        <f t="array" ref="C214">SUMPRODUCT('ファンドデータ(変更不要)'!K214:P214,TRANSPOSE(戦略の決定!$D$13:$D$18))</f>
        <v>4.4245045728619134E-3</v>
      </c>
      <c r="D214" s="29">
        <f t="array" ref="D214">SUMPRODUCT('ファンドデータ(変更不要)'!K214:P214,TRANSPOSE(戦略の決定!$E$13:$E$18))</f>
        <v>5.4410249220547061E-3</v>
      </c>
      <c r="E214" s="29">
        <f t="array" ref="E214">SUMPRODUCT('ファンドデータ(変更不要)'!K214:P214,TRANSPOSE(戦略の決定!$F$13:$F$18))</f>
        <v>5.4410249220547061E-3</v>
      </c>
      <c r="F214" s="183">
        <f t="shared" si="21"/>
        <v>1.3826268430427033</v>
      </c>
      <c r="G214" s="183">
        <f t="shared" si="22"/>
        <v>1.5527833092996426</v>
      </c>
      <c r="H214" s="75">
        <f t="shared" si="23"/>
        <v>1.5527833092996426</v>
      </c>
      <c r="J214"/>
      <c r="K214"/>
      <c r="L214"/>
      <c r="M214"/>
      <c r="N214"/>
      <c r="O214"/>
      <c r="P214"/>
    </row>
    <row r="215" spans="2:16" x14ac:dyDescent="0.15">
      <c r="B215" s="16">
        <v>41320</v>
      </c>
      <c r="C215" s="29">
        <f t="array" ref="C215">SUMPRODUCT('ファンドデータ(変更不要)'!K215:P215,TRANSPOSE(戦略の決定!$D$13:$D$18))</f>
        <v>-4.7635510534725775E-3</v>
      </c>
      <c r="D215" s="29">
        <f t="array" ref="D215">SUMPRODUCT('ファンドデータ(変更不要)'!K215:P215,TRANSPOSE(戦略の決定!$E$13:$E$18))</f>
        <v>-6.4839722453399421E-3</v>
      </c>
      <c r="E215" s="29">
        <f t="array" ref="E215">SUMPRODUCT('ファンドデータ(変更不要)'!K215:P215,TRANSPOSE(戦略の決定!$F$13:$F$18))</f>
        <v>-6.4839722453399421E-3</v>
      </c>
      <c r="F215" s="183">
        <f t="shared" si="21"/>
        <v>1.3760406294879677</v>
      </c>
      <c r="G215" s="183">
        <f t="shared" si="22"/>
        <v>1.5427151054191166</v>
      </c>
      <c r="H215" s="75">
        <f t="shared" si="23"/>
        <v>1.5427151054191166</v>
      </c>
      <c r="J215"/>
      <c r="K215"/>
      <c r="L215"/>
      <c r="M215"/>
      <c r="N215"/>
      <c r="O215"/>
      <c r="P215"/>
    </row>
    <row r="216" spans="2:16" x14ac:dyDescent="0.15">
      <c r="B216" s="16">
        <v>41327</v>
      </c>
      <c r="C216" s="29">
        <f t="array" ref="C216">SUMPRODUCT('ファンドデータ(変更不要)'!K216:P216,TRANSPOSE(戦略の決定!$D$13:$D$18))</f>
        <v>8.6605410923297002E-3</v>
      </c>
      <c r="D216" s="29">
        <f t="array" ref="D216">SUMPRODUCT('ファンドデータ(変更不要)'!K216:P216,TRANSPOSE(戦略の決定!$E$13:$E$18))</f>
        <v>1.2682463744160785E-2</v>
      </c>
      <c r="E216" s="29">
        <f t="array" ref="E216">SUMPRODUCT('ファンドデータ(変更不要)'!K216:P216,TRANSPOSE(戦略の決定!$F$13:$F$18))</f>
        <v>1.2682463744160785E-2</v>
      </c>
      <c r="F216" s="183">
        <f t="shared" si="21"/>
        <v>1.3879578859043635</v>
      </c>
      <c r="G216" s="183">
        <f t="shared" si="22"/>
        <v>1.5622805338111636</v>
      </c>
      <c r="H216" s="75">
        <f t="shared" si="23"/>
        <v>1.5622805338111636</v>
      </c>
      <c r="J216"/>
      <c r="K216"/>
      <c r="L216"/>
      <c r="M216"/>
      <c r="N216"/>
      <c r="O216"/>
      <c r="P216"/>
    </row>
    <row r="217" spans="2:16" x14ac:dyDescent="0.15">
      <c r="B217" s="16">
        <v>41334</v>
      </c>
      <c r="C217" s="29">
        <f t="array" ref="C217">SUMPRODUCT('ファンドデータ(変更不要)'!K217:P217,TRANSPOSE(戦略の決定!$D$13:$D$18))</f>
        <v>1.8120421091171009E-2</v>
      </c>
      <c r="D217" s="29">
        <f t="array" ref="D217">SUMPRODUCT('ファンドデータ(変更不要)'!K217:P217,TRANSPOSE(戦略の決定!$E$13:$E$18))</f>
        <v>2.9941091864309113E-2</v>
      </c>
      <c r="E217" s="29">
        <f t="array" ref="E217">SUMPRODUCT('ファンドデータ(変更不要)'!K217:P217,TRANSPOSE(戦略の決定!$F$13:$F$18))</f>
        <v>2.9941091864309113E-2</v>
      </c>
      <c r="F217" s="183">
        <f t="shared" si="21"/>
        <v>1.413108267253762</v>
      </c>
      <c r="G217" s="183">
        <f t="shared" si="22"/>
        <v>1.6090569187918253</v>
      </c>
      <c r="H217" s="75">
        <f t="shared" si="23"/>
        <v>1.6090569187918253</v>
      </c>
      <c r="J217"/>
      <c r="K217"/>
      <c r="L217"/>
      <c r="M217"/>
      <c r="N217"/>
      <c r="O217"/>
      <c r="P217"/>
    </row>
    <row r="218" spans="2:16" x14ac:dyDescent="0.15">
      <c r="B218" s="16">
        <v>41341</v>
      </c>
      <c r="C218" s="29">
        <f t="array" ref="C218">SUMPRODUCT('ファンドデータ(変更不要)'!K218:P218,TRANSPOSE(戦略の決定!$D$13:$D$18))</f>
        <v>1.7817140566736014E-2</v>
      </c>
      <c r="D218" s="29">
        <f t="array" ref="D218">SUMPRODUCT('ファンドデータ(変更不要)'!K218:P218,TRANSPOSE(戦略の決定!$E$13:$E$18))</f>
        <v>1.7210437628187743E-2</v>
      </c>
      <c r="E218" s="29">
        <f t="array" ref="E218">SUMPRODUCT('ファンドデータ(変更不要)'!K218:P218,TRANSPOSE(戦略の決定!$F$13:$F$18))</f>
        <v>1.7210437628187743E-2</v>
      </c>
      <c r="F218" s="183">
        <f t="shared" si="21"/>
        <v>1.438285815887439</v>
      </c>
      <c r="G218" s="183">
        <f t="shared" si="22"/>
        <v>1.6367494925328958</v>
      </c>
      <c r="H218" s="75">
        <f t="shared" si="23"/>
        <v>1.6367494925328958</v>
      </c>
      <c r="J218"/>
      <c r="K218"/>
      <c r="L218"/>
      <c r="M218"/>
      <c r="N218"/>
      <c r="O218"/>
      <c r="P218"/>
    </row>
    <row r="219" spans="2:16" x14ac:dyDescent="0.15">
      <c r="B219" s="16">
        <v>41348</v>
      </c>
      <c r="C219" s="29">
        <f t="array" ref="C219">SUMPRODUCT('ファンドデータ(変更不要)'!K219:P219,TRANSPOSE(戦略の決定!$D$13:$D$18))</f>
        <v>3.6144220978879781E-2</v>
      </c>
      <c r="D219" s="29">
        <f t="array" ref="D219">SUMPRODUCT('ファンドデータ(変更不要)'!K219:P219,TRANSPOSE(戦略の決定!$E$13:$E$18))</f>
        <v>5.9913751971522725E-2</v>
      </c>
      <c r="E219" s="29">
        <f t="array" ref="E219">SUMPRODUCT('ファンドデータ(変更不要)'!K219:P219,TRANSPOSE(戦略の決定!$F$13:$F$18))</f>
        <v>5.9913751971522725E-2</v>
      </c>
      <c r="F219" s="183">
        <f t="shared" si="21"/>
        <v>1.4902715362476631</v>
      </c>
      <c r="G219" s="183">
        <f t="shared" si="22"/>
        <v>1.7348132956680273</v>
      </c>
      <c r="H219" s="75">
        <f t="shared" si="23"/>
        <v>1.7348132956680273</v>
      </c>
      <c r="J219"/>
      <c r="K219"/>
      <c r="L219"/>
      <c r="M219"/>
      <c r="N219"/>
      <c r="O219"/>
      <c r="P219"/>
    </row>
    <row r="220" spans="2:16" x14ac:dyDescent="0.15">
      <c r="B220" s="16">
        <v>41355</v>
      </c>
      <c r="C220" s="29">
        <f t="array" ref="C220">SUMPRODUCT('ファンドデータ(変更不要)'!K220:P220,TRANSPOSE(戦略の決定!$D$13:$D$18))</f>
        <v>5.0820572261199657E-4</v>
      </c>
      <c r="D220" s="29">
        <f t="array" ref="D220">SUMPRODUCT('ファンドデータ(変更不要)'!K220:P220,TRANSPOSE(戦略の決定!$E$13:$E$18))</f>
        <v>3.5140991464123836E-3</v>
      </c>
      <c r="E220" s="29">
        <f t="array" ref="E220">SUMPRODUCT('ファンドデータ(変更不要)'!K220:P220,TRANSPOSE(戦略の決定!$F$13:$F$18))</f>
        <v>3.5140991464123836E-3</v>
      </c>
      <c r="F220" s="183">
        <f t="shared" si="21"/>
        <v>1.4910289007706299</v>
      </c>
      <c r="G220" s="183">
        <f t="shared" si="22"/>
        <v>1.7409096015895194</v>
      </c>
      <c r="H220" s="75">
        <f t="shared" si="23"/>
        <v>1.7409096015895194</v>
      </c>
      <c r="J220"/>
      <c r="K220"/>
      <c r="L220"/>
      <c r="M220"/>
      <c r="N220"/>
      <c r="O220"/>
      <c r="P220"/>
    </row>
    <row r="221" spans="2:16" x14ac:dyDescent="0.15">
      <c r="B221" s="16">
        <v>41362</v>
      </c>
      <c r="C221" s="29">
        <f t="array" ref="C221">SUMPRODUCT('ファンドデータ(変更不要)'!K221:P221,TRANSPOSE(戦略の決定!$D$13:$D$18))</f>
        <v>8.9765784113079276E-3</v>
      </c>
      <c r="D221" s="29">
        <f t="array" ref="D221">SUMPRODUCT('ファンドデータ(変更不要)'!K221:P221,TRANSPOSE(戦略の決定!$E$13:$E$18))</f>
        <v>1.7007824842622928E-2</v>
      </c>
      <c r="E221" s="29">
        <f t="array" ref="E221">SUMPRODUCT('ファンドデータ(変更不要)'!K221:P221,TRANSPOSE(戦略の決定!$F$13:$F$18))</f>
        <v>1.7007824842622928E-2</v>
      </c>
      <c r="F221" s="183">
        <f t="shared" si="21"/>
        <v>1.5044132386119236</v>
      </c>
      <c r="G221" s="183">
        <f t="shared" si="22"/>
        <v>1.7705186871601943</v>
      </c>
      <c r="H221" s="75">
        <f t="shared" si="23"/>
        <v>1.7705186871601943</v>
      </c>
      <c r="J221"/>
      <c r="K221"/>
      <c r="L221"/>
      <c r="M221"/>
      <c r="N221"/>
      <c r="O221"/>
      <c r="P221"/>
    </row>
    <row r="222" spans="2:16" x14ac:dyDescent="0.15">
      <c r="B222" s="16">
        <v>41369</v>
      </c>
      <c r="C222" s="29">
        <f t="array" ref="C222">SUMPRODUCT('ファンドデータ(変更不要)'!K222:P222,TRANSPOSE(戦略の決定!$D$13:$D$18))</f>
        <v>2.1947783882872753E-2</v>
      </c>
      <c r="D222" s="29">
        <f t="array" ref="D222">SUMPRODUCT('ファンドデータ(変更不要)'!K222:P222,TRANSPOSE(戦略の決定!$E$13:$E$18))</f>
        <v>2.071493253728101E-2</v>
      </c>
      <c r="E222" s="29">
        <f t="array" ref="E222">SUMPRODUCT('ファンドデータ(変更不要)'!K222:P222,TRANSPOSE(戦略の決定!$F$13:$F$18))</f>
        <v>2.071493253728101E-2</v>
      </c>
      <c r="F222" s="183">
        <f t="shared" si="21"/>
        <v>1.5374317752435107</v>
      </c>
      <c r="G222" s="183">
        <f t="shared" si="22"/>
        <v>1.8071948623207132</v>
      </c>
      <c r="H222" s="75">
        <f t="shared" si="23"/>
        <v>1.8071948623207132</v>
      </c>
      <c r="J222"/>
      <c r="K222"/>
      <c r="L222"/>
      <c r="M222"/>
      <c r="N222"/>
      <c r="O222"/>
      <c r="P222"/>
    </row>
    <row r="223" spans="2:16" x14ac:dyDescent="0.15">
      <c r="B223" s="16">
        <v>41376</v>
      </c>
      <c r="C223" s="29">
        <f t="array" ref="C223">SUMPRODUCT('ファンドデータ(変更不要)'!K223:P223,TRANSPOSE(戦略の決定!$D$13:$D$18))</f>
        <v>9.2264152670727701E-3</v>
      </c>
      <c r="D223" s="29">
        <f t="array" ref="D223">SUMPRODUCT('ファンドデータ(変更不要)'!K223:P223,TRANSPOSE(戦略の決定!$E$13:$E$18))</f>
        <v>5.0389267647881347E-3</v>
      </c>
      <c r="E223" s="29">
        <f t="array" ref="E223">SUMPRODUCT('ファンドデータ(変更不要)'!K223:P223,TRANSPOSE(戦略の決定!$F$13:$F$18))</f>
        <v>5.0389267647881347E-3</v>
      </c>
      <c r="F223" s="183">
        <f t="shared" si="21"/>
        <v>1.5516167592467001</v>
      </c>
      <c r="G223" s="183">
        <f t="shared" si="22"/>
        <v>1.8163011848816486</v>
      </c>
      <c r="H223" s="75">
        <f t="shared" si="23"/>
        <v>1.8163011848816486</v>
      </c>
      <c r="J223"/>
      <c r="K223"/>
      <c r="L223"/>
      <c r="M223"/>
      <c r="N223"/>
      <c r="O223"/>
      <c r="P223"/>
    </row>
    <row r="224" spans="2:16" x14ac:dyDescent="0.15">
      <c r="B224" s="16">
        <v>41383</v>
      </c>
      <c r="C224" s="29">
        <f t="array" ref="C224">SUMPRODUCT('ファンドデータ(変更不要)'!K224:P224,TRANSPOSE(戦略の決定!$D$13:$D$18))</f>
        <v>-7.2241245349107374E-3</v>
      </c>
      <c r="D224" s="29">
        <f t="array" ref="D224">SUMPRODUCT('ファンドデータ(変更不要)'!K224:P224,TRANSPOSE(戦略の決定!$E$13:$E$18))</f>
        <v>-1.0487976425389125E-2</v>
      </c>
      <c r="E224" s="29">
        <f t="array" ref="E224">SUMPRODUCT('ファンドデータ(変更不要)'!K224:P224,TRANSPOSE(戦略の決定!$F$13:$F$18))</f>
        <v>-1.0487976425389125E-2</v>
      </c>
      <c r="F224" s="183">
        <f t="shared" si="21"/>
        <v>1.5404076865474472</v>
      </c>
      <c r="G224" s="183">
        <f t="shared" si="22"/>
        <v>1.7972518608732035</v>
      </c>
      <c r="H224" s="75">
        <f t="shared" si="23"/>
        <v>1.7972518608732035</v>
      </c>
      <c r="J224"/>
      <c r="K224"/>
      <c r="L224"/>
      <c r="M224"/>
      <c r="N224"/>
      <c r="O224"/>
      <c r="P224"/>
    </row>
    <row r="225" spans="2:16" x14ac:dyDescent="0.15">
      <c r="B225" s="16">
        <v>41390</v>
      </c>
      <c r="C225" s="29">
        <f t="array" ref="C225">SUMPRODUCT('ファンドデータ(変更不要)'!K225:P225,TRANSPOSE(戦略の決定!$D$13:$D$18))</f>
        <v>4.050180869065256E-3</v>
      </c>
      <c r="D225" s="29">
        <f t="array" ref="D225">SUMPRODUCT('ファンドデータ(変更不要)'!K225:P225,TRANSPOSE(戦略の決定!$E$13:$E$18))</f>
        <v>-1.1866904993789763E-4</v>
      </c>
      <c r="E225" s="29">
        <f t="array" ref="E225">SUMPRODUCT('ファンドデータ(変更不要)'!K225:P225,TRANSPOSE(戦略の決定!$F$13:$F$18))</f>
        <v>-1.1866904993789763E-4</v>
      </c>
      <c r="F225" s="183">
        <f t="shared" si="21"/>
        <v>1.5466466162900625</v>
      </c>
      <c r="G225" s="183">
        <f t="shared" si="22"/>
        <v>1.7970385827023747</v>
      </c>
      <c r="H225" s="75">
        <f t="shared" si="23"/>
        <v>1.7970385827023747</v>
      </c>
      <c r="J225"/>
      <c r="K225"/>
      <c r="L225"/>
      <c r="M225"/>
      <c r="N225"/>
      <c r="O225"/>
      <c r="P225"/>
    </row>
    <row r="226" spans="2:16" x14ac:dyDescent="0.15">
      <c r="B226" s="16">
        <v>41397</v>
      </c>
      <c r="C226" s="29">
        <f t="array" ref="C226">SUMPRODUCT('ファンドデータ(変更不要)'!K226:P226,TRANSPOSE(戦略の決定!$D$13:$D$18))</f>
        <v>-4.086500117517702E-3</v>
      </c>
      <c r="D226" s="29">
        <f t="array" ref="D226">SUMPRODUCT('ファンドデータ(変更不要)'!K226:P226,TRANSPOSE(戦略の決定!$E$13:$E$18))</f>
        <v>-4.0653167623618215E-3</v>
      </c>
      <c r="E226" s="29">
        <f t="array" ref="E226">SUMPRODUCT('ファンドデータ(変更不要)'!K226:P226,TRANSPOSE(戦略の決定!$F$13:$F$18))</f>
        <v>-4.0653167623618215E-3</v>
      </c>
      <c r="F226" s="183">
        <f t="shared" si="21"/>
        <v>1.5403262447108348</v>
      </c>
      <c r="G226" s="183">
        <f t="shared" si="22"/>
        <v>1.7897330516295038</v>
      </c>
      <c r="H226" s="75">
        <f t="shared" si="23"/>
        <v>1.7897330516295038</v>
      </c>
      <c r="J226"/>
      <c r="K226"/>
      <c r="L226"/>
      <c r="M226"/>
      <c r="N226"/>
      <c r="O226"/>
      <c r="P226"/>
    </row>
    <row r="227" spans="2:16" x14ac:dyDescent="0.15">
      <c r="B227" s="16">
        <v>41404</v>
      </c>
      <c r="C227" s="29">
        <f t="array" ref="C227">SUMPRODUCT('ファンドデータ(変更不要)'!K227:P227,TRANSPOSE(戦略の決定!$D$13:$D$18))</f>
        <v>2.8292978318736166E-3</v>
      </c>
      <c r="D227" s="29">
        <f t="array" ref="D227">SUMPRODUCT('ファンドデータ(変更不要)'!K227:P227,TRANSPOSE(戦略の決定!$E$13:$E$18))</f>
        <v>-8.9389869537459948E-3</v>
      </c>
      <c r="E227" s="29">
        <f t="array" ref="E227">SUMPRODUCT('ファンドデータ(変更不要)'!K227:P227,TRANSPOSE(戦略の決定!$F$13:$F$18))</f>
        <v>-8.9389869537459948E-3</v>
      </c>
      <c r="F227" s="183">
        <f t="shared" si="21"/>
        <v>1.5446842864153731</v>
      </c>
      <c r="G227" s="183">
        <f t="shared" si="22"/>
        <v>1.7737346512302998</v>
      </c>
      <c r="H227" s="75">
        <f t="shared" si="23"/>
        <v>1.7737346512302998</v>
      </c>
      <c r="J227"/>
      <c r="K227"/>
      <c r="L227"/>
      <c r="M227"/>
      <c r="N227"/>
      <c r="O227"/>
      <c r="P227"/>
    </row>
    <row r="228" spans="2:16" x14ac:dyDescent="0.15">
      <c r="B228" s="16">
        <v>41411</v>
      </c>
      <c r="C228" s="29">
        <f t="array" ref="C228">SUMPRODUCT('ファンドデータ(変更不要)'!K228:P228,TRANSPOSE(戦略の決定!$D$13:$D$18))</f>
        <v>8.0548034094205846E-4</v>
      </c>
      <c r="D228" s="29">
        <f t="array" ref="D228">SUMPRODUCT('ファンドデータ(変更不要)'!K228:P228,TRANSPOSE(戦略の決定!$E$13:$E$18))</f>
        <v>-1.3975320905516263E-3</v>
      </c>
      <c r="E228" s="29">
        <f t="array" ref="E228">SUMPRODUCT('ファンドデータ(変更不要)'!K228:P228,TRANSPOSE(戦略の決定!$F$13:$F$18))</f>
        <v>-1.3975320905516263E-3</v>
      </c>
      <c r="F228" s="183">
        <f t="shared" si="21"/>
        <v>1.5459284992410429</v>
      </c>
      <c r="G228" s="183">
        <f t="shared" si="22"/>
        <v>1.7712558001350822</v>
      </c>
      <c r="H228" s="75">
        <f t="shared" si="23"/>
        <v>1.7712558001350822</v>
      </c>
      <c r="J228"/>
      <c r="K228"/>
      <c r="L228"/>
      <c r="M228"/>
      <c r="N228"/>
      <c r="O228"/>
      <c r="P228"/>
    </row>
    <row r="229" spans="2:16" x14ac:dyDescent="0.15">
      <c r="B229" s="16">
        <v>41418</v>
      </c>
      <c r="C229" s="29">
        <f t="array" ref="C229">SUMPRODUCT('ファンドデータ(変更不要)'!K229:P229,TRANSPOSE(戦略の決定!$D$13:$D$18))</f>
        <v>-2.2505901246612846E-2</v>
      </c>
      <c r="D229" s="29">
        <f t="array" ref="D229">SUMPRODUCT('ファンドデータ(変更不要)'!K229:P229,TRANSPOSE(戦略の決定!$E$13:$E$18))</f>
        <v>-3.3534130456498647E-2</v>
      </c>
      <c r="E229" s="29">
        <f t="array" ref="E229">SUMPRODUCT('ファンドデータ(変更不要)'!K229:P229,TRANSPOSE(戦略の決定!$F$13:$F$18))</f>
        <v>-3.3534130456498647E-2</v>
      </c>
      <c r="F229" s="183">
        <f t="shared" si="21"/>
        <v>1.5111359851027995</v>
      </c>
      <c r="G229" s="183">
        <f t="shared" si="22"/>
        <v>1.7118582770615225</v>
      </c>
      <c r="H229" s="75">
        <f t="shared" si="23"/>
        <v>1.7118582770615225</v>
      </c>
      <c r="J229"/>
      <c r="K229"/>
      <c r="L229"/>
      <c r="M229"/>
      <c r="N229"/>
      <c r="O229"/>
      <c r="P229"/>
    </row>
    <row r="230" spans="2:16" x14ac:dyDescent="0.15">
      <c r="B230" s="16">
        <v>41425</v>
      </c>
      <c r="C230" s="29">
        <f t="array" ref="C230">SUMPRODUCT('ファンドデータ(変更不要)'!K230:P230,TRANSPOSE(戦略の決定!$D$13:$D$18))</f>
        <v>-8.3804527232150851E-3</v>
      </c>
      <c r="D230" s="29">
        <f t="array" ref="D230">SUMPRODUCT('ファンドデータ(変更不要)'!K230:P230,TRANSPOSE(戦略の決定!$E$13:$E$18))</f>
        <v>-3.4100184435970687E-3</v>
      </c>
      <c r="E230" s="29">
        <f t="array" ref="E230">SUMPRODUCT('ファンドデータ(変更不要)'!K230:P230,TRANSPOSE(戦略の決定!$F$13:$F$18))</f>
        <v>-3.4100184435970687E-3</v>
      </c>
      <c r="F230" s="183">
        <f t="shared" si="21"/>
        <v>1.4984719814212963</v>
      </c>
      <c r="G230" s="183">
        <f t="shared" si="22"/>
        <v>1.7060208087639184</v>
      </c>
      <c r="H230" s="75">
        <f t="shared" si="23"/>
        <v>1.7060208087639184</v>
      </c>
      <c r="J230"/>
      <c r="K230"/>
      <c r="L230"/>
      <c r="M230"/>
      <c r="N230"/>
      <c r="O230"/>
      <c r="P230"/>
    </row>
    <row r="231" spans="2:16" x14ac:dyDescent="0.15">
      <c r="B231" s="16">
        <v>41432</v>
      </c>
      <c r="C231" s="29">
        <f t="array" ref="C231">SUMPRODUCT('ファンドデータ(変更不要)'!K231:P231,TRANSPOSE(戦略の決定!$D$13:$D$18))</f>
        <v>-3.2053779536948587E-2</v>
      </c>
      <c r="D231" s="29">
        <f t="array" ref="D231">SUMPRODUCT('ファンドデータ(変更不要)'!K231:P231,TRANSPOSE(戦略の決定!$E$13:$E$18))</f>
        <v>-4.1284474142903288E-2</v>
      </c>
      <c r="E231" s="29">
        <f t="array" ref="E231">SUMPRODUCT('ファンドデータ(変更不要)'!K231:P231,TRANSPOSE(戦略の決定!$F$13:$F$18))</f>
        <v>-4.1284474142903288E-2</v>
      </c>
      <c r="F231" s="183">
        <f t="shared" si="21"/>
        <v>1.4504402908865237</v>
      </c>
      <c r="G231" s="183">
        <f t="shared" si="22"/>
        <v>1.6355886367972494</v>
      </c>
      <c r="H231" s="75">
        <f t="shared" si="23"/>
        <v>1.6355886367972494</v>
      </c>
      <c r="J231"/>
      <c r="K231"/>
      <c r="L231"/>
      <c r="M231"/>
      <c r="N231"/>
      <c r="O231"/>
      <c r="P231"/>
    </row>
    <row r="232" spans="2:16" x14ac:dyDescent="0.15">
      <c r="B232" s="16">
        <v>41439</v>
      </c>
      <c r="C232" s="29">
        <f t="array" ref="C232">SUMPRODUCT('ファンドデータ(変更不要)'!K232:P232,TRANSPOSE(戦略の決定!$D$13:$D$18))</f>
        <v>-6.3728001564223712E-3</v>
      </c>
      <c r="D232" s="29">
        <f t="array" ref="D232">SUMPRODUCT('ファンドデータ(変更不要)'!K232:P232,TRANSPOSE(戦略の決定!$E$13:$E$18))</f>
        <v>-2.4490379395523572E-3</v>
      </c>
      <c r="E232" s="29">
        <f t="array" ref="E232">SUMPRODUCT('ファンドデータ(変更不要)'!K232:P232,TRANSPOSE(戦略の決定!$F$13:$F$18))</f>
        <v>-2.4490379395523572E-3</v>
      </c>
      <c r="F232" s="183">
        <f t="shared" si="21"/>
        <v>1.4411969247738807</v>
      </c>
      <c r="G232" s="183">
        <f t="shared" si="22"/>
        <v>1.6315830181722324</v>
      </c>
      <c r="H232" s="75">
        <f t="shared" si="23"/>
        <v>1.6315830181722324</v>
      </c>
      <c r="J232"/>
      <c r="K232"/>
      <c r="L232"/>
      <c r="M232"/>
      <c r="N232"/>
      <c r="O232"/>
      <c r="P232"/>
    </row>
    <row r="233" spans="2:16" x14ac:dyDescent="0.15">
      <c r="B233" s="16">
        <v>41446</v>
      </c>
      <c r="C233" s="29">
        <f t="array" ref="C233">SUMPRODUCT('ファンドデータ(変更不要)'!K233:P233,TRANSPOSE(戦略の決定!$D$13:$D$18))</f>
        <v>1.4702985947323986E-3</v>
      </c>
      <c r="D233" s="29">
        <f t="array" ref="D233">SUMPRODUCT('ファンドデータ(変更不要)'!K233:P233,TRANSPOSE(戦略の決定!$E$13:$E$18))</f>
        <v>-5.9339649579352085E-3</v>
      </c>
      <c r="E233" s="29">
        <f t="array" ref="E233">SUMPRODUCT('ファンドデータ(変更不要)'!K233:P233,TRANSPOSE(戦略の決定!$F$13:$F$18))</f>
        <v>-5.9339649579352085E-3</v>
      </c>
      <c r="F233" s="183">
        <f t="shared" si="21"/>
        <v>1.4433159145871084</v>
      </c>
      <c r="G233" s="183">
        <f t="shared" si="22"/>
        <v>1.6219012617164363</v>
      </c>
      <c r="H233" s="75">
        <f t="shared" si="23"/>
        <v>1.6219012617164363</v>
      </c>
      <c r="J233"/>
      <c r="K233"/>
      <c r="L233"/>
      <c r="M233"/>
      <c r="N233"/>
      <c r="O233"/>
      <c r="P233"/>
    </row>
    <row r="234" spans="2:16" x14ac:dyDescent="0.15">
      <c r="B234" s="16">
        <v>41453</v>
      </c>
      <c r="C234" s="29">
        <f t="array" ref="C234">SUMPRODUCT('ファンドデータ(変更不要)'!K234:P234,TRANSPOSE(戦略の決定!$D$13:$D$18))</f>
        <v>2.6650052296980909E-2</v>
      </c>
      <c r="D234" s="29">
        <f t="array" ref="D234">SUMPRODUCT('ファンドデータ(変更不要)'!K234:P234,TRANSPOSE(戦略の決定!$E$13:$E$18))</f>
        <v>4.1685576266478862E-2</v>
      </c>
      <c r="E234" s="29">
        <f t="array" ref="E234">SUMPRODUCT('ファンドデータ(変更不要)'!K234:P234,TRANSPOSE(戦略の決定!$F$13:$F$18))</f>
        <v>4.1685576266478862E-2</v>
      </c>
      <c r="F234" s="183">
        <f t="shared" si="21"/>
        <v>1.4817803591919194</v>
      </c>
      <c r="G234" s="183">
        <f t="shared" si="22"/>
        <v>1.6895111504584153</v>
      </c>
      <c r="H234" s="75">
        <f t="shared" si="23"/>
        <v>1.6895111504584153</v>
      </c>
      <c r="J234"/>
      <c r="K234"/>
      <c r="L234"/>
      <c r="M234"/>
      <c r="N234"/>
      <c r="O234"/>
      <c r="P234"/>
    </row>
    <row r="235" spans="2:16" x14ac:dyDescent="0.15">
      <c r="B235" s="16">
        <v>41460</v>
      </c>
      <c r="C235" s="29">
        <f t="array" ref="C235">SUMPRODUCT('ファンドデータ(変更不要)'!K235:P235,TRANSPOSE(戦略の決定!$D$13:$D$18))</f>
        <v>9.4657120373279648E-3</v>
      </c>
      <c r="D235" s="29">
        <f t="array" ref="D235">SUMPRODUCT('ファンドデータ(変更不要)'!K235:P235,TRANSPOSE(戦略の決定!$E$13:$E$18))</f>
        <v>6.8342116196376292E-3</v>
      </c>
      <c r="E235" s="29">
        <f t="array" ref="E235">SUMPRODUCT('ファンドデータ(変更不要)'!K235:P235,TRANSPOSE(戦略の決定!$F$13:$F$18))</f>
        <v>6.8342116196376292E-3</v>
      </c>
      <c r="F235" s="183">
        <f t="shared" si="21"/>
        <v>1.4958064653745986</v>
      </c>
      <c r="G235" s="183">
        <f t="shared" si="22"/>
        <v>1.7010576271943854</v>
      </c>
      <c r="H235" s="75">
        <f t="shared" si="23"/>
        <v>1.7010576271943854</v>
      </c>
      <c r="J235"/>
      <c r="K235"/>
      <c r="L235"/>
      <c r="M235"/>
      <c r="N235"/>
      <c r="O235"/>
      <c r="P235"/>
    </row>
    <row r="236" spans="2:16" x14ac:dyDescent="0.15">
      <c r="B236" s="16">
        <v>41467</v>
      </c>
      <c r="C236" s="29">
        <f t="array" ref="C236">SUMPRODUCT('ファンドデータ(変更不要)'!K236:P236,TRANSPOSE(戦略の決定!$D$13:$D$18))</f>
        <v>4.6578644521578332E-3</v>
      </c>
      <c r="D236" s="29">
        <f t="array" ref="D236">SUMPRODUCT('ファンドデータ(変更不要)'!K236:P236,TRANSPOSE(戦略の決定!$E$13:$E$18))</f>
        <v>7.8911671073971477E-3</v>
      </c>
      <c r="E236" s="29">
        <f t="array" ref="E236">SUMPRODUCT('ファンドデータ(変更不要)'!K236:P236,TRANSPOSE(戦略の決定!$F$13:$F$18))</f>
        <v>7.8911671073971477E-3</v>
      </c>
      <c r="F236" s="183">
        <f t="shared" si="21"/>
        <v>1.5027737291369747</v>
      </c>
      <c r="G236" s="183">
        <f t="shared" si="22"/>
        <v>1.7144809571898887</v>
      </c>
      <c r="H236" s="75">
        <f t="shared" si="23"/>
        <v>1.7144809571898887</v>
      </c>
      <c r="J236"/>
      <c r="K236"/>
      <c r="L236"/>
      <c r="M236"/>
      <c r="N236"/>
      <c r="O236"/>
      <c r="P236"/>
    </row>
    <row r="237" spans="2:16" x14ac:dyDescent="0.15">
      <c r="B237" s="16">
        <v>41474</v>
      </c>
      <c r="C237" s="29">
        <f t="array" ref="C237">SUMPRODUCT('ファンドデータ(変更不要)'!K237:P237,TRANSPOSE(戦略の決定!$D$13:$D$18))</f>
        <v>2.158506415830032E-3</v>
      </c>
      <c r="D237" s="29">
        <f t="array" ref="D237">SUMPRODUCT('ファンドデータ(変更不要)'!K237:P237,TRANSPOSE(戦略の決定!$E$13:$E$18))</f>
        <v>-2.6998390026446405E-3</v>
      </c>
      <c r="E237" s="29">
        <f t="array" ref="E237">SUMPRODUCT('ファンドデータ(変更不要)'!K237:P237,TRANSPOSE(戦略の決定!$F$13:$F$18))</f>
        <v>-2.6998390026446405E-3</v>
      </c>
      <c r="F237" s="183">
        <f t="shared" si="21"/>
        <v>1.5060174758728577</v>
      </c>
      <c r="G237" s="183">
        <f t="shared" si="22"/>
        <v>1.7098521346323761</v>
      </c>
      <c r="H237" s="75">
        <f t="shared" si="23"/>
        <v>1.7098521346323761</v>
      </c>
      <c r="J237"/>
      <c r="K237"/>
      <c r="L237"/>
      <c r="M237"/>
      <c r="N237"/>
      <c r="O237"/>
      <c r="P237"/>
    </row>
    <row r="238" spans="2:16" x14ac:dyDescent="0.15">
      <c r="B238" s="16">
        <v>41481</v>
      </c>
      <c r="C238" s="29">
        <f t="array" ref="C238">SUMPRODUCT('ファンドデータ(変更不要)'!K238:P238,TRANSPOSE(戦略の決定!$D$13:$D$18))</f>
        <v>-6.5215379039510503E-3</v>
      </c>
      <c r="D238" s="29">
        <f t="array" ref="D238">SUMPRODUCT('ファンドデータ(変更不要)'!K238:P238,TRANSPOSE(戦略の決定!$E$13:$E$18))</f>
        <v>-4.1066606631682554E-3</v>
      </c>
      <c r="E238" s="29">
        <f t="array" ref="E238">SUMPRODUCT('ファンドデータ(変更不要)'!K238:P238,TRANSPOSE(戦略の決定!$F$13:$F$18))</f>
        <v>-4.1066606631682554E-3</v>
      </c>
      <c r="F238" s="183">
        <f t="shared" si="21"/>
        <v>1.4961959258199402</v>
      </c>
      <c r="G238" s="183">
        <f t="shared" si="22"/>
        <v>1.7028303521312471</v>
      </c>
      <c r="H238" s="75">
        <f t="shared" si="23"/>
        <v>1.7028303521312471</v>
      </c>
      <c r="J238"/>
      <c r="K238"/>
      <c r="L238"/>
      <c r="M238"/>
      <c r="N238"/>
      <c r="O238"/>
      <c r="P238"/>
    </row>
    <row r="239" spans="2:16" x14ac:dyDescent="0.15">
      <c r="B239" s="16">
        <v>41488</v>
      </c>
      <c r="C239" s="29">
        <f t="array" ref="C239">SUMPRODUCT('ファンドデータ(変更不要)'!K239:P239,TRANSPOSE(戦略の決定!$D$13:$D$18))</f>
        <v>-4.2362891560781375E-4</v>
      </c>
      <c r="D239" s="29">
        <f t="array" ref="D239">SUMPRODUCT('ファンドデータ(変更不要)'!K239:P239,TRANSPOSE(戦略の決定!$E$13:$E$18))</f>
        <v>-3.2046545166676699E-3</v>
      </c>
      <c r="E239" s="29">
        <f t="array" ref="E239">SUMPRODUCT('ファンドデータ(変更不要)'!K239:P239,TRANSPOSE(戦略の決定!$F$13:$F$18))</f>
        <v>-3.2046545166676699E-3</v>
      </c>
      <c r="F239" s="183">
        <f t="shared" si="21"/>
        <v>1.4955620939623484</v>
      </c>
      <c r="G239" s="183">
        <f t="shared" si="22"/>
        <v>1.6973733691521711</v>
      </c>
      <c r="H239" s="75">
        <f t="shared" si="23"/>
        <v>1.6973733691521711</v>
      </c>
      <c r="J239"/>
      <c r="K239"/>
      <c r="L239"/>
      <c r="M239"/>
      <c r="N239"/>
      <c r="O239"/>
      <c r="P239"/>
    </row>
    <row r="240" spans="2:16" x14ac:dyDescent="0.15">
      <c r="B240" s="16">
        <v>41495</v>
      </c>
      <c r="C240" s="29">
        <f t="array" ref="C240">SUMPRODUCT('ファンドデータ(変更不要)'!K240:P240,TRANSPOSE(戦略の決定!$D$13:$D$18))</f>
        <v>-1.2401270415174068E-2</v>
      </c>
      <c r="D240" s="29">
        <f t="array" ref="D240">SUMPRODUCT('ファンドデータ(変更不要)'!K240:P240,TRANSPOSE(戦略の決定!$E$13:$E$18))</f>
        <v>-1.0810193675530554E-2</v>
      </c>
      <c r="E240" s="29">
        <f t="array" ref="E240">SUMPRODUCT('ファンドデータ(変更不要)'!K240:P240,TRANSPOSE(戦略の決定!$F$13:$F$18))</f>
        <v>-1.0810193675530554E-2</v>
      </c>
      <c r="F240" s="183">
        <f t="shared" si="21"/>
        <v>1.4770152240124375</v>
      </c>
      <c r="G240" s="183">
        <f t="shared" si="22"/>
        <v>1.6790244342919483</v>
      </c>
      <c r="H240" s="75">
        <f t="shared" si="23"/>
        <v>1.6790244342919483</v>
      </c>
      <c r="J240"/>
      <c r="K240"/>
      <c r="L240"/>
      <c r="M240"/>
      <c r="N240"/>
      <c r="O240"/>
      <c r="P240"/>
    </row>
    <row r="241" spans="2:16" x14ac:dyDescent="0.15">
      <c r="B241" s="16">
        <v>41502</v>
      </c>
      <c r="C241" s="29">
        <f t="array" ref="C241">SUMPRODUCT('ファンドデータ(変更不要)'!K241:P241,TRANSPOSE(戦略の決定!$D$13:$D$18))</f>
        <v>-1.8721509660102145E-3</v>
      </c>
      <c r="D241" s="29">
        <f t="array" ref="D241">SUMPRODUCT('ファンドデータ(変更不要)'!K241:P241,TRANSPOSE(戦略の決定!$E$13:$E$18))</f>
        <v>-2.3884220572032364E-3</v>
      </c>
      <c r="E241" s="29">
        <f t="array" ref="E241">SUMPRODUCT('ファンドデータ(変更不要)'!K241:P241,TRANSPOSE(戦略の決定!$F$13:$F$18))</f>
        <v>-2.3884220572032364E-3</v>
      </c>
      <c r="F241" s="183">
        <f t="shared" si="21"/>
        <v>1.4742500285339908</v>
      </c>
      <c r="G241" s="183">
        <f t="shared" si="22"/>
        <v>1.6750142152985021</v>
      </c>
      <c r="H241" s="75">
        <f t="shared" si="23"/>
        <v>1.6750142152985021</v>
      </c>
      <c r="J241"/>
      <c r="K241"/>
      <c r="L241"/>
      <c r="M241"/>
      <c r="N241"/>
      <c r="O241"/>
      <c r="P241"/>
    </row>
    <row r="242" spans="2:16" x14ac:dyDescent="0.15">
      <c r="B242" s="16">
        <v>41509</v>
      </c>
      <c r="C242" s="29">
        <f t="array" ref="C242">SUMPRODUCT('ファンドデータ(変更不要)'!K242:P242,TRANSPOSE(戦略の決定!$D$13:$D$18))</f>
        <v>-1.7428447257499396E-3</v>
      </c>
      <c r="D242" s="29">
        <f t="array" ref="D242">SUMPRODUCT('ファンドデータ(変更不要)'!K242:P242,TRANSPOSE(戦略の決定!$E$13:$E$18))</f>
        <v>-5.9991918458831405E-3</v>
      </c>
      <c r="E242" s="29">
        <f t="array" ref="E242">SUMPRODUCT('ファンドデータ(変更不要)'!K242:P242,TRANSPOSE(戦略の決定!$F$13:$F$18))</f>
        <v>-5.9991918458831405E-3</v>
      </c>
      <c r="F242" s="183">
        <f t="shared" si="21"/>
        <v>1.4716806396473237</v>
      </c>
      <c r="G242" s="183">
        <f t="shared" si="22"/>
        <v>1.664965483676345</v>
      </c>
      <c r="H242" s="75">
        <f t="shared" si="23"/>
        <v>1.664965483676345</v>
      </c>
      <c r="J242"/>
      <c r="K242"/>
      <c r="L242"/>
      <c r="M242"/>
      <c r="N242"/>
      <c r="O242"/>
      <c r="P242"/>
    </row>
    <row r="243" spans="2:16" x14ac:dyDescent="0.15">
      <c r="B243" s="16">
        <v>41516</v>
      </c>
      <c r="C243" s="29">
        <f t="array" ref="C243">SUMPRODUCT('ファンドデータ(変更不要)'!K243:P243,TRANSPOSE(戦略の決定!$D$13:$D$18))</f>
        <v>-5.305234418716602E-3</v>
      </c>
      <c r="D243" s="29">
        <f t="array" ref="D243">SUMPRODUCT('ファンドデータ(変更不要)'!K243:P243,TRANSPOSE(戦略の決定!$E$13:$E$18))</f>
        <v>-6.5288514974484995E-3</v>
      </c>
      <c r="E243" s="29">
        <f t="array" ref="E243">SUMPRODUCT('ファンドデータ(変更不要)'!K243:P243,TRANSPOSE(戦略の決定!$F$13:$F$18))</f>
        <v>-6.5288514974484995E-3</v>
      </c>
      <c r="F243" s="183">
        <f t="shared" si="21"/>
        <v>1.4638730288645079</v>
      </c>
      <c r="G243" s="183">
        <f t="shared" si="22"/>
        <v>1.6540951712850447</v>
      </c>
      <c r="H243" s="75">
        <f t="shared" si="23"/>
        <v>1.6540951712850447</v>
      </c>
      <c r="J243"/>
      <c r="K243"/>
      <c r="L243"/>
      <c r="M243"/>
      <c r="N243"/>
      <c r="O243"/>
      <c r="P243"/>
    </row>
    <row r="244" spans="2:16" x14ac:dyDescent="0.15">
      <c r="B244" s="16">
        <v>41523</v>
      </c>
      <c r="C244" s="29">
        <f t="array" ref="C244">SUMPRODUCT('ファンドデータ(変更不要)'!K244:P244,TRANSPOSE(戦略の決定!$D$13:$D$18))</f>
        <v>9.2779706631576902E-3</v>
      </c>
      <c r="D244" s="29">
        <f t="array" ref="D244">SUMPRODUCT('ファンドデータ(変更不要)'!K244:P244,TRANSPOSE(戦略の決定!$E$13:$E$18))</f>
        <v>1.230353435598733E-2</v>
      </c>
      <c r="E244" s="29">
        <f t="array" ref="E244">SUMPRODUCT('ファンドデータ(変更不要)'!K244:P244,TRANSPOSE(戦略の決定!$F$13:$F$18))</f>
        <v>1.230353435598733E-2</v>
      </c>
      <c r="F244" s="183">
        <f t="shared" si="21"/>
        <v>1.4774547998809004</v>
      </c>
      <c r="G244" s="183">
        <f t="shared" si="22"/>
        <v>1.6744463880530231</v>
      </c>
      <c r="H244" s="75">
        <f t="shared" si="23"/>
        <v>1.6744463880530231</v>
      </c>
      <c r="J244"/>
      <c r="K244"/>
      <c r="L244"/>
      <c r="M244"/>
      <c r="N244"/>
      <c r="O244"/>
      <c r="P244"/>
    </row>
    <row r="245" spans="2:16" x14ac:dyDescent="0.15">
      <c r="B245" s="16">
        <v>41530</v>
      </c>
      <c r="C245" s="29">
        <f t="array" ref="C245">SUMPRODUCT('ファンドデータ(変更不要)'!K245:P245,TRANSPOSE(戦略の決定!$D$13:$D$18))</f>
        <v>2.6114855562115197E-2</v>
      </c>
      <c r="D245" s="29">
        <f t="array" ref="D245">SUMPRODUCT('ファンドデータ(変更不要)'!K245:P245,TRANSPOSE(戦略の決定!$E$13:$E$18))</f>
        <v>3.7890789043091407E-2</v>
      </c>
      <c r="E245" s="29">
        <f t="array" ref="E245">SUMPRODUCT('ファンドデータ(変更不要)'!K245:P245,TRANSPOSE(戦略の決定!$F$13:$F$18))</f>
        <v>3.7890789043091407E-2</v>
      </c>
      <c r="F245" s="183">
        <f t="shared" si="21"/>
        <v>1.5160383185793438</v>
      </c>
      <c r="G245" s="183">
        <f t="shared" si="22"/>
        <v>1.7378924829067068</v>
      </c>
      <c r="H245" s="75">
        <f t="shared" si="23"/>
        <v>1.7378924829067068</v>
      </c>
      <c r="J245"/>
      <c r="K245"/>
      <c r="L245"/>
      <c r="M245"/>
      <c r="N245"/>
      <c r="O245"/>
      <c r="P245"/>
    </row>
    <row r="246" spans="2:16" x14ac:dyDescent="0.15">
      <c r="B246" s="16">
        <v>41537</v>
      </c>
      <c r="C246" s="29">
        <f t="array" ref="C246">SUMPRODUCT('ファンドデータ(変更不要)'!K246:P246,TRANSPOSE(戦略の決定!$D$13:$D$18))</f>
        <v>1.3172333659701978E-2</v>
      </c>
      <c r="D246" s="29">
        <f t="array" ref="D246">SUMPRODUCT('ファンドデータ(変更不要)'!K246:P246,TRANSPOSE(戦略の決定!$E$13:$E$18))</f>
        <v>1.5329085534231266E-2</v>
      </c>
      <c r="E246" s="29">
        <f t="array" ref="E246">SUMPRODUCT('ファンドデータ(変更不要)'!K246:P246,TRANSPOSE(戦略の決定!$F$13:$F$18))</f>
        <v>1.5329085534231266E-2</v>
      </c>
      <c r="F246" s="183">
        <f t="shared" si="21"/>
        <v>1.5360080811525645</v>
      </c>
      <c r="G246" s="183">
        <f t="shared" si="22"/>
        <v>1.7645327854264812</v>
      </c>
      <c r="H246" s="75">
        <f t="shared" si="23"/>
        <v>1.7645327854264812</v>
      </c>
      <c r="J246"/>
      <c r="K246"/>
      <c r="L246"/>
      <c r="M246"/>
      <c r="N246"/>
      <c r="O246"/>
      <c r="P246"/>
    </row>
    <row r="247" spans="2:16" x14ac:dyDescent="0.15">
      <c r="B247" s="16">
        <v>41544</v>
      </c>
      <c r="C247" s="29">
        <f t="array" ref="C247">SUMPRODUCT('ファンドデータ(変更不要)'!K247:P247,TRANSPOSE(戦略の決定!$D$13:$D$18))</f>
        <v>9.2926852535918005E-3</v>
      </c>
      <c r="D247" s="29">
        <f t="array" ref="D247">SUMPRODUCT('ファンドデータ(変更不要)'!K247:P247,TRANSPOSE(戦略の決定!$E$13:$E$18))</f>
        <v>1.6112479665389711E-2</v>
      </c>
      <c r="E247" s="29">
        <f t="array" ref="E247">SUMPRODUCT('ファンドデータ(変更不要)'!K247:P247,TRANSPOSE(戦略の決定!$F$13:$F$18))</f>
        <v>1.6112479665389711E-2</v>
      </c>
      <c r="F247" s="183">
        <f t="shared" si="21"/>
        <v>1.5502817207976887</v>
      </c>
      <c r="G247" s="183">
        <f t="shared" si="22"/>
        <v>1.792963784050579</v>
      </c>
      <c r="H247" s="75">
        <f t="shared" si="23"/>
        <v>1.792963784050579</v>
      </c>
      <c r="J247"/>
      <c r="K247"/>
      <c r="L247"/>
      <c r="M247"/>
      <c r="N247"/>
      <c r="O247"/>
      <c r="P247"/>
    </row>
    <row r="248" spans="2:16" x14ac:dyDescent="0.15">
      <c r="B248" s="16">
        <v>41551</v>
      </c>
      <c r="C248" s="29">
        <f t="array" ref="C248">SUMPRODUCT('ファンドデータ(変更不要)'!K248:P248,TRANSPOSE(戦略の決定!$D$13:$D$18))</f>
        <v>-1.6900361305000777E-2</v>
      </c>
      <c r="D248" s="29">
        <f t="array" ref="D248">SUMPRODUCT('ファンドデータ(変更不要)'!K248:P248,TRANSPOSE(戦略の決定!$E$13:$E$18))</f>
        <v>-2.2372622958316768E-2</v>
      </c>
      <c r="E248" s="29">
        <f t="array" ref="E248">SUMPRODUCT('ファンドデータ(変更不要)'!K248:P248,TRANSPOSE(戦略の決定!$F$13:$F$18))</f>
        <v>-2.2372622958316768E-2</v>
      </c>
      <c r="F248" s="183">
        <f t="shared" si="21"/>
        <v>1.5240813995916696</v>
      </c>
      <c r="G248" s="183">
        <f t="shared" si="22"/>
        <v>1.7528504813320984</v>
      </c>
      <c r="H248" s="75">
        <f t="shared" si="23"/>
        <v>1.7528504813320984</v>
      </c>
      <c r="J248"/>
      <c r="K248"/>
      <c r="L248"/>
      <c r="M248"/>
      <c r="N248"/>
      <c r="O248"/>
      <c r="P248"/>
    </row>
    <row r="249" spans="2:16" x14ac:dyDescent="0.15">
      <c r="B249" s="16">
        <v>41558</v>
      </c>
      <c r="C249" s="29">
        <f t="array" ref="C249">SUMPRODUCT('ファンドデータ(変更不要)'!K249:P249,TRANSPOSE(戦略の決定!$D$13:$D$18))</f>
        <v>8.2786341651942593E-3</v>
      </c>
      <c r="D249" s="29">
        <f t="array" ref="D249">SUMPRODUCT('ファンドデータ(変更不要)'!K249:P249,TRANSPOSE(戦略の決定!$E$13:$E$18))</f>
        <v>1.0331351733171852E-2</v>
      </c>
      <c r="E249" s="29">
        <f t="array" ref="E249">SUMPRODUCT('ファンドデータ(変更不要)'!K249:P249,TRANSPOSE(戦略の決定!$F$13:$F$18))</f>
        <v>1.0331351733171852E-2</v>
      </c>
      <c r="F249" s="183">
        <f t="shared" si="21"/>
        <v>1.5366987119368665</v>
      </c>
      <c r="G249" s="183">
        <f t="shared" si="22"/>
        <v>1.7709597961903998</v>
      </c>
      <c r="H249" s="75">
        <f t="shared" si="23"/>
        <v>1.7709597961903998</v>
      </c>
      <c r="J249"/>
      <c r="K249"/>
      <c r="L249"/>
      <c r="M249"/>
      <c r="N249"/>
      <c r="O249"/>
      <c r="P249"/>
    </row>
    <row r="250" spans="2:16" x14ac:dyDescent="0.15">
      <c r="B250" s="16">
        <v>41565</v>
      </c>
      <c r="C250" s="29">
        <f t="array" ref="C250">SUMPRODUCT('ファンドデータ(変更不要)'!K250:P250,TRANSPOSE(戦略の決定!$D$13:$D$18))</f>
        <v>5.2945538152438529E-3</v>
      </c>
      <c r="D250" s="29">
        <f t="array" ref="D250">SUMPRODUCT('ファンドデータ(変更不要)'!K250:P250,TRANSPOSE(戦略の決定!$E$13:$E$18))</f>
        <v>5.6965246139156671E-3</v>
      </c>
      <c r="E250" s="29">
        <f t="array" ref="E250">SUMPRODUCT('ファンドデータ(変更不要)'!K250:P250,TRANSPOSE(戦略の決定!$F$13:$F$18))</f>
        <v>5.6965246139156671E-3</v>
      </c>
      <c r="F250" s="183">
        <f t="shared" si="21"/>
        <v>1.5448348459650321</v>
      </c>
      <c r="G250" s="183">
        <f t="shared" si="22"/>
        <v>1.7810481122596533</v>
      </c>
      <c r="H250" s="75">
        <f t="shared" si="23"/>
        <v>1.7810481122596533</v>
      </c>
      <c r="J250"/>
      <c r="K250"/>
      <c r="L250"/>
      <c r="M250"/>
      <c r="N250"/>
      <c r="O250"/>
      <c r="P250"/>
    </row>
    <row r="251" spans="2:16" x14ac:dyDescent="0.15">
      <c r="B251" s="16">
        <v>41572</v>
      </c>
      <c r="C251" s="29">
        <f t="array" ref="C251">SUMPRODUCT('ファンドデータ(変更不要)'!K251:P251,TRANSPOSE(戦略の決定!$D$13:$D$18))</f>
        <v>-3.0979249514067422E-3</v>
      </c>
      <c r="D251" s="29">
        <f t="array" ref="D251">SUMPRODUCT('ファンドデータ(変更不要)'!K251:P251,TRANSPOSE(戦略の決定!$E$13:$E$18))</f>
        <v>-1.2642598241306143E-4</v>
      </c>
      <c r="E251" s="29">
        <f t="array" ref="E251">SUMPRODUCT('ファンドデータ(変更不要)'!K251:P251,TRANSPOSE(戦略の決定!$F$13:$F$18))</f>
        <v>-1.2642598241306143E-4</v>
      </c>
      <c r="F251" s="183">
        <f t="shared" si="21"/>
        <v>1.5400490635499144</v>
      </c>
      <c r="G251" s="183">
        <f t="shared" si="22"/>
        <v>1.780822941502336</v>
      </c>
      <c r="H251" s="75">
        <f t="shared" si="23"/>
        <v>1.780822941502336</v>
      </c>
      <c r="J251"/>
      <c r="K251"/>
      <c r="L251"/>
      <c r="M251"/>
      <c r="N251"/>
      <c r="O251"/>
      <c r="P251"/>
    </row>
    <row r="252" spans="2:16" x14ac:dyDescent="0.15">
      <c r="B252" s="16">
        <v>41579</v>
      </c>
      <c r="C252" s="29">
        <f t="array" ref="C252">SUMPRODUCT('ファンドデータ(変更不要)'!K252:P252,TRANSPOSE(戦略の決定!$D$13:$D$18))</f>
        <v>3.7476719392766458E-3</v>
      </c>
      <c r="D252" s="29">
        <f t="array" ref="D252">SUMPRODUCT('ファンドデータ(変更不要)'!K252:P252,TRANSPOSE(戦略の決定!$E$13:$E$18))</f>
        <v>4.9361252880696172E-3</v>
      </c>
      <c r="E252" s="29">
        <f t="array" ref="E252">SUMPRODUCT('ファンドデータ(変更不要)'!K252:P252,TRANSPOSE(戦略の決定!$F$13:$F$18))</f>
        <v>4.9361252880696172E-3</v>
      </c>
      <c r="F252" s="183">
        <f t="shared" si="21"/>
        <v>1.5458206622104897</v>
      </c>
      <c r="G252" s="183">
        <f t="shared" si="22"/>
        <v>1.78961330665746</v>
      </c>
      <c r="H252" s="75">
        <f t="shared" si="23"/>
        <v>1.78961330665746</v>
      </c>
      <c r="J252"/>
      <c r="K252"/>
      <c r="L252"/>
      <c r="M252"/>
      <c r="N252"/>
      <c r="O252"/>
      <c r="P252"/>
    </row>
    <row r="253" spans="2:16" x14ac:dyDescent="0.15">
      <c r="B253" s="16">
        <v>41586</v>
      </c>
      <c r="C253" s="29">
        <f t="array" ref="C253">SUMPRODUCT('ファンドデータ(変更不要)'!K253:P253,TRANSPOSE(戦略の決定!$D$13:$D$18))</f>
        <v>-9.0941038158172272E-3</v>
      </c>
      <c r="D253" s="29">
        <f t="array" ref="D253">SUMPRODUCT('ファンドデータ(変更不要)'!K253:P253,TRANSPOSE(戦略の決定!$E$13:$E$18))</f>
        <v>-1.418034683705402E-2</v>
      </c>
      <c r="E253" s="29">
        <f t="array" ref="E253">SUMPRODUCT('ファンドデータ(変更不要)'!K253:P253,TRANSPOSE(戦略の決定!$F$13:$F$18))</f>
        <v>-1.418034683705402E-2</v>
      </c>
      <c r="F253" s="183">
        <f t="shared" si="21"/>
        <v>1.5317628086277122</v>
      </c>
      <c r="G253" s="183">
        <f t="shared" si="22"/>
        <v>1.7642359692648499</v>
      </c>
      <c r="H253" s="75">
        <f t="shared" si="23"/>
        <v>1.7642359692648499</v>
      </c>
      <c r="J253"/>
      <c r="K253"/>
      <c r="L253"/>
      <c r="M253"/>
      <c r="N253"/>
      <c r="O253"/>
      <c r="P253"/>
    </row>
    <row r="254" spans="2:16" x14ac:dyDescent="0.15">
      <c r="B254" s="16">
        <v>41593</v>
      </c>
      <c r="C254" s="29">
        <f t="array" ref="C254">SUMPRODUCT('ファンドデータ(変更不要)'!K254:P254,TRANSPOSE(戦略の決定!$D$13:$D$18))</f>
        <v>2.2228123606369207E-2</v>
      </c>
      <c r="D254" s="29">
        <f t="array" ref="D254">SUMPRODUCT('ファンドデータ(変更不要)'!K254:P254,TRANSPOSE(戦略の決定!$E$13:$E$18))</f>
        <v>2.4420216455047893E-2</v>
      </c>
      <c r="E254" s="29">
        <f t="array" ref="E254">SUMPRODUCT('ファンドデータ(変更不要)'!K254:P254,TRANSPOSE(戦略の決定!$F$13:$F$18))</f>
        <v>2.4420216455047893E-2</v>
      </c>
      <c r="F254" s="183">
        <f t="shared" si="21"/>
        <v>1.5658110216735284</v>
      </c>
      <c r="G254" s="183">
        <f t="shared" si="22"/>
        <v>1.807318993512079</v>
      </c>
      <c r="H254" s="75">
        <f t="shared" si="23"/>
        <v>1.807318993512079</v>
      </c>
      <c r="J254"/>
      <c r="K254"/>
      <c r="L254"/>
      <c r="M254"/>
      <c r="N254"/>
      <c r="O254"/>
      <c r="P254"/>
    </row>
    <row r="255" spans="2:16" x14ac:dyDescent="0.15">
      <c r="B255" s="16">
        <v>41600</v>
      </c>
      <c r="C255" s="29">
        <f t="array" ref="C255">SUMPRODUCT('ファンドデータ(変更不要)'!K255:P255,TRANSPOSE(戦略の決定!$D$13:$D$18))</f>
        <v>-2.7086864565307317E-5</v>
      </c>
      <c r="D255" s="29">
        <f t="array" ref="D255">SUMPRODUCT('ファンドデータ(変更不要)'!K255:P255,TRANSPOSE(戦略の決定!$E$13:$E$18))</f>
        <v>-4.7095907696999345E-3</v>
      </c>
      <c r="E255" s="29">
        <f t="array" ref="E255">SUMPRODUCT('ファンドデータ(変更不要)'!K255:P255,TRANSPOSE(戦略の決定!$F$13:$F$18))</f>
        <v>-4.7095907696999345E-3</v>
      </c>
      <c r="F255" s="183">
        <f t="shared" si="21"/>
        <v>1.5657686087624494</v>
      </c>
      <c r="G255" s="183">
        <f t="shared" si="22"/>
        <v>1.7988072606623313</v>
      </c>
      <c r="H255" s="75">
        <f t="shared" si="23"/>
        <v>1.7988072606623313</v>
      </c>
      <c r="J255"/>
      <c r="K255"/>
      <c r="L255"/>
      <c r="M255"/>
      <c r="N255"/>
      <c r="O255"/>
      <c r="P255"/>
    </row>
    <row r="256" spans="2:16" x14ac:dyDescent="0.15">
      <c r="B256" s="16">
        <v>41607</v>
      </c>
      <c r="C256" s="29">
        <f t="array" ref="C256">SUMPRODUCT('ファンドデータ(変更不要)'!K256:P256,TRANSPOSE(戦略の決定!$D$13:$D$18))</f>
        <v>1.3500763972984041E-2</v>
      </c>
      <c r="D256" s="29">
        <f t="array" ref="D256">SUMPRODUCT('ファンドデータ(変更不要)'!K256:P256,TRANSPOSE(戦略の決定!$E$13:$E$18))</f>
        <v>1.6022955623239986E-2</v>
      </c>
      <c r="E256" s="29">
        <f t="array" ref="E256">SUMPRODUCT('ファンドデータ(変更不要)'!K256:P256,TRANSPOSE(戦略の決定!$F$13:$F$18))</f>
        <v>1.6022955623239986E-2</v>
      </c>
      <c r="F256" s="183">
        <f t="shared" si="21"/>
        <v>1.5869076811856588</v>
      </c>
      <c r="G256" s="183">
        <f t="shared" si="22"/>
        <v>1.827629469574686</v>
      </c>
      <c r="H256" s="75">
        <f t="shared" si="23"/>
        <v>1.827629469574686</v>
      </c>
      <c r="J256"/>
      <c r="K256"/>
      <c r="L256"/>
      <c r="M256"/>
      <c r="N256"/>
      <c r="O256"/>
      <c r="P256"/>
    </row>
    <row r="257" spans="2:16" x14ac:dyDescent="0.15">
      <c r="B257" s="16">
        <v>41614</v>
      </c>
      <c r="C257" s="29">
        <f t="array" ref="C257">SUMPRODUCT('ファンドデータ(変更不要)'!K257:P257,TRANSPOSE(戦略の決定!$D$13:$D$18))</f>
        <v>-1.0560378960071001E-2</v>
      </c>
      <c r="D257" s="29">
        <f t="array" ref="D257">SUMPRODUCT('ファンドデータ(変更不要)'!K257:P257,TRANSPOSE(戦略の決定!$E$13:$E$18))</f>
        <v>-1.2458341228452118E-2</v>
      </c>
      <c r="E257" s="29">
        <f t="array" ref="E257">SUMPRODUCT('ファンドデータ(変更不要)'!K257:P257,TRANSPOSE(戦略の決定!$F$13:$F$18))</f>
        <v>-1.2458341228452118E-2</v>
      </c>
      <c r="F257" s="183">
        <f t="shared" si="21"/>
        <v>1.5701493346976907</v>
      </c>
      <c r="G257" s="183">
        <f t="shared" si="22"/>
        <v>1.8048602380035497</v>
      </c>
      <c r="H257" s="75">
        <f t="shared" si="23"/>
        <v>1.8048602380035497</v>
      </c>
      <c r="J257"/>
      <c r="K257"/>
      <c r="L257"/>
      <c r="M257"/>
      <c r="N257"/>
      <c r="O257"/>
      <c r="P257"/>
    </row>
    <row r="258" spans="2:16" x14ac:dyDescent="0.15">
      <c r="B258" s="16">
        <v>41621</v>
      </c>
      <c r="C258" s="29">
        <f t="array" ref="C258">SUMPRODUCT('ファンドデータ(変更不要)'!K258:P258,TRANSPOSE(戦略の決定!$D$13:$D$18))</f>
        <v>5.9348356901602383E-3</v>
      </c>
      <c r="D258" s="29">
        <f t="array" ref="D258">SUMPRODUCT('ファンドデータ(変更不要)'!K258:P258,TRANSPOSE(戦略の決定!$E$13:$E$18))</f>
        <v>4.4700714976893983E-3</v>
      </c>
      <c r="E258" s="29">
        <f t="array" ref="E258">SUMPRODUCT('ファンドデータ(変更不要)'!K258:P258,TRANSPOSE(戦略の決定!$F$13:$F$18))</f>
        <v>4.4700714976893983E-3</v>
      </c>
      <c r="F258" s="183">
        <f t="shared" si="21"/>
        <v>1.5794679130081359</v>
      </c>
      <c r="G258" s="183">
        <f t="shared" si="22"/>
        <v>1.812928092310762</v>
      </c>
      <c r="H258" s="75">
        <f t="shared" si="23"/>
        <v>1.812928092310762</v>
      </c>
      <c r="J258"/>
      <c r="K258"/>
      <c r="L258"/>
      <c r="M258"/>
      <c r="N258"/>
      <c r="O258"/>
      <c r="P258"/>
    </row>
    <row r="259" spans="2:16" x14ac:dyDescent="0.15">
      <c r="B259" s="16">
        <v>41628</v>
      </c>
      <c r="C259" s="29">
        <f t="array" ref="C259">SUMPRODUCT('ファンドデータ(変更不要)'!K259:P259,TRANSPOSE(戦略の決定!$D$13:$D$18))</f>
        <v>7.0046957262073356E-3</v>
      </c>
      <c r="D259" s="29">
        <f t="array" ref="D259">SUMPRODUCT('ファンドデータ(変更不要)'!K259:P259,TRANSPOSE(戦略の決定!$E$13:$E$18))</f>
        <v>7.7446982330991654E-3</v>
      </c>
      <c r="E259" s="29">
        <f t="array" ref="E259">SUMPRODUCT('ファンドデータ(変更不要)'!K259:P259,TRANSPOSE(戦略の決定!$F$13:$F$18))</f>
        <v>7.7446982330991654E-3</v>
      </c>
      <c r="F259" s="183">
        <f t="shared" si="21"/>
        <v>1.5905316051480656</v>
      </c>
      <c r="G259" s="183">
        <f t="shared" si="22"/>
        <v>1.8269686733040169</v>
      </c>
      <c r="H259" s="75">
        <f t="shared" si="23"/>
        <v>1.8269686733040169</v>
      </c>
      <c r="J259"/>
      <c r="K259"/>
      <c r="L259"/>
      <c r="M259"/>
      <c r="N259"/>
      <c r="O259"/>
      <c r="P259"/>
    </row>
    <row r="260" spans="2:16" x14ac:dyDescent="0.15">
      <c r="B260" s="16">
        <v>41635</v>
      </c>
      <c r="C260" s="29">
        <f t="array" ref="C260">SUMPRODUCT('ファンドデータ(変更不要)'!K260:P260,TRANSPOSE(戦略の決定!$D$13:$D$18))</f>
        <v>8.6043356830084652E-3</v>
      </c>
      <c r="D260" s="29">
        <f t="array" ref="D260">SUMPRODUCT('ファンドデータ(変更不要)'!K260:P260,TRANSPOSE(戦略の決定!$E$13:$E$18))</f>
        <v>1.2059180450058349E-2</v>
      </c>
      <c r="E260" s="29">
        <f t="array" ref="E260">SUMPRODUCT('ファンドデータ(変更不要)'!K260:P260,TRANSPOSE(戦略の決定!$F$13:$F$18))</f>
        <v>1.2059180450058349E-2</v>
      </c>
      <c r="F260" s="183">
        <f t="shared" si="21"/>
        <v>1.6042170729931939</v>
      </c>
      <c r="G260" s="183">
        <f t="shared" si="22"/>
        <v>1.8490004182119937</v>
      </c>
      <c r="H260" s="75">
        <f t="shared" si="23"/>
        <v>1.8490004182119937</v>
      </c>
      <c r="J260"/>
      <c r="K260"/>
      <c r="L260"/>
      <c r="M260"/>
      <c r="N260"/>
      <c r="O260"/>
      <c r="P260"/>
    </row>
    <row r="261" spans="2:16" x14ac:dyDescent="0.15">
      <c r="B261" s="16">
        <v>41642</v>
      </c>
      <c r="C261" s="29">
        <f t="array" ref="C261">SUMPRODUCT('ファンドデータ(変更不要)'!K261:P261,TRANSPOSE(戦略の決定!$D$13:$D$18))</f>
        <v>1.0595858322267561E-2</v>
      </c>
      <c r="D261" s="29">
        <f t="array" ref="D261">SUMPRODUCT('ファンドデータ(変更不要)'!K261:P261,TRANSPOSE(戦略の決定!$E$13:$E$18))</f>
        <v>1.8076784419515313E-2</v>
      </c>
      <c r="E261" s="29">
        <f t="array" ref="E261">SUMPRODUCT('ファンドデータ(変更不要)'!K261:P261,TRANSPOSE(戦略の決定!$F$13:$F$18))</f>
        <v>1.8076784419515313E-2</v>
      </c>
      <c r="F261" s="183">
        <f t="shared" ref="F261:F324" si="24">F260*(1+C261)</f>
        <v>1.6212151298167927</v>
      </c>
      <c r="G261" s="183">
        <f t="shared" ref="G261:G324" si="25">G260*(1+D261)</f>
        <v>1.8824244001636055</v>
      </c>
      <c r="H261" s="75">
        <f t="shared" ref="H261:H324" si="26">H260*(1+E261)</f>
        <v>1.8824244001636055</v>
      </c>
      <c r="J261"/>
      <c r="K261"/>
      <c r="L261"/>
      <c r="M261"/>
      <c r="N261"/>
      <c r="O261"/>
      <c r="P261"/>
    </row>
    <row r="262" spans="2:16" x14ac:dyDescent="0.15">
      <c r="B262" s="16">
        <v>41649</v>
      </c>
      <c r="C262" s="29">
        <f t="array" ref="C262">SUMPRODUCT('ファンドデータ(変更不要)'!K262:P262,TRANSPOSE(戦略の決定!$D$13:$D$18))</f>
        <v>-8.5780097313186369E-3</v>
      </c>
      <c r="D262" s="29">
        <f t="array" ref="D262">SUMPRODUCT('ファンドデータ(変更不要)'!K262:P262,TRANSPOSE(戦略の決定!$E$13:$E$18))</f>
        <v>-1.1833202445905027E-2</v>
      </c>
      <c r="E262" s="29">
        <f t="array" ref="E262">SUMPRODUCT('ファンドデータ(変更不要)'!K262:P262,TRANSPOSE(戦略の決定!$F$13:$F$18))</f>
        <v>-1.1833202445905027E-2</v>
      </c>
      <c r="F262" s="183">
        <f t="shared" si="24"/>
        <v>1.6073083306566633</v>
      </c>
      <c r="G262" s="183">
        <f t="shared" si="25"/>
        <v>1.8601492911473583</v>
      </c>
      <c r="H262" s="75">
        <f t="shared" si="26"/>
        <v>1.8601492911473583</v>
      </c>
      <c r="J262"/>
      <c r="K262"/>
      <c r="L262"/>
      <c r="M262"/>
      <c r="N262"/>
      <c r="O262"/>
      <c r="P262"/>
    </row>
    <row r="263" spans="2:16" x14ac:dyDescent="0.15">
      <c r="B263" s="16">
        <v>41656</v>
      </c>
      <c r="C263" s="29">
        <f t="array" ref="C263">SUMPRODUCT('ファンドデータ(変更不要)'!K263:P263,TRANSPOSE(戦略の決定!$D$13:$D$18))</f>
        <v>3.120765473689478E-3</v>
      </c>
      <c r="D263" s="29">
        <f t="array" ref="D263">SUMPRODUCT('ファンドデータ(変更不要)'!K263:P263,TRANSPOSE(戦略の決定!$E$13:$E$18))</f>
        <v>7.5092118563079013E-3</v>
      </c>
      <c r="E263" s="29">
        <f t="array" ref="E263">SUMPRODUCT('ファンドデータ(変更不要)'!K263:P263,TRANSPOSE(戦略の決定!$F$13:$F$18))</f>
        <v>7.5092118563079013E-3</v>
      </c>
      <c r="F263" s="183">
        <f t="shared" si="24"/>
        <v>1.6123243630005502</v>
      </c>
      <c r="G263" s="183">
        <f t="shared" si="25"/>
        <v>1.8741175462589446</v>
      </c>
      <c r="H263" s="75">
        <f t="shared" si="26"/>
        <v>1.8741175462589446</v>
      </c>
      <c r="J263"/>
      <c r="K263"/>
      <c r="L263"/>
      <c r="M263"/>
      <c r="N263"/>
      <c r="O263"/>
      <c r="P263"/>
    </row>
    <row r="264" spans="2:16" x14ac:dyDescent="0.15">
      <c r="B264" s="16">
        <v>41663</v>
      </c>
      <c r="C264" s="29">
        <f t="array" ref="C264">SUMPRODUCT('ファンドデータ(変更不要)'!K264:P264,TRANSPOSE(戦略の決定!$D$13:$D$18))</f>
        <v>-6.1420056901533033E-3</v>
      </c>
      <c r="D264" s="29">
        <f t="array" ref="D264">SUMPRODUCT('ファンドデータ(変更不要)'!K264:P264,TRANSPOSE(戦略の決定!$E$13:$E$18))</f>
        <v>-8.7424864101495886E-3</v>
      </c>
      <c r="E264" s="29">
        <f t="array" ref="E264">SUMPRODUCT('ファンドデータ(変更不要)'!K264:P264,TRANSPOSE(戦略の決定!$F$13:$F$18))</f>
        <v>-8.7424864101495886E-3</v>
      </c>
      <c r="F264" s="183">
        <f t="shared" si="24"/>
        <v>1.602421457588628</v>
      </c>
      <c r="G264" s="183">
        <f t="shared" si="25"/>
        <v>1.8577330990797527</v>
      </c>
      <c r="H264" s="75">
        <f t="shared" si="26"/>
        <v>1.8577330990797527</v>
      </c>
      <c r="J264"/>
      <c r="K264"/>
      <c r="L264"/>
      <c r="M264"/>
      <c r="N264"/>
      <c r="O264"/>
      <c r="P264"/>
    </row>
    <row r="265" spans="2:16" x14ac:dyDescent="0.15">
      <c r="B265" s="16">
        <v>41670</v>
      </c>
      <c r="C265" s="29">
        <f t="array" ref="C265">SUMPRODUCT('ファンドデータ(変更不要)'!K265:P265,TRANSPOSE(戦略の決定!$D$13:$D$18))</f>
        <v>-5.1177358011863568E-3</v>
      </c>
      <c r="D265" s="29">
        <f t="array" ref="D265">SUMPRODUCT('ファンドデータ(変更不要)'!K265:P265,TRANSPOSE(戦略の決定!$E$13:$E$18))</f>
        <v>-2.8857704778613891E-3</v>
      </c>
      <c r="E265" s="29">
        <f t="array" ref="E265">SUMPRODUCT('ファンドデータ(変更不要)'!K265:P265,TRANSPOSE(戦略の決定!$F$13:$F$18))</f>
        <v>-2.8857704778613891E-3</v>
      </c>
      <c r="F265" s="183">
        <f t="shared" si="24"/>
        <v>1.5942206879265375</v>
      </c>
      <c r="G265" s="183">
        <f t="shared" si="25"/>
        <v>1.8523721077466824</v>
      </c>
      <c r="H265" s="75">
        <f t="shared" si="26"/>
        <v>1.8523721077466824</v>
      </c>
      <c r="J265"/>
      <c r="K265"/>
      <c r="L265"/>
      <c r="M265"/>
      <c r="N265"/>
      <c r="O265"/>
      <c r="P265"/>
    </row>
    <row r="266" spans="2:16" x14ac:dyDescent="0.15">
      <c r="B266" s="16">
        <v>41677</v>
      </c>
      <c r="C266" s="29">
        <f t="array" ref="C266">SUMPRODUCT('ファンドデータ(変更不要)'!K266:P266,TRANSPOSE(戦略の決定!$D$13:$D$18))</f>
        <v>-1.0262269237233003E-2</v>
      </c>
      <c r="D266" s="29">
        <f t="array" ref="D266">SUMPRODUCT('ファンドデータ(変更不要)'!K266:P266,TRANSPOSE(戦略の決定!$E$13:$E$18))</f>
        <v>-1.3022451436512303E-2</v>
      </c>
      <c r="E266" s="29">
        <f t="array" ref="E266">SUMPRODUCT('ファンドデータ(変更不要)'!K266:P266,TRANSPOSE(戦略の決定!$F$13:$F$18))</f>
        <v>-1.3022451436512303E-2</v>
      </c>
      <c r="F266" s="183">
        <f t="shared" si="24"/>
        <v>1.5778603660034685</v>
      </c>
      <c r="G266" s="183">
        <f t="shared" si="25"/>
        <v>1.8282496819312013</v>
      </c>
      <c r="H266" s="75">
        <f t="shared" si="26"/>
        <v>1.8282496819312013</v>
      </c>
      <c r="J266"/>
      <c r="K266"/>
      <c r="L266"/>
      <c r="M266"/>
      <c r="N266"/>
      <c r="O266"/>
      <c r="P266"/>
    </row>
    <row r="267" spans="2:16" x14ac:dyDescent="0.15">
      <c r="B267" s="16">
        <v>41684</v>
      </c>
      <c r="C267" s="29">
        <f t="array" ref="C267">SUMPRODUCT('ファンドデータ(変更不要)'!K267:P267,TRANSPOSE(戦略の決定!$D$13:$D$18))</f>
        <v>2.8616905989837047E-3</v>
      </c>
      <c r="D267" s="29">
        <f t="array" ref="D267">SUMPRODUCT('ファンドデータ(変更不要)'!K267:P267,TRANSPOSE(戦略の決定!$E$13:$E$18))</f>
        <v>5.3642723241265379E-3</v>
      </c>
      <c r="E267" s="29">
        <f t="array" ref="E267">SUMPRODUCT('ファンドデータ(変更不要)'!K267:P267,TRANSPOSE(戦略の決定!$F$13:$F$18))</f>
        <v>5.3642723241265379E-3</v>
      </c>
      <c r="F267" s="183">
        <f t="shared" si="24"/>
        <v>1.5823757141793697</v>
      </c>
      <c r="G267" s="183">
        <f t="shared" si="25"/>
        <v>1.8380569111015779</v>
      </c>
      <c r="H267" s="75">
        <f t="shared" si="26"/>
        <v>1.8380569111015779</v>
      </c>
      <c r="J267"/>
      <c r="K267"/>
      <c r="L267"/>
      <c r="M267"/>
      <c r="N267"/>
      <c r="O267"/>
      <c r="P267"/>
    </row>
    <row r="268" spans="2:16" x14ac:dyDescent="0.15">
      <c r="B268" s="16">
        <v>41691</v>
      </c>
      <c r="C268" s="29">
        <f t="array" ref="C268">SUMPRODUCT('ファンドデータ(変更不要)'!K268:P268,TRANSPOSE(戦略の決定!$D$13:$D$18))</f>
        <v>1.0629529427928303E-2</v>
      </c>
      <c r="D268" s="29">
        <f t="array" ref="D268">SUMPRODUCT('ファンドデータ(変更不要)'!K268:P268,TRANSPOSE(戦略の決定!$E$13:$E$18))</f>
        <v>1.3312425617720416E-2</v>
      </c>
      <c r="E268" s="29">
        <f t="array" ref="E268">SUMPRODUCT('ファンドデータ(変更不要)'!K268:P268,TRANSPOSE(戦略の決定!$F$13:$F$18))</f>
        <v>1.3312425617720416E-2</v>
      </c>
      <c r="F268" s="183">
        <f t="shared" si="24"/>
        <v>1.5991956233992786</v>
      </c>
      <c r="G268" s="183">
        <f t="shared" si="25"/>
        <v>1.8625259070117546</v>
      </c>
      <c r="H268" s="75">
        <f t="shared" si="26"/>
        <v>1.8625259070117546</v>
      </c>
      <c r="J268"/>
      <c r="K268"/>
      <c r="L268"/>
      <c r="M268"/>
      <c r="N268"/>
      <c r="O268"/>
      <c r="P268"/>
    </row>
    <row r="269" spans="2:16" x14ac:dyDescent="0.15">
      <c r="B269" s="16">
        <v>41698</v>
      </c>
      <c r="C269" s="29">
        <f t="array" ref="C269">SUMPRODUCT('ファンドデータ(変更不要)'!K269:P269,TRANSPOSE(戦略の決定!$D$13:$D$18))</f>
        <v>3.6977192115509611E-3</v>
      </c>
      <c r="D269" s="29">
        <f t="array" ref="D269">SUMPRODUCT('ファンドデータ(変更不要)'!K269:P269,TRANSPOSE(戦略の決定!$E$13:$E$18))</f>
        <v>6.1352763169805289E-3</v>
      </c>
      <c r="E269" s="29">
        <f t="array" ref="E269">SUMPRODUCT('ファンドデータ(変更不要)'!K269:P269,TRANSPOSE(戦略の決定!$F$13:$F$18))</f>
        <v>6.1352763169805289E-3</v>
      </c>
      <c r="F269" s="183">
        <f t="shared" si="24"/>
        <v>1.6051089997789505</v>
      </c>
      <c r="G269" s="183">
        <f t="shared" si="25"/>
        <v>1.8739530180988067</v>
      </c>
      <c r="H269" s="75">
        <f t="shared" si="26"/>
        <v>1.8739530180988067</v>
      </c>
      <c r="J269"/>
      <c r="K269"/>
      <c r="L269"/>
      <c r="M269"/>
      <c r="N269"/>
      <c r="O269"/>
      <c r="P269"/>
    </row>
    <row r="270" spans="2:16" x14ac:dyDescent="0.15">
      <c r="B270" s="16">
        <v>41705</v>
      </c>
      <c r="C270" s="29">
        <f t="array" ref="C270">SUMPRODUCT('ファンドデータ(変更不要)'!K270:P270,TRANSPOSE(戦略の決定!$D$13:$D$18))</f>
        <v>6.9498816582621078E-3</v>
      </c>
      <c r="D270" s="29">
        <f t="array" ref="D270">SUMPRODUCT('ファンドデータ(変更不要)'!K270:P270,TRANSPOSE(戦略の決定!$E$13:$E$18))</f>
        <v>5.0133721972434866E-3</v>
      </c>
      <c r="E270" s="29">
        <f t="array" ref="E270">SUMPRODUCT('ファンドデータ(変更不要)'!K270:P270,TRANSPOSE(戦略の決定!$F$13:$F$18))</f>
        <v>5.0133721972434866E-3</v>
      </c>
      <c r="F270" s="183">
        <f t="shared" si="24"/>
        <v>1.6162643173760256</v>
      </c>
      <c r="G270" s="183">
        <f t="shared" si="25"/>
        <v>1.8833478420586836</v>
      </c>
      <c r="H270" s="75">
        <f t="shared" si="26"/>
        <v>1.8833478420586836</v>
      </c>
      <c r="J270"/>
      <c r="K270"/>
      <c r="L270"/>
      <c r="M270"/>
      <c r="N270"/>
      <c r="O270"/>
      <c r="P270"/>
    </row>
    <row r="271" spans="2:16" x14ac:dyDescent="0.15">
      <c r="B271" s="16">
        <v>41712</v>
      </c>
      <c r="C271" s="29">
        <f t="array" ref="C271">SUMPRODUCT('ファンドデータ(変更不要)'!K271:P271,TRANSPOSE(戦略の決定!$D$13:$D$18))</f>
        <v>-1.7316649408737665E-2</v>
      </c>
      <c r="D271" s="29">
        <f t="array" ref="D271">SUMPRODUCT('ファンドデータ(変更不要)'!K271:P271,TRANSPOSE(戦略の決定!$E$13:$E$18))</f>
        <v>-1.95451235868731E-2</v>
      </c>
      <c r="E271" s="29">
        <f t="array" ref="E271">SUMPRODUCT('ファンドデータ(変更不要)'!K271:P271,TRANSPOSE(戦略の決定!$F$13:$F$18))</f>
        <v>-1.95451235868731E-2</v>
      </c>
      <c r="F271" s="183">
        <f t="shared" si="24"/>
        <v>1.5882760348401723</v>
      </c>
      <c r="G271" s="183">
        <f t="shared" si="25"/>
        <v>1.8465375757285758</v>
      </c>
      <c r="H271" s="75">
        <f t="shared" si="26"/>
        <v>1.8465375757285758</v>
      </c>
      <c r="J271"/>
      <c r="K271"/>
      <c r="L271"/>
      <c r="M271"/>
      <c r="N271"/>
      <c r="O271"/>
      <c r="P271"/>
    </row>
    <row r="272" spans="2:16" x14ac:dyDescent="0.15">
      <c r="B272" s="16">
        <v>41719</v>
      </c>
      <c r="C272" s="29">
        <f t="array" ref="C272">SUMPRODUCT('ファンドデータ(変更不要)'!K272:P272,TRANSPOSE(戦略の決定!$D$13:$D$18))</f>
        <v>-1.151966237234799E-3</v>
      </c>
      <c r="D272" s="29">
        <f t="array" ref="D272">SUMPRODUCT('ファンドデータ(変更不要)'!K272:P272,TRANSPOSE(戦略の決定!$E$13:$E$18))</f>
        <v>-1.5243242095639787E-3</v>
      </c>
      <c r="E272" s="29">
        <f t="array" ref="E272">SUMPRODUCT('ファンドデータ(変更不要)'!K272:P272,TRANSPOSE(戦略の決定!$F$13:$F$18))</f>
        <v>-1.5243242095639787E-3</v>
      </c>
      <c r="F272" s="183">
        <f t="shared" si="24"/>
        <v>1.5864463944726273</v>
      </c>
      <c r="G272" s="183">
        <f t="shared" si="25"/>
        <v>1.8437228537980233</v>
      </c>
      <c r="H272" s="75">
        <f t="shared" si="26"/>
        <v>1.8437228537980233</v>
      </c>
      <c r="J272"/>
      <c r="K272"/>
      <c r="L272"/>
      <c r="M272"/>
      <c r="N272"/>
      <c r="O272"/>
      <c r="P272"/>
    </row>
    <row r="273" spans="2:16" x14ac:dyDescent="0.15">
      <c r="B273" s="16">
        <v>41726</v>
      </c>
      <c r="C273" s="29">
        <f t="array" ref="C273">SUMPRODUCT('ファンドデータ(変更不要)'!K273:P273,TRANSPOSE(戦略の決定!$D$13:$D$18))</f>
        <v>7.0083681309653298E-3</v>
      </c>
      <c r="D273" s="29">
        <f t="array" ref="D273">SUMPRODUCT('ファンドデータ(変更不要)'!K273:P273,TRANSPOSE(戦略の決定!$E$13:$E$18))</f>
        <v>6.7894544448864795E-3</v>
      </c>
      <c r="E273" s="29">
        <f t="array" ref="E273">SUMPRODUCT('ファンドデータ(変更不要)'!K273:P273,TRANSPOSE(戦略の決定!$F$13:$F$18))</f>
        <v>6.7894544448864795E-3</v>
      </c>
      <c r="F273" s="183">
        <f t="shared" si="24"/>
        <v>1.5975647948251341</v>
      </c>
      <c r="G273" s="183">
        <f t="shared" si="25"/>
        <v>1.856240726122881</v>
      </c>
      <c r="H273" s="75">
        <f t="shared" si="26"/>
        <v>1.856240726122881</v>
      </c>
      <c r="J273"/>
      <c r="K273"/>
      <c r="L273"/>
      <c r="M273"/>
      <c r="N273"/>
      <c r="O273"/>
      <c r="P273"/>
    </row>
    <row r="274" spans="2:16" x14ac:dyDescent="0.15">
      <c r="B274" s="16">
        <v>41733</v>
      </c>
      <c r="C274" s="29">
        <f t="array" ref="C274">SUMPRODUCT('ファンドデータ(変更不要)'!K274:P274,TRANSPOSE(戦略の決定!$D$13:$D$18))</f>
        <v>9.541851438060512E-3</v>
      </c>
      <c r="D274" s="29">
        <f t="array" ref="D274">SUMPRODUCT('ファンドデータ(変更不要)'!K274:P274,TRANSPOSE(戦略の決定!$E$13:$E$18))</f>
        <v>1.0812904571049166E-2</v>
      </c>
      <c r="E274" s="29">
        <f t="array" ref="E274">SUMPRODUCT('ファンドデータ(変更不要)'!K274:P274,TRANSPOSE(戦略の決定!$F$13:$F$18))</f>
        <v>1.0812904571049166E-2</v>
      </c>
      <c r="F274" s="183">
        <f t="shared" si="24"/>
        <v>1.6128085207600311</v>
      </c>
      <c r="G274" s="183">
        <f t="shared" si="25"/>
        <v>1.8763120799553428</v>
      </c>
      <c r="H274" s="75">
        <f t="shared" si="26"/>
        <v>1.8763120799553428</v>
      </c>
      <c r="J274"/>
      <c r="K274"/>
      <c r="L274"/>
      <c r="M274"/>
      <c r="N274"/>
      <c r="O274"/>
      <c r="P274"/>
    </row>
    <row r="275" spans="2:16" x14ac:dyDescent="0.15">
      <c r="B275" s="16">
        <v>41740</v>
      </c>
      <c r="C275" s="29">
        <f t="array" ref="C275">SUMPRODUCT('ファンドデータ(変更不要)'!K275:P275,TRANSPOSE(戦略の決定!$D$13:$D$18))</f>
        <v>-1.4197901854246405E-2</v>
      </c>
      <c r="D275" s="29">
        <f t="array" ref="D275">SUMPRODUCT('ファンドデータ(変更不要)'!K275:P275,TRANSPOSE(戦略の決定!$E$13:$E$18))</f>
        <v>-1.3393670161847978E-2</v>
      </c>
      <c r="E275" s="29">
        <f t="array" ref="E275">SUMPRODUCT('ファンドデータ(変更不要)'!K275:P275,TRANSPOSE(戦略の決定!$F$13:$F$18))</f>
        <v>-1.3393670161847978E-2</v>
      </c>
      <c r="F275" s="183">
        <f t="shared" si="24"/>
        <v>1.5899100236725878</v>
      </c>
      <c r="G275" s="183">
        <f t="shared" si="25"/>
        <v>1.85118137483573</v>
      </c>
      <c r="H275" s="75">
        <f t="shared" si="26"/>
        <v>1.85118137483573</v>
      </c>
      <c r="J275"/>
      <c r="K275"/>
      <c r="L275"/>
      <c r="M275"/>
      <c r="N275"/>
      <c r="O275"/>
      <c r="P275"/>
    </row>
    <row r="276" spans="2:16" x14ac:dyDescent="0.15">
      <c r="B276" s="16">
        <v>41747</v>
      </c>
      <c r="C276" s="29">
        <f t="array" ref="C276">SUMPRODUCT('ファンドデータ(変更不要)'!K276:P276,TRANSPOSE(戦略の決定!$D$13:$D$18))</f>
        <v>1.2131306036007839E-2</v>
      </c>
      <c r="D276" s="29">
        <f t="array" ref="D276">SUMPRODUCT('ファンドデータ(変更不要)'!K276:P276,TRANSPOSE(戦略の決定!$E$13:$E$18))</f>
        <v>1.4531906581866321E-2</v>
      </c>
      <c r="E276" s="29">
        <f t="array" ref="E276">SUMPRODUCT('ファンドデータ(変更不要)'!K276:P276,TRANSPOSE(戦略の決定!$F$13:$F$18))</f>
        <v>1.4531906581866321E-2</v>
      </c>
      <c r="F276" s="183">
        <f t="shared" si="24"/>
        <v>1.6091977087394764</v>
      </c>
      <c r="G276" s="183">
        <f t="shared" si="25"/>
        <v>1.8780825696409336</v>
      </c>
      <c r="H276" s="75">
        <f t="shared" si="26"/>
        <v>1.8780825696409336</v>
      </c>
      <c r="J276"/>
      <c r="K276"/>
      <c r="L276"/>
      <c r="M276"/>
      <c r="N276"/>
      <c r="O276"/>
      <c r="P276"/>
    </row>
    <row r="277" spans="2:16" x14ac:dyDescent="0.15">
      <c r="B277" s="16">
        <v>41754</v>
      </c>
      <c r="C277" s="29">
        <f t="array" ref="C277">SUMPRODUCT('ファンドデータ(変更不要)'!K277:P277,TRANSPOSE(戦略の決定!$D$13:$D$18))</f>
        <v>6.985894052526562E-4</v>
      </c>
      <c r="D277" s="29">
        <f t="array" ref="D277">SUMPRODUCT('ファンドデータ(変更不要)'!K277:P277,TRANSPOSE(戦略の決定!$E$13:$E$18))</f>
        <v>3.1817857252820973E-3</v>
      </c>
      <c r="E277" s="29">
        <f t="array" ref="E277">SUMPRODUCT('ファンドデータ(変更不要)'!K277:P277,TRANSPOSE(戦略の決定!$F$13:$F$18))</f>
        <v>3.1817857252820973E-3</v>
      </c>
      <c r="F277" s="183">
        <f t="shared" si="24"/>
        <v>1.6103218772097587</v>
      </c>
      <c r="G277" s="183">
        <f t="shared" si="25"/>
        <v>1.8840582259519181</v>
      </c>
      <c r="H277" s="75">
        <f t="shared" si="26"/>
        <v>1.8840582259519181</v>
      </c>
      <c r="J277"/>
      <c r="K277"/>
      <c r="L277"/>
      <c r="M277"/>
      <c r="N277"/>
      <c r="O277"/>
      <c r="P277"/>
    </row>
    <row r="278" spans="2:16" x14ac:dyDescent="0.15">
      <c r="B278" s="16">
        <v>41761</v>
      </c>
      <c r="C278" s="29">
        <f t="array" ref="C278">SUMPRODUCT('ファンドデータ(変更不要)'!K278:P278,TRANSPOSE(戦略の決定!$D$13:$D$18))</f>
        <v>2.862977672414794E-3</v>
      </c>
      <c r="D278" s="29">
        <f t="array" ref="D278">SUMPRODUCT('ファンドデータ(変更不要)'!K278:P278,TRANSPOSE(戦略の決定!$E$13:$E$18))</f>
        <v>3.4121426354961036E-3</v>
      </c>
      <c r="E278" s="29">
        <f t="array" ref="E278">SUMPRODUCT('ファンドデータ(変更不要)'!K278:P278,TRANSPOSE(戦略の決定!$F$13:$F$18))</f>
        <v>3.4121426354961036E-3</v>
      </c>
      <c r="F278" s="183">
        <f t="shared" si="24"/>
        <v>1.6149321927896112</v>
      </c>
      <c r="G278" s="183">
        <f t="shared" si="25"/>
        <v>1.8904869013524457</v>
      </c>
      <c r="H278" s="75">
        <f t="shared" si="26"/>
        <v>1.8904869013524457</v>
      </c>
      <c r="J278"/>
      <c r="K278"/>
      <c r="L278"/>
      <c r="M278"/>
      <c r="N278"/>
      <c r="O278"/>
      <c r="P278"/>
    </row>
    <row r="279" spans="2:16" x14ac:dyDescent="0.15">
      <c r="B279" s="16">
        <v>41768</v>
      </c>
      <c r="C279" s="29">
        <f t="array" ref="C279">SUMPRODUCT('ファンドデータ(変更不要)'!K279:P279,TRANSPOSE(戦略の決定!$D$13:$D$18))</f>
        <v>-2.4603309437154375E-3</v>
      </c>
      <c r="D279" s="29">
        <f t="array" ref="D279">SUMPRODUCT('ファンドデータ(変更不要)'!K279:P279,TRANSPOSE(戦略の決定!$E$13:$E$18))</f>
        <v>-7.6499735938681773E-4</v>
      </c>
      <c r="E279" s="29">
        <f t="array" ref="E279">SUMPRODUCT('ファンドデータ(変更不要)'!K279:P279,TRANSPOSE(戦略の決定!$F$13:$F$18))</f>
        <v>-7.6499735938681773E-4</v>
      </c>
      <c r="F279" s="183">
        <f t="shared" si="24"/>
        <v>1.6109589251436887</v>
      </c>
      <c r="G279" s="183">
        <f t="shared" si="25"/>
        <v>1.8890406838649556</v>
      </c>
      <c r="H279" s="75">
        <f t="shared" si="26"/>
        <v>1.8890406838649556</v>
      </c>
      <c r="J279"/>
      <c r="K279"/>
      <c r="L279"/>
      <c r="M279"/>
      <c r="N279"/>
      <c r="O279"/>
      <c r="P279"/>
    </row>
    <row r="280" spans="2:16" x14ac:dyDescent="0.15">
      <c r="B280" s="16">
        <v>41775</v>
      </c>
      <c r="C280" s="29">
        <f t="array" ref="C280">SUMPRODUCT('ファンドデータ(変更不要)'!K280:P280,TRANSPOSE(戦略の決定!$D$13:$D$18))</f>
        <v>1.3231930934040756E-3</v>
      </c>
      <c r="D280" s="29">
        <f t="array" ref="D280">SUMPRODUCT('ファンドデータ(変更不要)'!K280:P280,TRANSPOSE(戦略の決定!$E$13:$E$18))</f>
        <v>3.6229507487393993E-3</v>
      </c>
      <c r="E280" s="29">
        <f t="array" ref="E280">SUMPRODUCT('ファンドデータ(変更不要)'!K280:P280,TRANSPOSE(戦略の決定!$F$13:$F$18))</f>
        <v>3.6229507487393993E-3</v>
      </c>
      <c r="F280" s="183">
        <f t="shared" si="24"/>
        <v>1.6130905348671964</v>
      </c>
      <c r="G280" s="183">
        <f t="shared" si="25"/>
        <v>1.8958845852249631</v>
      </c>
      <c r="H280" s="75">
        <f t="shared" si="26"/>
        <v>1.8958845852249631</v>
      </c>
      <c r="J280"/>
      <c r="K280"/>
      <c r="L280"/>
      <c r="M280"/>
      <c r="N280"/>
      <c r="O280"/>
      <c r="P280"/>
    </row>
    <row r="281" spans="2:16" x14ac:dyDescent="0.15">
      <c r="B281" s="16">
        <v>41782</v>
      </c>
      <c r="C281" s="29">
        <f t="array" ref="C281">SUMPRODUCT('ファンドデータ(変更不要)'!K281:P281,TRANSPOSE(戦略の決定!$D$13:$D$18))</f>
        <v>2.6822213356229854E-3</v>
      </c>
      <c r="D281" s="29">
        <f t="array" ref="D281">SUMPRODUCT('ファンドデータ(変更不要)'!K281:P281,TRANSPOSE(戦略の決定!$E$13:$E$18))</f>
        <v>2.3151254181485912E-3</v>
      </c>
      <c r="E281" s="29">
        <f t="array" ref="E281">SUMPRODUCT('ファンドデータ(変更不要)'!K281:P281,TRANSPOSE(戦略の決定!$F$13:$F$18))</f>
        <v>2.3151254181485912E-3</v>
      </c>
      <c r="F281" s="183">
        <f t="shared" si="24"/>
        <v>1.6174172007161087</v>
      </c>
      <c r="G281" s="183">
        <f t="shared" si="25"/>
        <v>1.9002737958180935</v>
      </c>
      <c r="H281" s="75">
        <f t="shared" si="26"/>
        <v>1.9002737958180935</v>
      </c>
      <c r="J281"/>
      <c r="K281"/>
      <c r="L281"/>
      <c r="M281"/>
      <c r="N281"/>
      <c r="O281"/>
      <c r="P281"/>
    </row>
    <row r="282" spans="2:16" x14ac:dyDescent="0.15">
      <c r="B282" s="16">
        <v>41789</v>
      </c>
      <c r="C282" s="29">
        <f t="array" ref="C282">SUMPRODUCT('ファンドデータ(変更不要)'!K282:P282,TRANSPOSE(戦略の決定!$D$13:$D$18))</f>
        <v>9.8382481844615493E-3</v>
      </c>
      <c r="D282" s="29">
        <f t="array" ref="D282">SUMPRODUCT('ファンドデータ(変更不要)'!K282:P282,TRANSPOSE(戦略の決定!$E$13:$E$18))</f>
        <v>1.5161916020861253E-2</v>
      </c>
      <c r="E282" s="29">
        <f t="array" ref="E282">SUMPRODUCT('ファンドデータ(変更不要)'!K282:P282,TRANSPOSE(戦略の決定!$F$13:$F$18))</f>
        <v>1.5161916020861253E-2</v>
      </c>
      <c r="F282" s="183">
        <f t="shared" si="24"/>
        <v>1.6333297525545707</v>
      </c>
      <c r="G282" s="183">
        <f t="shared" si="25"/>
        <v>1.9290855875269306</v>
      </c>
      <c r="H282" s="75">
        <f t="shared" si="26"/>
        <v>1.9290855875269306</v>
      </c>
      <c r="J282"/>
      <c r="K282"/>
      <c r="L282"/>
      <c r="M282"/>
      <c r="N282"/>
      <c r="O282"/>
      <c r="P282"/>
    </row>
    <row r="283" spans="2:16" x14ac:dyDescent="0.15">
      <c r="B283" s="16">
        <v>41796</v>
      </c>
      <c r="C283" s="29">
        <f t="array" ref="C283">SUMPRODUCT('ファンドデータ(変更不要)'!K283:P283,TRANSPOSE(戦略の決定!$D$13:$D$18))</f>
        <v>2.6652989443348872E-3</v>
      </c>
      <c r="D283" s="29">
        <f t="array" ref="D283">SUMPRODUCT('ファンドデータ(変更不要)'!K283:P283,TRANSPOSE(戦略の決定!$E$13:$E$18))</f>
        <v>-7.5053571850868927E-4</v>
      </c>
      <c r="E283" s="29">
        <f t="array" ref="E283">SUMPRODUCT('ファンドデータ(変更不要)'!K283:P283,TRANSPOSE(戦略の決定!$F$13:$F$18))</f>
        <v>-7.5053571850868927E-4</v>
      </c>
      <c r="F283" s="183">
        <f t="shared" si="24"/>
        <v>1.6376830646198053</v>
      </c>
      <c r="G283" s="183">
        <f t="shared" si="25"/>
        <v>1.9276377398894313</v>
      </c>
      <c r="H283" s="75">
        <f t="shared" si="26"/>
        <v>1.9276377398894313</v>
      </c>
      <c r="J283"/>
      <c r="K283"/>
      <c r="L283"/>
      <c r="M283"/>
      <c r="N283"/>
      <c r="O283"/>
      <c r="P283"/>
    </row>
    <row r="284" spans="2:16" x14ac:dyDescent="0.15">
      <c r="B284" s="16">
        <v>41803</v>
      </c>
      <c r="C284" s="29">
        <f t="array" ref="C284">SUMPRODUCT('ファンドデータ(変更不要)'!K284:P284,TRANSPOSE(戦略の決定!$D$13:$D$18))</f>
        <v>1.6199367161435314E-4</v>
      </c>
      <c r="D284" s="29">
        <f t="array" ref="D284">SUMPRODUCT('ファンドデータ(変更不要)'!K284:P284,TRANSPOSE(戦略の決定!$E$13:$E$18))</f>
        <v>1.7421590466943978E-3</v>
      </c>
      <c r="E284" s="29">
        <f t="array" ref="E284">SUMPRODUCT('ファンドデータ(変更不要)'!K284:P284,TRANSPOSE(戦略の決定!$F$13:$F$18))</f>
        <v>1.7421590466943978E-3</v>
      </c>
      <c r="F284" s="183">
        <f t="shared" si="24"/>
        <v>1.6379483589123838</v>
      </c>
      <c r="G284" s="183">
        <f t="shared" si="25"/>
        <v>1.9309959914167292</v>
      </c>
      <c r="H284" s="75">
        <f t="shared" si="26"/>
        <v>1.9309959914167292</v>
      </c>
      <c r="J284"/>
      <c r="K284"/>
      <c r="L284"/>
      <c r="M284"/>
      <c r="N284"/>
      <c r="O284"/>
      <c r="P284"/>
    </row>
    <row r="285" spans="2:16" x14ac:dyDescent="0.15">
      <c r="B285" s="16">
        <v>41810</v>
      </c>
      <c r="C285" s="29">
        <f t="array" ref="C285">SUMPRODUCT('ファンドデータ(変更不要)'!K285:P285,TRANSPOSE(戦略の決定!$D$13:$D$18))</f>
        <v>1.1504199918394841E-2</v>
      </c>
      <c r="D285" s="29">
        <f t="array" ref="D285">SUMPRODUCT('ファンドデータ(変更不要)'!K285:P285,TRANSPOSE(戦略の決定!$E$13:$E$18))</f>
        <v>1.7345403889340368E-2</v>
      </c>
      <c r="E285" s="29">
        <f t="array" ref="E285">SUMPRODUCT('ファンドデータ(変更不要)'!K285:P285,TRANSPOSE(戦略の決定!$F$13:$F$18))</f>
        <v>1.7345403889340368E-2</v>
      </c>
      <c r="F285" s="183">
        <f t="shared" si="24"/>
        <v>1.6567916442893187</v>
      </c>
      <c r="G285" s="183">
        <f t="shared" si="25"/>
        <v>1.9644898967965496</v>
      </c>
      <c r="H285" s="75">
        <f t="shared" si="26"/>
        <v>1.9644898967965496</v>
      </c>
      <c r="J285"/>
      <c r="K285"/>
      <c r="L285"/>
      <c r="M285"/>
      <c r="N285"/>
      <c r="O285"/>
      <c r="P285"/>
    </row>
    <row r="286" spans="2:16" x14ac:dyDescent="0.15">
      <c r="B286" s="16">
        <v>41817</v>
      </c>
      <c r="C286" s="29">
        <f t="array" ref="C286">SUMPRODUCT('ファンドデータ(変更不要)'!K286:P286,TRANSPOSE(戦略の決定!$D$13:$D$18))</f>
        <v>-4.4908625611067366E-3</v>
      </c>
      <c r="D286" s="29">
        <f t="array" ref="D286">SUMPRODUCT('ファンドデータ(変更不要)'!K286:P286,TRANSPOSE(戦略の決定!$E$13:$E$18))</f>
        <v>-7.4208073496146946E-3</v>
      </c>
      <c r="E286" s="29">
        <f t="array" ref="E286">SUMPRODUCT('ファンドデータ(変更不要)'!K286:P286,TRANSPOSE(戦略の決定!$F$13:$F$18))</f>
        <v>-7.4208073496146946E-3</v>
      </c>
      <c r="F286" s="183">
        <f t="shared" si="24"/>
        <v>1.6493512207224252</v>
      </c>
      <c r="G286" s="183">
        <f t="shared" si="25"/>
        <v>1.9499117957321579</v>
      </c>
      <c r="H286" s="75">
        <f t="shared" si="26"/>
        <v>1.9499117957321579</v>
      </c>
      <c r="J286"/>
      <c r="K286"/>
      <c r="L286"/>
      <c r="M286"/>
      <c r="N286"/>
      <c r="O286"/>
      <c r="P286"/>
    </row>
    <row r="287" spans="2:16" x14ac:dyDescent="0.15">
      <c r="B287" s="16">
        <v>41824</v>
      </c>
      <c r="C287" s="29">
        <f t="array" ref="C287">SUMPRODUCT('ファンドデータ(変更不要)'!K287:P287,TRANSPOSE(戦略の決定!$D$13:$D$18))</f>
        <v>4.1275129126145255E-3</v>
      </c>
      <c r="D287" s="29">
        <f t="array" ref="D287">SUMPRODUCT('ファンドデータ(変更不要)'!K287:P287,TRANSPOSE(戦略の決定!$E$13:$E$18))</f>
        <v>4.3870938465716738E-3</v>
      </c>
      <c r="E287" s="29">
        <f t="array" ref="E287">SUMPRODUCT('ファンドデータ(変更不要)'!K287:P287,TRANSPOSE(戦略の決定!$F$13:$F$18))</f>
        <v>4.3870938465716738E-3</v>
      </c>
      <c r="F287" s="183">
        <f t="shared" si="24"/>
        <v>1.6561589391833937</v>
      </c>
      <c r="G287" s="183">
        <f t="shared" si="25"/>
        <v>1.9584662417725722</v>
      </c>
      <c r="H287" s="75">
        <f t="shared" si="26"/>
        <v>1.9584662417725722</v>
      </c>
      <c r="J287"/>
      <c r="K287"/>
      <c r="L287"/>
      <c r="M287"/>
      <c r="N287"/>
      <c r="O287"/>
      <c r="P287"/>
    </row>
    <row r="288" spans="2:16" x14ac:dyDescent="0.15">
      <c r="B288" s="16">
        <v>41831</v>
      </c>
      <c r="C288" s="29">
        <f t="array" ref="C288">SUMPRODUCT('ファンドデータ(変更不要)'!K288:P288,TRANSPOSE(戦略の決定!$D$13:$D$18))</f>
        <v>-4.8728853865347109E-3</v>
      </c>
      <c r="D288" s="29">
        <f t="array" ref="D288">SUMPRODUCT('ファンドデータ(変更不要)'!K288:P288,TRANSPOSE(戦略の決定!$E$13:$E$18))</f>
        <v>-6.2340949898671491E-3</v>
      </c>
      <c r="E288" s="29">
        <f t="array" ref="E288">SUMPRODUCT('ファンドデータ(変更不要)'!K288:P288,TRANSPOSE(戦略の決定!$F$13:$F$18))</f>
        <v>-6.2340949898671491E-3</v>
      </c>
      <c r="F288" s="183">
        <f t="shared" si="24"/>
        <v>1.648088666490868</v>
      </c>
      <c r="G288" s="183">
        <f t="shared" si="25"/>
        <v>1.9462569771869138</v>
      </c>
      <c r="H288" s="75">
        <f t="shared" si="26"/>
        <v>1.9462569771869138</v>
      </c>
      <c r="J288"/>
      <c r="K288"/>
      <c r="L288"/>
      <c r="M288"/>
      <c r="N288"/>
      <c r="O288"/>
      <c r="P288"/>
    </row>
    <row r="289" spans="2:16" x14ac:dyDescent="0.15">
      <c r="B289" s="16">
        <v>41838</v>
      </c>
      <c r="C289" s="29">
        <f t="array" ref="C289">SUMPRODUCT('ファンドデータ(変更不要)'!K289:P289,TRANSPOSE(戦略の決定!$D$13:$D$18))</f>
        <v>3.6747949865218598E-3</v>
      </c>
      <c r="D289" s="29">
        <f t="array" ref="D289">SUMPRODUCT('ファンドデータ(変更不要)'!K289:P289,TRANSPOSE(戦略の決定!$E$13:$E$18))</f>
        <v>6.1614149571384428E-3</v>
      </c>
      <c r="E289" s="29">
        <f t="array" ref="E289">SUMPRODUCT('ファンドデータ(変更不要)'!K289:P289,TRANSPOSE(戦略の決定!$F$13:$F$18))</f>
        <v>6.1614149571384428E-3</v>
      </c>
      <c r="F289" s="183">
        <f t="shared" si="24"/>
        <v>1.6541450544598322</v>
      </c>
      <c r="G289" s="183">
        <f t="shared" si="25"/>
        <v>1.9582486740365885</v>
      </c>
      <c r="H289" s="75">
        <f t="shared" si="26"/>
        <v>1.9582486740365885</v>
      </c>
      <c r="J289"/>
      <c r="K289"/>
      <c r="L289"/>
      <c r="M289"/>
      <c r="N289"/>
      <c r="O289"/>
      <c r="P289"/>
    </row>
    <row r="290" spans="2:16" x14ac:dyDescent="0.15">
      <c r="B290" s="16">
        <v>41845</v>
      </c>
      <c r="C290" s="29">
        <f t="array" ref="C290">SUMPRODUCT('ファンドデータ(変更不要)'!K290:P290,TRANSPOSE(戦略の決定!$D$13:$D$18))</f>
        <v>3.8115412433362547E-3</v>
      </c>
      <c r="D290" s="29">
        <f t="array" ref="D290">SUMPRODUCT('ファンドデータ(変更不要)'!K290:P290,TRANSPOSE(戦略の決定!$E$13:$E$18))</f>
        <v>3.9718175868488541E-3</v>
      </c>
      <c r="E290" s="29">
        <f t="array" ref="E290">SUMPRODUCT('ファンドデータ(変更不要)'!K290:P290,TRANSPOSE(戦略の決定!$F$13:$F$18))</f>
        <v>3.9718175868488541E-3</v>
      </c>
      <c r="F290" s="183">
        <f t="shared" si="24"/>
        <v>1.6604498965573664</v>
      </c>
      <c r="G290" s="183">
        <f t="shared" si="25"/>
        <v>1.9660264805595504</v>
      </c>
      <c r="H290" s="75">
        <f t="shared" si="26"/>
        <v>1.9660264805595504</v>
      </c>
      <c r="J290"/>
      <c r="K290"/>
      <c r="L290"/>
      <c r="M290"/>
      <c r="N290"/>
      <c r="O290"/>
      <c r="P290"/>
    </row>
    <row r="291" spans="2:16" x14ac:dyDescent="0.15">
      <c r="B291" s="16">
        <v>41852</v>
      </c>
      <c r="C291" s="29">
        <f t="array" ref="C291">SUMPRODUCT('ファンドデータ(変更不要)'!K291:P291,TRANSPOSE(戦略の決定!$D$13:$D$18))</f>
        <v>2.4195299839875842E-3</v>
      </c>
      <c r="D291" s="29">
        <f t="array" ref="D291">SUMPRODUCT('ファンドデータ(変更不要)'!K291:P291,TRANSPOSE(戦略の決定!$E$13:$E$18))</f>
        <v>1.4664207286953722E-3</v>
      </c>
      <c r="E291" s="29">
        <f t="array" ref="E291">SUMPRODUCT('ファンドデータ(変更不要)'!K291:P291,TRANSPOSE(戦略の決定!$F$13:$F$18))</f>
        <v>1.4664207286953722E-3</v>
      </c>
      <c r="F291" s="183">
        <f t="shared" si="24"/>
        <v>1.664467404868996</v>
      </c>
      <c r="G291" s="183">
        <f t="shared" si="25"/>
        <v>1.968909502543807</v>
      </c>
      <c r="H291" s="75">
        <f t="shared" si="26"/>
        <v>1.968909502543807</v>
      </c>
      <c r="J291"/>
      <c r="K291"/>
      <c r="L291"/>
      <c r="M291"/>
      <c r="N291"/>
      <c r="O291"/>
      <c r="P291"/>
    </row>
    <row r="292" spans="2:16" x14ac:dyDescent="0.15">
      <c r="B292" s="16">
        <v>41859</v>
      </c>
      <c r="C292" s="29">
        <f t="array" ref="C292">SUMPRODUCT('ファンドデータ(変更不要)'!K292:P292,TRANSPOSE(戦略の決定!$D$13:$D$18))</f>
        <v>-9.8919756209259399E-3</v>
      </c>
      <c r="D292" s="29">
        <f t="array" ref="D292">SUMPRODUCT('ファンドデータ(変更不要)'!K292:P292,TRANSPOSE(戦略の決定!$E$13:$E$18))</f>
        <v>-1.0297088512441334E-2</v>
      </c>
      <c r="E292" s="29">
        <f t="array" ref="E292">SUMPRODUCT('ファンドデータ(変更不要)'!K292:P292,TRANSPOSE(戦略の決定!$F$13:$F$18))</f>
        <v>-1.0297088512441334E-2</v>
      </c>
      <c r="F292" s="183">
        <f t="shared" si="24"/>
        <v>1.6480025338782061</v>
      </c>
      <c r="G292" s="183">
        <f t="shared" si="25"/>
        <v>1.9486354671231265</v>
      </c>
      <c r="H292" s="75">
        <f t="shared" si="26"/>
        <v>1.9486354671231265</v>
      </c>
      <c r="J292"/>
      <c r="K292"/>
      <c r="L292"/>
      <c r="M292"/>
      <c r="N292"/>
      <c r="O292"/>
      <c r="P292"/>
    </row>
    <row r="293" spans="2:16" x14ac:dyDescent="0.15">
      <c r="B293" s="16">
        <v>41866</v>
      </c>
      <c r="C293" s="29">
        <f t="array" ref="C293">SUMPRODUCT('ファンドデータ(変更不要)'!K293:P293,TRANSPOSE(戦略の決定!$D$13:$D$18))</f>
        <v>1.2957500443625439E-2</v>
      </c>
      <c r="D293" s="29">
        <f t="array" ref="D293">SUMPRODUCT('ファンドデータ(変更不要)'!K293:P293,TRANSPOSE(戦略の決定!$E$13:$E$18))</f>
        <v>1.6170945830440524E-2</v>
      </c>
      <c r="E293" s="29">
        <f t="array" ref="E293">SUMPRODUCT('ファンドデータ(変更不要)'!K293:P293,TRANSPOSE(戦略の決定!$F$13:$F$18))</f>
        <v>1.6170945830440524E-2</v>
      </c>
      <c r="F293" s="183">
        <f t="shared" si="24"/>
        <v>1.669356527442029</v>
      </c>
      <c r="G293" s="183">
        <f t="shared" si="25"/>
        <v>1.9801467457052495</v>
      </c>
      <c r="H293" s="75">
        <f t="shared" si="26"/>
        <v>1.9801467457052495</v>
      </c>
      <c r="J293"/>
      <c r="K293"/>
      <c r="L293"/>
      <c r="M293"/>
      <c r="N293"/>
      <c r="O293"/>
      <c r="P293"/>
    </row>
    <row r="294" spans="2:16" x14ac:dyDescent="0.15">
      <c r="B294" s="16">
        <v>41873</v>
      </c>
      <c r="C294" s="29">
        <f t="array" ref="C294">SUMPRODUCT('ファンドデータ(変更不要)'!K294:P294,TRANSPOSE(戦略の決定!$D$13:$D$18))</f>
        <v>9.4769455018152184E-3</v>
      </c>
      <c r="D294" s="29">
        <f t="array" ref="D294">SUMPRODUCT('ファンドデータ(変更不要)'!K294:P294,TRANSPOSE(戦略の決定!$E$13:$E$18))</f>
        <v>1.2677277947377547E-2</v>
      </c>
      <c r="E294" s="29">
        <f t="array" ref="E294">SUMPRODUCT('ファンドデータ(変更不要)'!K294:P294,TRANSPOSE(戦略の決定!$F$13:$F$18))</f>
        <v>1.2677277947377547E-2</v>
      </c>
      <c r="F294" s="183">
        <f t="shared" si="24"/>
        <v>1.6851769282756968</v>
      </c>
      <c r="G294" s="183">
        <f t="shared" si="25"/>
        <v>2.0052496163771503</v>
      </c>
      <c r="H294" s="75">
        <f t="shared" si="26"/>
        <v>2.0052496163771503</v>
      </c>
      <c r="J294"/>
      <c r="K294"/>
      <c r="L294"/>
      <c r="M294"/>
      <c r="N294"/>
      <c r="O294"/>
      <c r="P294"/>
    </row>
    <row r="295" spans="2:16" x14ac:dyDescent="0.15">
      <c r="B295" s="16">
        <v>41880</v>
      </c>
      <c r="C295" s="29">
        <f t="array" ref="C295">SUMPRODUCT('ファンドデータ(変更不要)'!K295:P295,TRANSPOSE(戦略の決定!$D$13:$D$18))</f>
        <v>1.1320350492275684E-3</v>
      </c>
      <c r="D295" s="29">
        <f t="array" ref="D295">SUMPRODUCT('ファンドデータ(変更不要)'!K295:P295,TRANSPOSE(戦略の決定!$E$13:$E$18))</f>
        <v>2.382284894893171E-3</v>
      </c>
      <c r="E295" s="29">
        <f t="array" ref="E295">SUMPRODUCT('ファンドデータ(変更不要)'!K295:P295,TRANSPOSE(戦略の決定!$F$13:$F$18))</f>
        <v>2.382284894893171E-3</v>
      </c>
      <c r="F295" s="183">
        <f t="shared" si="24"/>
        <v>1.6870846076226547</v>
      </c>
      <c r="G295" s="183">
        <f t="shared" si="25"/>
        <v>2.010026692248736</v>
      </c>
      <c r="H295" s="75">
        <f t="shared" si="26"/>
        <v>2.010026692248736</v>
      </c>
      <c r="J295"/>
      <c r="K295"/>
      <c r="L295"/>
      <c r="M295"/>
      <c r="N295"/>
      <c r="O295"/>
      <c r="P295"/>
    </row>
    <row r="296" spans="2:16" x14ac:dyDescent="0.15">
      <c r="B296" s="16">
        <v>41887</v>
      </c>
      <c r="C296" s="29">
        <f t="array" ref="C296">SUMPRODUCT('ファンドデータ(変更不要)'!K296:P296,TRANSPOSE(戦略の決定!$D$13:$D$18))</f>
        <v>9.2854161348731928E-4</v>
      </c>
      <c r="D296" s="29">
        <f t="array" ref="D296">SUMPRODUCT('ファンドデータ(変更不要)'!K296:P296,TRANSPOSE(戦略の決定!$E$13:$E$18))</f>
        <v>-2.826712406973599E-4</v>
      </c>
      <c r="E296" s="29">
        <f t="array" ref="E296">SUMPRODUCT('ファンドデータ(変更不要)'!K296:P296,TRANSPOSE(戦略の決定!$F$13:$F$18))</f>
        <v>-2.826712406973599E-4</v>
      </c>
      <c r="F296" s="183">
        <f t="shared" si="24"/>
        <v>1.6886511358863061</v>
      </c>
      <c r="G296" s="183">
        <f t="shared" si="25"/>
        <v>2.0094585155098033</v>
      </c>
      <c r="H296" s="75">
        <f t="shared" si="26"/>
        <v>2.0094585155098033</v>
      </c>
      <c r="J296"/>
      <c r="K296"/>
      <c r="L296"/>
      <c r="M296"/>
      <c r="N296"/>
      <c r="O296"/>
      <c r="P296"/>
    </row>
    <row r="297" spans="2:16" x14ac:dyDescent="0.15">
      <c r="B297" s="16">
        <v>41894</v>
      </c>
      <c r="C297" s="29">
        <f t="array" ref="C297">SUMPRODUCT('ファンドデータ(変更不要)'!K297:P297,TRANSPOSE(戦略の決定!$D$13:$D$18))</f>
        <v>5.0025697131892049E-3</v>
      </c>
      <c r="D297" s="29">
        <f t="array" ref="D297">SUMPRODUCT('ファンドデータ(変更不要)'!K297:P297,TRANSPOSE(戦略の決定!$E$13:$E$18))</f>
        <v>4.5522447651403508E-3</v>
      </c>
      <c r="E297" s="29">
        <f t="array" ref="E297">SUMPRODUCT('ファンドデータ(変更不要)'!K297:P297,TRANSPOSE(戦略の決定!$F$13:$F$18))</f>
        <v>4.5522447651403508E-3</v>
      </c>
      <c r="F297" s="183">
        <f t="shared" si="24"/>
        <v>1.6970987309148335</v>
      </c>
      <c r="G297" s="183">
        <f t="shared" si="25"/>
        <v>2.0186060625177995</v>
      </c>
      <c r="H297" s="75">
        <f t="shared" si="26"/>
        <v>2.0186060625177995</v>
      </c>
      <c r="J297"/>
      <c r="K297"/>
      <c r="L297"/>
      <c r="M297"/>
      <c r="N297"/>
      <c r="O297"/>
      <c r="P297"/>
    </row>
    <row r="298" spans="2:16" x14ac:dyDescent="0.15">
      <c r="B298" s="16">
        <v>41901</v>
      </c>
      <c r="C298" s="29">
        <f t="array" ref="C298">SUMPRODUCT('ファンドデータ(変更不要)'!K298:P298,TRANSPOSE(戦略の決定!$D$13:$D$18))</f>
        <v>7.8704552037262357E-3</v>
      </c>
      <c r="D298" s="29">
        <f t="array" ref="D298">SUMPRODUCT('ファンドデータ(変更不要)'!K298:P298,TRANSPOSE(戦略の決定!$E$13:$E$18))</f>
        <v>7.4114377928955555E-3</v>
      </c>
      <c r="E298" s="29">
        <f t="array" ref="E298">SUMPRODUCT('ファンドデータ(変更不要)'!K298:P298,TRANSPOSE(戦略の決定!$F$13:$F$18))</f>
        <v>7.4114377928955555E-3</v>
      </c>
      <c r="F298" s="183">
        <f t="shared" si="24"/>
        <v>1.7104556704527996</v>
      </c>
      <c r="G298" s="183">
        <f t="shared" si="25"/>
        <v>2.0335668357785122</v>
      </c>
      <c r="H298" s="75">
        <f t="shared" si="26"/>
        <v>2.0335668357785122</v>
      </c>
      <c r="J298"/>
      <c r="K298"/>
      <c r="L298"/>
      <c r="M298"/>
      <c r="N298"/>
      <c r="O298"/>
      <c r="P298"/>
    </row>
    <row r="299" spans="2:16" x14ac:dyDescent="0.15">
      <c r="B299" s="16">
        <v>41908</v>
      </c>
      <c r="C299" s="29">
        <f t="array" ref="C299">SUMPRODUCT('ファンドデータ(変更不要)'!K299:P299,TRANSPOSE(戦略の決定!$D$13:$D$18))</f>
        <v>-6.5440167170402463E-4</v>
      </c>
      <c r="D299" s="29">
        <f t="array" ref="D299">SUMPRODUCT('ファンドデータ(変更不要)'!K299:P299,TRANSPOSE(戦略の決定!$E$13:$E$18))</f>
        <v>-2.7178025144468784E-3</v>
      </c>
      <c r="E299" s="29">
        <f t="array" ref="E299">SUMPRODUCT('ファンドデータ(変更不要)'!K299:P299,TRANSPOSE(戦略の決定!$F$13:$F$18))</f>
        <v>-2.7178025144468784E-3</v>
      </c>
      <c r="F299" s="183">
        <f t="shared" si="24"/>
        <v>1.7093363454026795</v>
      </c>
      <c r="G299" s="183">
        <f t="shared" si="25"/>
        <v>2.0280400027189374</v>
      </c>
      <c r="H299" s="75">
        <f t="shared" si="26"/>
        <v>2.0280400027189374</v>
      </c>
      <c r="J299"/>
      <c r="K299"/>
      <c r="L299"/>
      <c r="M299"/>
      <c r="N299"/>
      <c r="O299"/>
      <c r="P299"/>
    </row>
    <row r="300" spans="2:16" x14ac:dyDescent="0.15">
      <c r="B300" s="16">
        <v>41915</v>
      </c>
      <c r="C300" s="29">
        <f t="array" ref="C300">SUMPRODUCT('ファンドデータ(変更不要)'!K300:P300,TRANSPOSE(戦略の決定!$D$13:$D$18))</f>
        <v>-4.6552452868630547E-3</v>
      </c>
      <c r="D300" s="29">
        <f t="array" ref="D300">SUMPRODUCT('ファンドデータ(変更不要)'!K300:P300,TRANSPOSE(戦略の決定!$E$13:$E$18))</f>
        <v>-4.1143487817061238E-3</v>
      </c>
      <c r="E300" s="29">
        <f t="array" ref="E300">SUMPRODUCT('ファンドデータ(変更不要)'!K300:P300,TRANSPOSE(戦略の決定!$F$13:$F$18))</f>
        <v>-4.1143487817061238E-3</v>
      </c>
      <c r="F300" s="183">
        <f t="shared" si="24"/>
        <v>1.7013789654370801</v>
      </c>
      <c r="G300" s="183">
        <f t="shared" si="25"/>
        <v>2.0196959388044995</v>
      </c>
      <c r="H300" s="75">
        <f t="shared" si="26"/>
        <v>2.0196959388044995</v>
      </c>
      <c r="J300"/>
      <c r="K300"/>
      <c r="L300"/>
      <c r="M300"/>
      <c r="N300"/>
      <c r="O300"/>
      <c r="P300"/>
    </row>
    <row r="301" spans="2:16" x14ac:dyDescent="0.15">
      <c r="B301" s="16">
        <v>41922</v>
      </c>
      <c r="C301" s="29">
        <f t="array" ref="C301">SUMPRODUCT('ファンドデータ(変更不要)'!K301:P301,TRANSPOSE(戦略の決定!$D$13:$D$18))</f>
        <v>-4.7844919140937964E-3</v>
      </c>
      <c r="D301" s="29">
        <f t="array" ref="D301">SUMPRODUCT('ファンドデータ(変更不要)'!K301:P301,TRANSPOSE(戦略の決定!$E$13:$E$18))</f>
        <v>-4.3221745895522688E-3</v>
      </c>
      <c r="E301" s="29">
        <f t="array" ref="E301">SUMPRODUCT('ファンドデータ(変更不要)'!K301:P301,TRANSPOSE(戦略の決定!$F$13:$F$18))</f>
        <v>-4.3221745895522688E-3</v>
      </c>
      <c r="F301" s="183">
        <f t="shared" si="24"/>
        <v>1.6932387315341371</v>
      </c>
      <c r="G301" s="183">
        <f t="shared" si="25"/>
        <v>2.0109664603391768</v>
      </c>
      <c r="H301" s="75">
        <f t="shared" si="26"/>
        <v>2.0109664603391768</v>
      </c>
      <c r="J301"/>
      <c r="K301"/>
      <c r="L301"/>
      <c r="M301"/>
      <c r="N301"/>
      <c r="O301"/>
      <c r="P301"/>
    </row>
    <row r="302" spans="2:16" x14ac:dyDescent="0.15">
      <c r="B302" s="16">
        <v>41929</v>
      </c>
      <c r="C302" s="29">
        <f t="array" ref="C302">SUMPRODUCT('ファンドデータ(変更不要)'!K302:P302,TRANSPOSE(戦略の決定!$D$13:$D$18))</f>
        <v>-1.4979485040232422E-2</v>
      </c>
      <c r="D302" s="29">
        <f t="array" ref="D302">SUMPRODUCT('ファンドデータ(変更不要)'!K302:P302,TRANSPOSE(戦略の決定!$E$13:$E$18))</f>
        <v>-1.9732615853867062E-2</v>
      </c>
      <c r="E302" s="29">
        <f t="array" ref="E302">SUMPRODUCT('ファンドデータ(変更不要)'!K302:P302,TRANSPOSE(戦略の決定!$F$13:$F$18))</f>
        <v>-1.9732615853867062E-2</v>
      </c>
      <c r="F302" s="183">
        <f t="shared" si="24"/>
        <v>1.6678748872855793</v>
      </c>
      <c r="G302" s="183">
        <f t="shared" si="25"/>
        <v>1.9712848316822931</v>
      </c>
      <c r="H302" s="75">
        <f t="shared" si="26"/>
        <v>1.9712848316822931</v>
      </c>
      <c r="J302"/>
      <c r="K302"/>
      <c r="L302"/>
      <c r="M302"/>
      <c r="N302"/>
      <c r="O302"/>
      <c r="P302"/>
    </row>
    <row r="303" spans="2:16" x14ac:dyDescent="0.15">
      <c r="B303" s="16">
        <v>41936</v>
      </c>
      <c r="C303" s="29">
        <f t="array" ref="C303">SUMPRODUCT('ファンドデータ(変更不要)'!K303:P303,TRANSPOSE(戦略の決定!$D$13:$D$18))</f>
        <v>1.5099295255900372E-2</v>
      </c>
      <c r="D303" s="29">
        <f t="array" ref="D303">SUMPRODUCT('ファンドデータ(変更不要)'!K303:P303,TRANSPOSE(戦略の決定!$E$13:$E$18))</f>
        <v>1.9571509132065002E-2</v>
      </c>
      <c r="E303" s="29">
        <f t="array" ref="E303">SUMPRODUCT('ファンドデータ(変更不要)'!K303:P303,TRANSPOSE(戦略の決定!$F$13:$F$18))</f>
        <v>1.9571509132065002E-2</v>
      </c>
      <c r="F303" s="183">
        <f t="shared" si="24"/>
        <v>1.6930586226586057</v>
      </c>
      <c r="G303" s="183">
        <f t="shared" si="25"/>
        <v>2.009865850767464</v>
      </c>
      <c r="H303" s="75">
        <f t="shared" si="26"/>
        <v>2.009865850767464</v>
      </c>
      <c r="J303"/>
      <c r="K303"/>
      <c r="L303"/>
      <c r="M303"/>
      <c r="N303"/>
      <c r="O303"/>
      <c r="P303"/>
    </row>
    <row r="304" spans="2:16" x14ac:dyDescent="0.15">
      <c r="B304" s="16">
        <v>41943</v>
      </c>
      <c r="C304" s="29">
        <f t="array" ref="C304">SUMPRODUCT('ファンドデータ(変更不要)'!K304:P304,TRANSPOSE(戦略の決定!$D$13:$D$18))</f>
        <v>2.5261370703482052E-2</v>
      </c>
      <c r="D304" s="29">
        <f t="array" ref="D304">SUMPRODUCT('ファンドデータ(変更不要)'!K304:P304,TRANSPOSE(戦略の決定!$E$13:$E$18))</f>
        <v>3.1610017555958846E-2</v>
      </c>
      <c r="E304" s="29">
        <f t="array" ref="E304">SUMPRODUCT('ファンドデータ(変更不要)'!K304:P304,TRANSPOSE(戦略の決定!$F$13:$F$18))</f>
        <v>3.1610017555958846E-2</v>
      </c>
      <c r="F304" s="183">
        <f t="shared" si="24"/>
        <v>1.7358276041483116</v>
      </c>
      <c r="G304" s="183">
        <f t="shared" si="25"/>
        <v>2.0733977455953458</v>
      </c>
      <c r="H304" s="75">
        <f t="shared" si="26"/>
        <v>2.0733977455953458</v>
      </c>
      <c r="J304"/>
      <c r="K304"/>
      <c r="L304"/>
      <c r="M304"/>
      <c r="N304"/>
      <c r="O304"/>
      <c r="P304"/>
    </row>
    <row r="305" spans="2:16" x14ac:dyDescent="0.15">
      <c r="B305" s="16">
        <v>41950</v>
      </c>
      <c r="C305" s="29">
        <f t="array" ref="C305">SUMPRODUCT('ファンドデータ(変更不要)'!K305:P305,TRANSPOSE(戦略の決定!$D$13:$D$18))</f>
        <v>1.4877144692318387E-2</v>
      </c>
      <c r="D305" s="29">
        <f t="array" ref="D305">SUMPRODUCT('ファンドデータ(変更不要)'!K305:P305,TRANSPOSE(戦略の決定!$E$13:$E$18))</f>
        <v>1.2438034034449312E-2</v>
      </c>
      <c r="E305" s="29">
        <f t="array" ref="E305">SUMPRODUCT('ファンドデータ(変更不要)'!K305:P305,TRANSPOSE(戦略の決定!$F$13:$F$18))</f>
        <v>1.2438034034449312E-2</v>
      </c>
      <c r="F305" s="183">
        <f t="shared" si="24"/>
        <v>1.7616517625761463</v>
      </c>
      <c r="G305" s="183">
        <f t="shared" si="25"/>
        <v>2.099186737322011</v>
      </c>
      <c r="H305" s="75">
        <f t="shared" si="26"/>
        <v>2.099186737322011</v>
      </c>
      <c r="J305"/>
      <c r="K305"/>
      <c r="L305"/>
      <c r="M305"/>
      <c r="N305"/>
      <c r="O305"/>
      <c r="P305"/>
    </row>
    <row r="306" spans="2:16" x14ac:dyDescent="0.15">
      <c r="B306" s="16">
        <v>41957</v>
      </c>
      <c r="C306" s="29">
        <f t="array" ref="C306">SUMPRODUCT('ファンドデータ(変更不要)'!K306:P306,TRANSPOSE(戦略の決定!$D$13:$D$18))</f>
        <v>1.853914600514937E-2</v>
      </c>
      <c r="D306" s="29">
        <f t="array" ref="D306">SUMPRODUCT('ファンドデータ(変更不要)'!K306:P306,TRANSPOSE(戦略の決定!$E$13:$E$18))</f>
        <v>2.4189594303487744E-2</v>
      </c>
      <c r="E306" s="29">
        <f t="array" ref="E306">SUMPRODUCT('ファンドデータ(変更不要)'!K306:P306,TRANSPOSE(戦略の決定!$F$13:$F$18))</f>
        <v>2.4189594303487744E-2</v>
      </c>
      <c r="F306" s="183">
        <f t="shared" si="24"/>
        <v>1.7943112818127742</v>
      </c>
      <c r="G306" s="183">
        <f t="shared" si="25"/>
        <v>2.1499652128650926</v>
      </c>
      <c r="H306" s="75">
        <f t="shared" si="26"/>
        <v>2.1499652128650926</v>
      </c>
      <c r="J306"/>
      <c r="K306"/>
      <c r="L306"/>
      <c r="M306"/>
      <c r="N306"/>
      <c r="O306"/>
      <c r="P306"/>
    </row>
    <row r="307" spans="2:16" x14ac:dyDescent="0.15">
      <c r="B307" s="16">
        <v>41964</v>
      </c>
      <c r="C307" s="29">
        <f t="array" ref="C307">SUMPRODUCT('ファンドデータ(変更不要)'!K307:P307,TRANSPOSE(戦略の決定!$D$13:$D$18))</f>
        <v>1.2879120718493422E-2</v>
      </c>
      <c r="D307" s="29">
        <f t="array" ref="D307">SUMPRODUCT('ファンドデータ(変更不要)'!K307:P307,TRANSPOSE(戦略の決定!$E$13:$E$18))</f>
        <v>1.8854622114634321E-2</v>
      </c>
      <c r="E307" s="29">
        <f t="array" ref="E307">SUMPRODUCT('ファンドデータ(変更不要)'!K307:P307,TRANSPOSE(戦略の決定!$F$13:$F$18))</f>
        <v>1.8854622114634321E-2</v>
      </c>
      <c r="F307" s="183">
        <f t="shared" si="24"/>
        <v>1.8174204334177957</v>
      </c>
      <c r="G307" s="183">
        <f t="shared" si="25"/>
        <v>2.1905019945132733</v>
      </c>
      <c r="H307" s="75">
        <f t="shared" si="26"/>
        <v>2.1905019945132733</v>
      </c>
      <c r="J307"/>
      <c r="K307"/>
      <c r="L307"/>
      <c r="M307"/>
      <c r="N307"/>
      <c r="O307"/>
      <c r="P307"/>
    </row>
    <row r="308" spans="2:16" x14ac:dyDescent="0.15">
      <c r="B308" s="16">
        <v>41971</v>
      </c>
      <c r="C308" s="29">
        <f t="array" ref="C308">SUMPRODUCT('ファンドデータ(変更不要)'!K308:P308,TRANSPOSE(戦略の決定!$D$13:$D$18))</f>
        <v>9.3548864920818195E-3</v>
      </c>
      <c r="D308" s="29">
        <f t="array" ref="D308">SUMPRODUCT('ファンドデータ(変更不要)'!K308:P308,TRANSPOSE(戦略の決定!$E$13:$E$18))</f>
        <v>1.388843272002099E-2</v>
      </c>
      <c r="E308" s="29">
        <f t="array" ref="E308">SUMPRODUCT('ファンドデータ(変更不要)'!K308:P308,TRANSPOSE(戦略の決定!$F$13:$F$18))</f>
        <v>1.388843272002099E-2</v>
      </c>
      <c r="F308" s="183">
        <f t="shared" si="24"/>
        <v>1.8344221952808093</v>
      </c>
      <c r="G308" s="183">
        <f t="shared" si="25"/>
        <v>2.2209246340871429</v>
      </c>
      <c r="H308" s="75">
        <f t="shared" si="26"/>
        <v>2.2209246340871429</v>
      </c>
      <c r="J308"/>
      <c r="K308"/>
      <c r="L308"/>
      <c r="M308"/>
      <c r="N308"/>
      <c r="O308"/>
      <c r="P308"/>
    </row>
    <row r="309" spans="2:16" x14ac:dyDescent="0.15">
      <c r="B309" s="16">
        <v>41978</v>
      </c>
      <c r="C309" s="29">
        <f t="array" ref="C309">SUMPRODUCT('ファンドデータ(変更不要)'!K309:P309,TRANSPOSE(戦略の決定!$D$13:$D$18))</f>
        <v>8.8516667202973454E-3</v>
      </c>
      <c r="D309" s="29">
        <f t="array" ref="D309">SUMPRODUCT('ファンドデータ(変更不要)'!K309:P309,TRANSPOSE(戦略の決定!$E$13:$E$18))</f>
        <v>9.3688472386067173E-3</v>
      </c>
      <c r="E309" s="29">
        <f t="array" ref="E309">SUMPRODUCT('ファンドデータ(変更不要)'!K309:P309,TRANSPOSE(戦略の決定!$F$13:$F$18))</f>
        <v>9.3688472386067173E-3</v>
      </c>
      <c r="F309" s="183">
        <f t="shared" si="24"/>
        <v>1.8506598891777513</v>
      </c>
      <c r="G309" s="183">
        <f t="shared" si="25"/>
        <v>2.2417321377123636</v>
      </c>
      <c r="H309" s="75">
        <f t="shared" si="26"/>
        <v>2.2417321377123636</v>
      </c>
      <c r="J309"/>
      <c r="K309"/>
      <c r="L309"/>
      <c r="M309"/>
      <c r="N309"/>
      <c r="O309"/>
      <c r="P309"/>
    </row>
    <row r="310" spans="2:16" x14ac:dyDescent="0.15">
      <c r="B310" s="16">
        <v>41985</v>
      </c>
      <c r="C310" s="29">
        <f t="array" ref="C310">SUMPRODUCT('ファンドデータ(変更不要)'!K310:P310,TRANSPOSE(戦略の決定!$D$13:$D$18))</f>
        <v>-3.9934681607791712E-3</v>
      </c>
      <c r="D310" s="29">
        <f t="array" ref="D310">SUMPRODUCT('ファンドデータ(変更不要)'!K310:P310,TRANSPOSE(戦略の決定!$E$13:$E$18))</f>
        <v>-2.6792545836881679E-3</v>
      </c>
      <c r="E310" s="29">
        <f t="array" ref="E310">SUMPRODUCT('ファンドデータ(変更不要)'!K310:P310,TRANSPOSE(戦略の決定!$F$13:$F$18))</f>
        <v>-2.6792545836881679E-3</v>
      </c>
      <c r="F310" s="183">
        <f t="shared" si="24"/>
        <v>1.8432693378338889</v>
      </c>
      <c r="G310" s="183">
        <f t="shared" si="25"/>
        <v>2.2357259666069966</v>
      </c>
      <c r="H310" s="75">
        <f t="shared" si="26"/>
        <v>2.2357259666069966</v>
      </c>
      <c r="J310"/>
      <c r="K310"/>
      <c r="L310"/>
      <c r="M310"/>
      <c r="N310"/>
      <c r="O310"/>
      <c r="P310"/>
    </row>
    <row r="311" spans="2:16" x14ac:dyDescent="0.15">
      <c r="B311" s="16">
        <v>41992</v>
      </c>
      <c r="C311" s="29">
        <f t="array" ref="C311">SUMPRODUCT('ファンドデータ(変更不要)'!K311:P311,TRANSPOSE(戦略の決定!$D$13:$D$18))</f>
        <v>2.5394020502577021E-3</v>
      </c>
      <c r="D311" s="29">
        <f t="array" ref="D311">SUMPRODUCT('ファンドデータ(変更不要)'!K311:P311,TRANSPOSE(戦略の決定!$E$13:$E$18))</f>
        <v>1.4588090995408874E-3</v>
      </c>
      <c r="E311" s="29">
        <f t="array" ref="E311">SUMPRODUCT('ファンドデータ(変更不要)'!K311:P311,TRANSPOSE(戦略の決定!$F$13:$F$18))</f>
        <v>1.4588090995408874E-3</v>
      </c>
      <c r="F311" s="183">
        <f t="shared" si="24"/>
        <v>1.8479501397695612</v>
      </c>
      <c r="G311" s="183">
        <f t="shared" si="25"/>
        <v>2.2389874639911627</v>
      </c>
      <c r="H311" s="75">
        <f t="shared" si="26"/>
        <v>2.2389874639911627</v>
      </c>
      <c r="J311"/>
      <c r="K311"/>
      <c r="L311"/>
      <c r="M311"/>
      <c r="N311"/>
      <c r="O311"/>
      <c r="P311"/>
    </row>
    <row r="312" spans="2:16" x14ac:dyDescent="0.15">
      <c r="B312" s="16">
        <v>41999</v>
      </c>
      <c r="C312" s="29">
        <f t="array" ref="C312">SUMPRODUCT('ファンドデータ(変更不要)'!K312:P312,TRANSPOSE(戦略の決定!$D$13:$D$18))</f>
        <v>8.0962081504472212E-3</v>
      </c>
      <c r="D312" s="29">
        <f t="array" ref="D312">SUMPRODUCT('ファンドデータ(変更不要)'!K312:P312,TRANSPOSE(戦略の決定!$E$13:$E$18))</f>
        <v>1.078193028233893E-2</v>
      </c>
      <c r="E312" s="29">
        <f t="array" ref="E312">SUMPRODUCT('ファンドデータ(変更不要)'!K312:P312,TRANSPOSE(戦略の決定!$F$13:$F$18))</f>
        <v>1.078193028233893E-2</v>
      </c>
      <c r="F312" s="183">
        <f t="shared" si="24"/>
        <v>1.8629115287527835</v>
      </c>
      <c r="G312" s="183">
        <f t="shared" si="25"/>
        <v>2.263128070730946</v>
      </c>
      <c r="H312" s="75">
        <f t="shared" si="26"/>
        <v>2.263128070730946</v>
      </c>
      <c r="J312"/>
      <c r="K312"/>
      <c r="L312"/>
      <c r="M312"/>
      <c r="N312"/>
      <c r="O312"/>
      <c r="P312"/>
    </row>
    <row r="313" spans="2:16" x14ac:dyDescent="0.15">
      <c r="B313" s="16">
        <v>42006</v>
      </c>
      <c r="C313" s="29">
        <f t="array" ref="C313">SUMPRODUCT('ファンドデータ(変更不要)'!K313:P313,TRANSPOSE(戦略の決定!$D$13:$D$18))</f>
        <v>1.343117401889755E-3</v>
      </c>
      <c r="D313" s="29">
        <f t="array" ref="D313">SUMPRODUCT('ファンドデータ(変更不要)'!K313:P313,TRANSPOSE(戦略の決定!$E$13:$E$18))</f>
        <v>5.0185433666703593E-3</v>
      </c>
      <c r="E313" s="29">
        <f t="array" ref="E313">SUMPRODUCT('ファンドデータ(変更不要)'!K313:P313,TRANSPOSE(戦略の決定!$F$13:$F$18))</f>
        <v>5.0185433666703593E-3</v>
      </c>
      <c r="F313" s="183">
        <f t="shared" si="24"/>
        <v>1.8654136376452326</v>
      </c>
      <c r="G313" s="183">
        <f t="shared" si="25"/>
        <v>2.2744856770982382</v>
      </c>
      <c r="H313" s="75">
        <f t="shared" si="26"/>
        <v>2.2744856770982382</v>
      </c>
      <c r="J313"/>
      <c r="K313"/>
      <c r="L313"/>
      <c r="M313"/>
      <c r="N313"/>
      <c r="O313"/>
      <c r="P313"/>
    </row>
    <row r="314" spans="2:16" x14ac:dyDescent="0.15">
      <c r="B314" s="16">
        <v>42013</v>
      </c>
      <c r="C314" s="29">
        <f t="array" ref="C314">SUMPRODUCT('ファンドデータ(変更不要)'!K314:P314,TRANSPOSE(戦略の決定!$D$13:$D$18))</f>
        <v>-6.7242386297517061E-4</v>
      </c>
      <c r="D314" s="29">
        <f t="array" ref="D314">SUMPRODUCT('ファンドデータ(変更不要)'!K314:P314,TRANSPOSE(戦略の決定!$E$13:$E$18))</f>
        <v>2.3245898657611908E-3</v>
      </c>
      <c r="E314" s="29">
        <f t="array" ref="E314">SUMPRODUCT('ファンドデータ(変更不要)'!K314:P314,TRANSPOSE(戦略の決定!$F$13:$F$18))</f>
        <v>2.3245898657611908E-3</v>
      </c>
      <c r="F314" s="183">
        <f t="shared" si="24"/>
        <v>1.8641592890009606</v>
      </c>
      <c r="G314" s="183">
        <f t="shared" si="25"/>
        <v>2.2797729234530397</v>
      </c>
      <c r="H314" s="75">
        <f t="shared" si="26"/>
        <v>2.2797729234530397</v>
      </c>
      <c r="J314"/>
      <c r="K314"/>
      <c r="L314"/>
      <c r="M314"/>
      <c r="N314"/>
      <c r="O314"/>
      <c r="P314"/>
    </row>
    <row r="315" spans="2:16" x14ac:dyDescent="0.15">
      <c r="B315" s="16">
        <v>42020</v>
      </c>
      <c r="C315" s="29">
        <f t="array" ref="C315">SUMPRODUCT('ファンドデータ(変更不要)'!K315:P315,TRANSPOSE(戦略の決定!$D$13:$D$18))</f>
        <v>-5.7134783477064358E-3</v>
      </c>
      <c r="D315" s="29">
        <f t="array" ref="D315">SUMPRODUCT('ファンドデータ(変更不要)'!K315:P315,TRANSPOSE(戦略の決定!$E$13:$E$18))</f>
        <v>-2.731045998826352E-3</v>
      </c>
      <c r="E315" s="29">
        <f t="array" ref="E315">SUMPRODUCT('ファンドデータ(変更不要)'!K315:P315,TRANSPOSE(戦略の決定!$F$13:$F$18))</f>
        <v>-2.731045998826352E-3</v>
      </c>
      <c r="F315" s="183">
        <f t="shared" si="24"/>
        <v>1.8535084552665779</v>
      </c>
      <c r="G315" s="183">
        <f t="shared" si="25"/>
        <v>2.2735467587322105</v>
      </c>
      <c r="H315" s="75">
        <f t="shared" si="26"/>
        <v>2.2735467587322105</v>
      </c>
      <c r="J315"/>
      <c r="K315"/>
      <c r="L315"/>
      <c r="M315"/>
      <c r="N315"/>
      <c r="O315"/>
      <c r="P315"/>
    </row>
    <row r="316" spans="2:16" x14ac:dyDescent="0.15">
      <c r="B316" s="16">
        <v>42027</v>
      </c>
      <c r="C316" s="29">
        <f t="array" ref="C316">SUMPRODUCT('ファンドデータ(変更不要)'!K316:P316,TRANSPOSE(戦略の決定!$D$13:$D$18))</f>
        <v>3.3981395078271064E-3</v>
      </c>
      <c r="D316" s="29">
        <f t="array" ref="D316">SUMPRODUCT('ファンドデータ(変更不要)'!K316:P316,TRANSPOSE(戦略の決定!$E$13:$E$18))</f>
        <v>2.3049284757530515E-3</v>
      </c>
      <c r="E316" s="29">
        <f t="array" ref="E316">SUMPRODUCT('ファンドデータ(変更不要)'!K316:P316,TRANSPOSE(戦略の決定!$F$13:$F$18))</f>
        <v>2.3049284757530515E-3</v>
      </c>
      <c r="F316" s="183">
        <f t="shared" si="24"/>
        <v>1.8598069355765108</v>
      </c>
      <c r="G316" s="183">
        <f t="shared" si="25"/>
        <v>2.2787871213973685</v>
      </c>
      <c r="H316" s="75">
        <f t="shared" si="26"/>
        <v>2.2787871213973685</v>
      </c>
      <c r="J316"/>
      <c r="K316"/>
      <c r="L316"/>
      <c r="M316"/>
      <c r="N316"/>
      <c r="O316"/>
      <c r="P316"/>
    </row>
    <row r="317" spans="2:16" x14ac:dyDescent="0.15">
      <c r="B317" s="16">
        <v>42034</v>
      </c>
      <c r="C317" s="29">
        <f t="array" ref="C317">SUMPRODUCT('ファンドデータ(変更不要)'!K317:P317,TRANSPOSE(戦略の決定!$D$13:$D$18))</f>
        <v>-8.7637720372740341E-3</v>
      </c>
      <c r="D317" s="29">
        <f t="array" ref="D317">SUMPRODUCT('ファンドデータ(変更不要)'!K317:P317,TRANSPOSE(戦略の決定!$E$13:$E$18))</f>
        <v>-1.7972238042715565E-2</v>
      </c>
      <c r="E317" s="29">
        <f t="array" ref="E317">SUMPRODUCT('ファンドデータ(変更不要)'!K317:P317,TRANSPOSE(戦略の決定!$F$13:$F$18))</f>
        <v>-1.7972238042715565E-2</v>
      </c>
      <c r="F317" s="183">
        <f t="shared" si="24"/>
        <v>1.8435080115597771</v>
      </c>
      <c r="G317" s="183">
        <f t="shared" si="25"/>
        <v>2.2378322168029405</v>
      </c>
      <c r="H317" s="75">
        <f t="shared" si="26"/>
        <v>2.2378322168029405</v>
      </c>
      <c r="J317"/>
      <c r="K317"/>
      <c r="L317"/>
      <c r="M317"/>
      <c r="N317"/>
      <c r="O317"/>
      <c r="P317"/>
    </row>
    <row r="318" spans="2:16" x14ac:dyDescent="0.15">
      <c r="B318" s="16">
        <v>42041</v>
      </c>
      <c r="C318" s="29">
        <f t="array" ref="C318">SUMPRODUCT('ファンドデータ(変更不要)'!K318:P318,TRANSPOSE(戦略の決定!$D$13:$D$18))</f>
        <v>3.9433312510117927E-4</v>
      </c>
      <c r="D318" s="29">
        <f t="array" ref="D318">SUMPRODUCT('ファンドデータ(変更不要)'!K318:P318,TRANSPOSE(戦略の決定!$E$13:$E$18))</f>
        <v>2.9371887427820042E-3</v>
      </c>
      <c r="E318" s="29">
        <f t="array" ref="E318">SUMPRODUCT('ファンドデータ(変更不要)'!K318:P318,TRANSPOSE(戦略の決定!$F$13:$F$18))</f>
        <v>2.9371887427820042E-3</v>
      </c>
      <c r="F318" s="183">
        <f t="shared" si="24"/>
        <v>1.8442349678351246</v>
      </c>
      <c r="G318" s="183">
        <f t="shared" si="25"/>
        <v>2.244405152398369</v>
      </c>
      <c r="H318" s="75">
        <f t="shared" si="26"/>
        <v>2.244405152398369</v>
      </c>
      <c r="J318"/>
      <c r="K318"/>
      <c r="L318"/>
      <c r="M318"/>
      <c r="N318"/>
      <c r="O318"/>
      <c r="P318"/>
    </row>
    <row r="319" spans="2:16" x14ac:dyDescent="0.15">
      <c r="B319" s="16">
        <v>42048</v>
      </c>
      <c r="C319" s="29">
        <f t="array" ref="C319">SUMPRODUCT('ファンドデータ(変更不要)'!K319:P319,TRANSPOSE(戦略の決定!$D$13:$D$18))</f>
        <v>-2.8180379202423916E-3</v>
      </c>
      <c r="D319" s="29">
        <f t="array" ref="D319">SUMPRODUCT('ファンドデータ(変更不要)'!K319:P319,TRANSPOSE(戦略の決定!$E$13:$E$18))</f>
        <v>-4.9001254140268275E-3</v>
      </c>
      <c r="E319" s="29">
        <f t="array" ref="E319">SUMPRODUCT('ファンドデータ(変更不要)'!K319:P319,TRANSPOSE(戦略の決定!$F$13:$F$18))</f>
        <v>-4.9001254140268275E-3</v>
      </c>
      <c r="F319" s="183">
        <f t="shared" si="24"/>
        <v>1.8390378437619284</v>
      </c>
      <c r="G319" s="183">
        <f t="shared" si="25"/>
        <v>2.2334072856717291</v>
      </c>
      <c r="H319" s="75">
        <f t="shared" si="26"/>
        <v>2.2334072856717291</v>
      </c>
      <c r="J319"/>
      <c r="K319"/>
      <c r="L319"/>
      <c r="M319"/>
      <c r="N319"/>
      <c r="O319"/>
      <c r="P319"/>
    </row>
    <row r="320" spans="2:16" x14ac:dyDescent="0.15">
      <c r="B320" s="16">
        <v>42055</v>
      </c>
      <c r="C320" s="29">
        <f t="array" ref="C320">SUMPRODUCT('ファンドデータ(変更不要)'!K320:P320,TRANSPOSE(戦略の決定!$D$13:$D$18))</f>
        <v>2.6695287949992739E-3</v>
      </c>
      <c r="D320" s="29">
        <f t="array" ref="D320">SUMPRODUCT('ファンドデータ(変更不要)'!K320:P320,TRANSPOSE(戦略の決定!$E$13:$E$18))</f>
        <v>2.3137291357038922E-3</v>
      </c>
      <c r="E320" s="29">
        <f t="array" ref="E320">SUMPRODUCT('ファンドデータ(変更不要)'!K320:P320,TRANSPOSE(戦略の決定!$F$13:$F$18))</f>
        <v>2.3137291357038922E-3</v>
      </c>
      <c r="F320" s="183">
        <f t="shared" si="24"/>
        <v>1.8439472082409445</v>
      </c>
      <c r="G320" s="183">
        <f t="shared" si="25"/>
        <v>2.2385747851804809</v>
      </c>
      <c r="H320" s="75">
        <f t="shared" si="26"/>
        <v>2.2385747851804809</v>
      </c>
      <c r="J320"/>
      <c r="K320"/>
      <c r="L320"/>
      <c r="M320"/>
      <c r="N320"/>
      <c r="O320"/>
      <c r="P320"/>
    </row>
    <row r="321" spans="2:16" x14ac:dyDescent="0.15">
      <c r="B321" s="16">
        <v>42062</v>
      </c>
      <c r="C321" s="29">
        <f t="array" ref="C321">SUMPRODUCT('ファンドデータ(変更不要)'!K321:P321,TRANSPOSE(戦略の決定!$D$13:$D$18))</f>
        <v>1.127812919597102E-2</v>
      </c>
      <c r="D321" s="29">
        <f t="array" ref="D321">SUMPRODUCT('ファンドデータ(変更不要)'!K321:P321,TRANSPOSE(戦略の決定!$E$13:$E$18))</f>
        <v>1.4475338949376604E-2</v>
      </c>
      <c r="E321" s="29">
        <f t="array" ref="E321">SUMPRODUCT('ファンドデータ(変更不要)'!K321:P321,TRANSPOSE(戦略の決定!$F$13:$F$18))</f>
        <v>1.4475338949376604E-2</v>
      </c>
      <c r="F321" s="183">
        <f t="shared" si="24"/>
        <v>1.8647434830860359</v>
      </c>
      <c r="G321" s="183">
        <f t="shared" si="25"/>
        <v>2.2709789139594965</v>
      </c>
      <c r="H321" s="75">
        <f t="shared" si="26"/>
        <v>2.2709789139594965</v>
      </c>
      <c r="J321"/>
      <c r="K321"/>
      <c r="L321"/>
      <c r="M321"/>
      <c r="N321"/>
      <c r="O321"/>
      <c r="P321"/>
    </row>
    <row r="322" spans="2:16" x14ac:dyDescent="0.15">
      <c r="B322" s="16">
        <v>42069</v>
      </c>
      <c r="C322" s="29">
        <f t="array" ref="C322">SUMPRODUCT('ファンドデータ(変更不要)'!K322:P322,TRANSPOSE(戦略の決定!$D$13:$D$18))</f>
        <v>-5.6461382592232871E-3</v>
      </c>
      <c r="D322" s="29">
        <f t="array" ref="D322">SUMPRODUCT('ファンドデータ(変更不要)'!K322:P322,TRANSPOSE(戦略の決定!$E$13:$E$18))</f>
        <v>-9.2219372487281868E-3</v>
      </c>
      <c r="E322" s="29">
        <f t="array" ref="E322">SUMPRODUCT('ファンドデータ(変更不要)'!K322:P322,TRANSPOSE(戦略の決定!$F$13:$F$18))</f>
        <v>-9.2219372487281868E-3</v>
      </c>
      <c r="F322" s="183">
        <f t="shared" si="24"/>
        <v>1.8542148835625465</v>
      </c>
      <c r="G322" s="183">
        <f t="shared" si="25"/>
        <v>2.2500360889217772</v>
      </c>
      <c r="H322" s="75">
        <f t="shared" si="26"/>
        <v>2.2500360889217772</v>
      </c>
      <c r="J322"/>
      <c r="K322"/>
      <c r="L322"/>
      <c r="M322"/>
      <c r="N322"/>
      <c r="O322"/>
      <c r="P322"/>
    </row>
    <row r="323" spans="2:16" x14ac:dyDescent="0.15">
      <c r="B323" s="16">
        <v>42076</v>
      </c>
      <c r="C323" s="29">
        <f t="array" ref="C323">SUMPRODUCT('ファンドデータ(変更不要)'!K323:P323,TRANSPOSE(戦略の決定!$D$13:$D$18))</f>
        <v>-7.0482629621264814E-3</v>
      </c>
      <c r="D323" s="29">
        <f t="array" ref="D323">SUMPRODUCT('ファンドデータ(変更不要)'!K323:P323,TRANSPOSE(戦略の決定!$E$13:$E$18))</f>
        <v>-1.4344626482159326E-2</v>
      </c>
      <c r="E323" s="29">
        <f t="array" ref="E323">SUMPRODUCT('ファンドデータ(変更不要)'!K323:P323,TRANSPOSE(戦略の決定!$F$13:$F$18))</f>
        <v>-1.4344626482159326E-2</v>
      </c>
      <c r="F323" s="183">
        <f t="shared" si="24"/>
        <v>1.8411458894749089</v>
      </c>
      <c r="G323" s="183">
        <f t="shared" si="25"/>
        <v>2.2177601616548159</v>
      </c>
      <c r="H323" s="75">
        <f t="shared" si="26"/>
        <v>2.2177601616548159</v>
      </c>
      <c r="J323"/>
      <c r="K323"/>
      <c r="L323"/>
      <c r="M323"/>
      <c r="N323"/>
      <c r="O323"/>
      <c r="P323"/>
    </row>
    <row r="324" spans="2:16" x14ac:dyDescent="0.15">
      <c r="B324" s="16">
        <v>42083</v>
      </c>
      <c r="C324" s="29">
        <f t="array" ref="C324">SUMPRODUCT('ファンドデータ(変更不要)'!K324:P324,TRANSPOSE(戦略の決定!$D$13:$D$18))</f>
        <v>8.376279247542244E-3</v>
      </c>
      <c r="D324" s="29">
        <f t="array" ref="D324">SUMPRODUCT('ファンドデータ(変更不要)'!K324:P324,TRANSPOSE(戦略の決定!$E$13:$E$18))</f>
        <v>9.5583991011274298E-3</v>
      </c>
      <c r="E324" s="29">
        <f t="array" ref="E324">SUMPRODUCT('ファンドデータ(変更不要)'!K324:P324,TRANSPOSE(戦略の決定!$F$13:$F$18))</f>
        <v>9.5583991011274298E-3</v>
      </c>
      <c r="F324" s="183">
        <f t="shared" si="24"/>
        <v>1.8565678415806151</v>
      </c>
      <c r="G324" s="183">
        <f t="shared" si="25"/>
        <v>2.2389583983904937</v>
      </c>
      <c r="H324" s="75">
        <f t="shared" si="26"/>
        <v>2.2389583983904937</v>
      </c>
      <c r="J324"/>
      <c r="K324"/>
      <c r="L324"/>
      <c r="M324"/>
      <c r="N324"/>
      <c r="O324"/>
      <c r="P324"/>
    </row>
    <row r="325" spans="2:16" x14ac:dyDescent="0.15">
      <c r="B325" s="16">
        <v>42090</v>
      </c>
      <c r="C325" s="29">
        <f t="array" ref="C325">SUMPRODUCT('ファンドデータ(変更不要)'!K325:P325,TRANSPOSE(戦略の決定!$D$13:$D$18))</f>
        <v>1.3427651242625429E-3</v>
      </c>
      <c r="D325" s="29">
        <f t="array" ref="D325">SUMPRODUCT('ファンドデータ(変更不要)'!K325:P325,TRANSPOSE(戦略の決定!$E$13:$E$18))</f>
        <v>6.1277479922799E-3</v>
      </c>
      <c r="E325" s="29">
        <f t="array" ref="E325">SUMPRODUCT('ファンドデータ(変更不要)'!K325:P325,TRANSPOSE(戦略の決定!$F$13:$F$18))</f>
        <v>6.1277479922799E-3</v>
      </c>
      <c r="F325" s="183">
        <f t="shared" ref="F325:F388" si="27">F324*(1+C325)</f>
        <v>1.8590607761291169</v>
      </c>
      <c r="G325" s="183">
        <f t="shared" ref="G325:G388" si="28">G324*(1+D325)</f>
        <v>2.2526781712210293</v>
      </c>
      <c r="H325" s="75">
        <f t="shared" ref="H325:H388" si="29">H324*(1+E325)</f>
        <v>2.2526781712210293</v>
      </c>
      <c r="J325"/>
      <c r="K325"/>
      <c r="L325"/>
      <c r="M325"/>
      <c r="N325"/>
      <c r="O325"/>
      <c r="P325"/>
    </row>
    <row r="326" spans="2:16" x14ac:dyDescent="0.15">
      <c r="B326" s="16">
        <v>42097</v>
      </c>
      <c r="C326" s="29">
        <f t="array" ref="C326">SUMPRODUCT('ファンドデータ(変更不要)'!K326:P326,TRANSPOSE(戦略の決定!$D$13:$D$18))</f>
        <v>-2.0324716125790033E-3</v>
      </c>
      <c r="D326" s="29">
        <f t="array" ref="D326">SUMPRODUCT('ファンドデータ(変更不要)'!K326:P326,TRANSPOSE(戦略の決定!$E$13:$E$18))</f>
        <v>-7.0143195277271638E-3</v>
      </c>
      <c r="E326" s="29">
        <f t="array" ref="E326">SUMPRODUCT('ファンドデータ(変更不要)'!K326:P326,TRANSPOSE(戦略の決定!$F$13:$F$18))</f>
        <v>-7.0143195277271638E-3</v>
      </c>
      <c r="F326" s="183">
        <f t="shared" si="27"/>
        <v>1.8552822878755753</v>
      </c>
      <c r="G326" s="183">
        <f t="shared" si="28"/>
        <v>2.2368771667349492</v>
      </c>
      <c r="H326" s="75">
        <f t="shared" si="29"/>
        <v>2.2368771667349492</v>
      </c>
      <c r="J326"/>
      <c r="K326"/>
      <c r="L326"/>
      <c r="M326"/>
      <c r="N326"/>
      <c r="O326"/>
      <c r="P326"/>
    </row>
    <row r="327" spans="2:16" x14ac:dyDescent="0.15">
      <c r="B327" s="16">
        <v>42104</v>
      </c>
      <c r="C327" s="29">
        <f t="array" ref="C327">SUMPRODUCT('ファンドデータ(変更不要)'!K327:P327,TRANSPOSE(戦略の決定!$D$13:$D$18))</f>
        <v>1.1746359082941457E-2</v>
      </c>
      <c r="D327" s="29">
        <f t="array" ref="D327">SUMPRODUCT('ファンドデータ(変更不要)'!K327:P327,TRANSPOSE(戦略の決定!$E$13:$E$18))</f>
        <v>1.8712865531791998E-2</v>
      </c>
      <c r="E327" s="29">
        <f t="array" ref="E327">SUMPRODUCT('ファンドデータ(変更不要)'!K327:P327,TRANSPOSE(戦略の決定!$F$13:$F$18))</f>
        <v>1.8712865531791998E-2</v>
      </c>
      <c r="F327" s="183">
        <f t="shared" si="27"/>
        <v>1.8770750998291827</v>
      </c>
      <c r="G327" s="183">
        <f t="shared" si="28"/>
        <v>2.2787355483671963</v>
      </c>
      <c r="H327" s="75">
        <f t="shared" si="29"/>
        <v>2.2787355483671963</v>
      </c>
      <c r="J327"/>
      <c r="K327"/>
      <c r="L327"/>
      <c r="M327"/>
      <c r="N327"/>
      <c r="O327"/>
      <c r="P327"/>
    </row>
    <row r="328" spans="2:16" x14ac:dyDescent="0.15">
      <c r="B328" s="16">
        <v>42111</v>
      </c>
      <c r="C328" s="29">
        <f t="array" ref="C328">SUMPRODUCT('ファンドデータ(変更不要)'!K328:P328,TRANSPOSE(戦略の決定!$D$13:$D$18))</f>
        <v>-2.9082529218694723E-3</v>
      </c>
      <c r="D328" s="29">
        <f t="array" ref="D328">SUMPRODUCT('ファンドデータ(変更不要)'!K328:P328,TRANSPOSE(戦略の決定!$E$13:$E$18))</f>
        <v>-3.9111224002947578E-3</v>
      </c>
      <c r="E328" s="29">
        <f t="array" ref="E328">SUMPRODUCT('ファンドデータ(変更不要)'!K328:P328,TRANSPOSE(戦略の決定!$F$13:$F$18))</f>
        <v>-3.9111224002947578E-3</v>
      </c>
      <c r="F328" s="183">
        <f t="shared" si="27"/>
        <v>1.8716160906855361</v>
      </c>
      <c r="G328" s="183">
        <f t="shared" si="28"/>
        <v>2.2698231347196294</v>
      </c>
      <c r="H328" s="75">
        <f t="shared" si="29"/>
        <v>2.2698231347196294</v>
      </c>
      <c r="J328"/>
      <c r="K328"/>
      <c r="L328"/>
      <c r="M328"/>
      <c r="N328"/>
      <c r="O328"/>
      <c r="P328"/>
    </row>
    <row r="329" spans="2:16" x14ac:dyDescent="0.15">
      <c r="B329" s="16">
        <v>42118</v>
      </c>
      <c r="C329" s="29">
        <f t="array" ref="C329">SUMPRODUCT('ファンドデータ(変更不要)'!K329:P329,TRANSPOSE(戦略の決定!$D$13:$D$18))</f>
        <v>1.5162853096029761E-3</v>
      </c>
      <c r="D329" s="29">
        <f t="array" ref="D329">SUMPRODUCT('ファンドデータ(変更不要)'!K329:P329,TRANSPOSE(戦略の決定!$E$13:$E$18))</f>
        <v>-7.0999420920892723E-4</v>
      </c>
      <c r="E329" s="29">
        <f t="array" ref="E329">SUMPRODUCT('ファンドデータ(変更不要)'!K329:P329,TRANSPOSE(戦略の決定!$F$13:$F$18))</f>
        <v>-7.0999420920892723E-4</v>
      </c>
      <c r="F329" s="183">
        <f t="shared" si="27"/>
        <v>1.874453994669059</v>
      </c>
      <c r="G329" s="183">
        <f t="shared" si="28"/>
        <v>2.2682115734380499</v>
      </c>
      <c r="H329" s="75">
        <f t="shared" si="29"/>
        <v>2.2682115734380499</v>
      </c>
      <c r="J329"/>
      <c r="K329"/>
      <c r="L329"/>
      <c r="M329"/>
      <c r="N329"/>
      <c r="O329"/>
      <c r="P329"/>
    </row>
    <row r="330" spans="2:16" x14ac:dyDescent="0.15">
      <c r="B330" s="16">
        <v>42125</v>
      </c>
      <c r="C330" s="29">
        <f t="array" ref="C330">SUMPRODUCT('ファンドデータ(変更不要)'!K330:P330,TRANSPOSE(戦略の決定!$D$13:$D$18))</f>
        <v>-5.163360222542916E-3</v>
      </c>
      <c r="D330" s="29">
        <f t="array" ref="D330">SUMPRODUCT('ファンドデータ(変更不要)'!K330:P330,TRANSPOSE(戦略の決定!$E$13:$E$18))</f>
        <v>-6.4961754553220716E-3</v>
      </c>
      <c r="E330" s="29">
        <f t="array" ref="E330">SUMPRODUCT('ファンドデータ(変更不要)'!K330:P330,TRANSPOSE(戦略の決定!$F$13:$F$18))</f>
        <v>-6.4961754553220716E-3</v>
      </c>
      <c r="F330" s="183">
        <f t="shared" si="27"/>
        <v>1.8647755134739981</v>
      </c>
      <c r="G330" s="183">
        <f t="shared" si="28"/>
        <v>2.2534768730872039</v>
      </c>
      <c r="H330" s="75">
        <f t="shared" si="29"/>
        <v>2.2534768730872039</v>
      </c>
      <c r="J330"/>
      <c r="K330"/>
      <c r="L330"/>
      <c r="M330"/>
      <c r="N330"/>
      <c r="O330"/>
      <c r="P330"/>
    </row>
    <row r="331" spans="2:16" x14ac:dyDescent="0.15">
      <c r="B331" s="16">
        <v>42132</v>
      </c>
      <c r="C331" s="29">
        <f t="array" ref="C331">SUMPRODUCT('ファンドデータ(変更不要)'!K331:P331,TRANSPOSE(戦略の決定!$D$13:$D$18))</f>
        <v>-6.8412762614297584E-3</v>
      </c>
      <c r="D331" s="29">
        <f t="array" ref="D331">SUMPRODUCT('ファンドデータ(変更不要)'!K331:P331,TRANSPOSE(戦略の決定!$E$13:$E$18))</f>
        <v>-7.1775844040193925E-3</v>
      </c>
      <c r="E331" s="29">
        <f t="array" ref="E331">SUMPRODUCT('ファンドデータ(変更不要)'!K331:P331,TRANSPOSE(戦略の決定!$F$13:$F$18))</f>
        <v>-7.1775844040193925E-3</v>
      </c>
      <c r="F331" s="183">
        <f t="shared" si="27"/>
        <v>1.852018069020773</v>
      </c>
      <c r="G331" s="183">
        <f t="shared" si="28"/>
        <v>2.2373023526281148</v>
      </c>
      <c r="H331" s="75">
        <f t="shared" si="29"/>
        <v>2.2373023526281148</v>
      </c>
      <c r="J331"/>
      <c r="K331"/>
      <c r="L331"/>
      <c r="M331"/>
      <c r="N331"/>
      <c r="O331"/>
      <c r="P331"/>
    </row>
    <row r="332" spans="2:16" x14ac:dyDescent="0.15">
      <c r="B332" s="16">
        <v>42139</v>
      </c>
      <c r="C332" s="29">
        <f t="array" ref="C332">SUMPRODUCT('ファンドデータ(変更不要)'!K332:P332,TRANSPOSE(戦略の決定!$D$13:$D$18))</f>
        <v>4.9038976510982196E-3</v>
      </c>
      <c r="D332" s="29">
        <f t="array" ref="D332">SUMPRODUCT('ファンドデータ(変更不要)'!K332:P332,TRANSPOSE(戦略の決定!$E$13:$E$18))</f>
        <v>5.7358341135654032E-3</v>
      </c>
      <c r="E332" s="29">
        <f t="array" ref="E332">SUMPRODUCT('ファンドデータ(変更不要)'!K332:P332,TRANSPOSE(戦略の決定!$F$13:$F$18))</f>
        <v>5.7358341135654032E-3</v>
      </c>
      <c r="F332" s="183">
        <f t="shared" si="27"/>
        <v>1.8611001760792354</v>
      </c>
      <c r="G332" s="183">
        <f t="shared" si="28"/>
        <v>2.2501351477846794</v>
      </c>
      <c r="H332" s="75">
        <f t="shared" si="29"/>
        <v>2.2501351477846794</v>
      </c>
      <c r="J332"/>
      <c r="K332"/>
      <c r="L332"/>
      <c r="M332"/>
      <c r="N332"/>
      <c r="O332"/>
      <c r="P332"/>
    </row>
    <row r="333" spans="2:16" x14ac:dyDescent="0.15">
      <c r="B333" s="16">
        <v>42146</v>
      </c>
      <c r="C333" s="29">
        <f t="array" ref="C333">SUMPRODUCT('ファンドデータ(変更不要)'!K333:P333,TRANSPOSE(戦略の決定!$D$13:$D$18))</f>
        <v>6.0512195809278224E-3</v>
      </c>
      <c r="D333" s="29">
        <f t="array" ref="D333">SUMPRODUCT('ファンドデータ(変更不要)'!K333:P333,TRANSPOSE(戦略の決定!$E$13:$E$18))</f>
        <v>6.7943364718293636E-3</v>
      </c>
      <c r="E333" s="29">
        <f t="array" ref="E333">SUMPRODUCT('ファンドデータ(変更不要)'!K333:P333,TRANSPOSE(戦略の決定!$F$13:$F$18))</f>
        <v>6.7943364718293636E-3</v>
      </c>
      <c r="F333" s="183">
        <f t="shared" si="27"/>
        <v>1.8723621019067944</v>
      </c>
      <c r="G333" s="183">
        <f t="shared" si="28"/>
        <v>2.2654233230858178</v>
      </c>
      <c r="H333" s="75">
        <f t="shared" si="29"/>
        <v>2.2654233230858178</v>
      </c>
      <c r="J333"/>
      <c r="K333"/>
      <c r="L333"/>
      <c r="M333"/>
      <c r="N333"/>
      <c r="O333"/>
      <c r="P333"/>
    </row>
    <row r="334" spans="2:16" x14ac:dyDescent="0.15">
      <c r="B334" s="16">
        <v>42153</v>
      </c>
      <c r="C334" s="29">
        <f t="array" ref="C334">SUMPRODUCT('ファンドデータ(変更不要)'!K334:P334,TRANSPOSE(戦略の決定!$D$13:$D$18))</f>
        <v>8.1344212776638166E-3</v>
      </c>
      <c r="D334" s="29">
        <f t="array" ref="D334">SUMPRODUCT('ファンドデータ(変更不要)'!K334:P334,TRANSPOSE(戦略の決定!$E$13:$E$18))</f>
        <v>7.6732372129886687E-3</v>
      </c>
      <c r="E334" s="29">
        <f t="array" ref="E334">SUMPRODUCT('ファンドデータ(変更不要)'!K334:P334,TRANSPOSE(戦略の決定!$F$13:$F$18))</f>
        <v>7.6732372129886687E-3</v>
      </c>
      <c r="F334" s="183">
        <f t="shared" si="27"/>
        <v>1.8875926840280361</v>
      </c>
      <c r="G334" s="183">
        <f t="shared" si="28"/>
        <v>2.2828064536316921</v>
      </c>
      <c r="H334" s="75">
        <f t="shared" si="29"/>
        <v>2.2828064536316921</v>
      </c>
      <c r="J334"/>
      <c r="K334"/>
      <c r="L334"/>
      <c r="M334"/>
      <c r="N334"/>
      <c r="O334"/>
      <c r="P334"/>
    </row>
    <row r="335" spans="2:16" x14ac:dyDescent="0.15">
      <c r="B335" s="16">
        <v>42160</v>
      </c>
      <c r="C335" s="29">
        <f t="array" ref="C335">SUMPRODUCT('ファンドデータ(変更不要)'!K335:P335,TRANSPOSE(戦略の決定!$D$13:$D$18))</f>
        <v>-5.8660455728410483E-3</v>
      </c>
      <c r="D335" s="29">
        <f t="array" ref="D335">SUMPRODUCT('ファンドデータ(変更不要)'!K335:P335,TRANSPOSE(戦略の決定!$E$13:$E$18))</f>
        <v>-8.9918017122411469E-3</v>
      </c>
      <c r="E335" s="29">
        <f t="array" ref="E335">SUMPRODUCT('ファンドデータ(変更不要)'!K335:P335,TRANSPOSE(戦略の決定!$F$13:$F$18))</f>
        <v>-8.9918017122411469E-3</v>
      </c>
      <c r="F335" s="183">
        <f t="shared" si="27"/>
        <v>1.8765199793205662</v>
      </c>
      <c r="G335" s="183">
        <f t="shared" si="28"/>
        <v>2.2622799106532114</v>
      </c>
      <c r="H335" s="75">
        <f t="shared" si="29"/>
        <v>2.2622799106532114</v>
      </c>
      <c r="J335"/>
      <c r="K335"/>
      <c r="L335"/>
      <c r="M335"/>
      <c r="N335"/>
      <c r="O335"/>
      <c r="P335"/>
    </row>
    <row r="336" spans="2:16" x14ac:dyDescent="0.15">
      <c r="B336" s="16">
        <v>42167</v>
      </c>
      <c r="C336" s="29">
        <f t="array" ref="C336">SUMPRODUCT('ファンドデータ(変更不要)'!K336:P336,TRANSPOSE(戦略の決定!$D$13:$D$18))</f>
        <v>-4.1961418925402904E-3</v>
      </c>
      <c r="D336" s="29">
        <f t="array" ref="D336">SUMPRODUCT('ファンドデータ(変更不要)'!K336:P336,TRANSPOSE(戦略の決定!$E$13:$E$18))</f>
        <v>-4.208368853729846E-3</v>
      </c>
      <c r="E336" s="29">
        <f t="array" ref="E336">SUMPRODUCT('ファンドデータ(変更不要)'!K336:P336,TRANSPOSE(戦略の決定!$F$13:$F$18))</f>
        <v>-4.208368853729846E-3</v>
      </c>
      <c r="F336" s="183">
        <f t="shared" si="27"/>
        <v>1.8686458352231505</v>
      </c>
      <c r="G336" s="183">
        <f t="shared" si="28"/>
        <v>2.2527594023387998</v>
      </c>
      <c r="H336" s="75">
        <f t="shared" si="29"/>
        <v>2.2527594023387998</v>
      </c>
      <c r="J336"/>
      <c r="K336"/>
      <c r="L336"/>
      <c r="M336"/>
      <c r="N336"/>
      <c r="O336"/>
      <c r="P336"/>
    </row>
    <row r="337" spans="2:16" x14ac:dyDescent="0.15">
      <c r="B337" s="16">
        <v>42174</v>
      </c>
      <c r="C337" s="29">
        <f t="array" ref="C337">SUMPRODUCT('ファンドデータ(変更不要)'!K337:P337,TRANSPOSE(戦略の決定!$D$13:$D$18))</f>
        <v>3.1005562280268339E-4</v>
      </c>
      <c r="D337" s="29">
        <f t="array" ref="D337">SUMPRODUCT('ファンドデータ(変更不要)'!K337:P337,TRANSPOSE(戦略の決定!$E$13:$E$18))</f>
        <v>-1.2138673712994656E-3</v>
      </c>
      <c r="E337" s="29">
        <f t="array" ref="E337">SUMPRODUCT('ファンドデータ(変更不要)'!K337:P337,TRANSPOSE(戦略の決定!$F$13:$F$18))</f>
        <v>-1.2138673712994656E-3</v>
      </c>
      <c r="F337" s="183">
        <f t="shared" si="27"/>
        <v>1.8692252193713881</v>
      </c>
      <c r="G337" s="183">
        <f t="shared" si="28"/>
        <v>2.2500248512049126</v>
      </c>
      <c r="H337" s="75">
        <f t="shared" si="29"/>
        <v>2.2500248512049126</v>
      </c>
      <c r="J337"/>
      <c r="K337"/>
      <c r="L337"/>
      <c r="M337"/>
      <c r="N337"/>
      <c r="O337"/>
      <c r="P337"/>
    </row>
    <row r="338" spans="2:16" x14ac:dyDescent="0.15">
      <c r="B338" s="16">
        <v>42181</v>
      </c>
      <c r="C338" s="29">
        <f t="array" ref="C338">SUMPRODUCT('ファンドデータ(変更不要)'!K338:P338,TRANSPOSE(戦略の決定!$D$13:$D$18))</f>
        <v>2.4527022685280151E-3</v>
      </c>
      <c r="D338" s="29">
        <f t="array" ref="D338">SUMPRODUCT('ファンドデータ(変更不要)'!K338:P338,TRANSPOSE(戦略の決定!$E$13:$E$18))</f>
        <v>2.8376963646524886E-3</v>
      </c>
      <c r="E338" s="29">
        <f t="array" ref="E338">SUMPRODUCT('ファンドデータ(変更不要)'!K338:P338,TRANSPOSE(戦略の決定!$F$13:$F$18))</f>
        <v>2.8376963646524886E-3</v>
      </c>
      <c r="F338" s="183">
        <f t="shared" si="27"/>
        <v>1.8738098723073302</v>
      </c>
      <c r="G338" s="183">
        <f t="shared" si="28"/>
        <v>2.2564097385455546</v>
      </c>
      <c r="H338" s="75">
        <f t="shared" si="29"/>
        <v>2.2564097385455546</v>
      </c>
      <c r="J338"/>
      <c r="K338"/>
      <c r="L338"/>
      <c r="M338"/>
      <c r="N338"/>
      <c r="O338"/>
      <c r="P338"/>
    </row>
    <row r="339" spans="2:16" x14ac:dyDescent="0.15">
      <c r="B339" s="16">
        <v>42188</v>
      </c>
      <c r="C339" s="29">
        <f t="array" ref="C339">SUMPRODUCT('ファンドデータ(変更不要)'!K339:P339,TRANSPOSE(戦略の決定!$D$13:$D$18))</f>
        <v>-1.4902856971600806E-2</v>
      </c>
      <c r="D339" s="29">
        <f t="array" ref="D339">SUMPRODUCT('ファンドデータ(変更不要)'!K339:P339,TRANSPOSE(戦略の決定!$E$13:$E$18))</f>
        <v>-2.3092357625870016E-2</v>
      </c>
      <c r="E339" s="29">
        <f t="array" ref="E339">SUMPRODUCT('ファンドデータ(変更不要)'!K339:P339,TRANSPOSE(戦略の決定!$F$13:$F$18))</f>
        <v>-2.3092357625870016E-2</v>
      </c>
      <c r="F339" s="183">
        <f t="shared" si="27"/>
        <v>1.8458847517883605</v>
      </c>
      <c r="G339" s="183">
        <f t="shared" si="28"/>
        <v>2.204303917912565</v>
      </c>
      <c r="H339" s="75">
        <f t="shared" si="29"/>
        <v>2.204303917912565</v>
      </c>
      <c r="J339"/>
      <c r="K339"/>
      <c r="L339"/>
      <c r="M339"/>
      <c r="N339"/>
      <c r="O339"/>
      <c r="P339"/>
    </row>
    <row r="340" spans="2:16" x14ac:dyDescent="0.15">
      <c r="B340" s="16">
        <v>42195</v>
      </c>
      <c r="C340" s="29">
        <f t="array" ref="C340">SUMPRODUCT('ファンドデータ(変更不要)'!K340:P340,TRANSPOSE(戦略の決定!$D$13:$D$18))</f>
        <v>-2.1383302885634559E-2</v>
      </c>
      <c r="D340" s="29">
        <f t="array" ref="D340">SUMPRODUCT('ファンドデータ(変更不要)'!K340:P340,TRANSPOSE(戦略の決定!$E$13:$E$18))</f>
        <v>-3.3409221657064822E-2</v>
      </c>
      <c r="E340" s="29">
        <f t="array" ref="E340">SUMPRODUCT('ファンドデータ(変更不要)'!K340:P340,TRANSPOSE(戦略の決定!$F$13:$F$18))</f>
        <v>-3.3409221657064822E-2</v>
      </c>
      <c r="F340" s="183">
        <f t="shared" si="27"/>
        <v>1.8064136390488958</v>
      </c>
      <c r="G340" s="183">
        <f t="shared" si="28"/>
        <v>2.1306598397194878</v>
      </c>
      <c r="H340" s="75">
        <f t="shared" si="29"/>
        <v>2.1306598397194878</v>
      </c>
      <c r="J340"/>
      <c r="K340"/>
      <c r="L340"/>
      <c r="M340"/>
      <c r="N340"/>
      <c r="O340"/>
      <c r="P340"/>
    </row>
    <row r="341" spans="2:16" x14ac:dyDescent="0.15">
      <c r="B341" s="16">
        <v>42202</v>
      </c>
      <c r="C341" s="29">
        <f t="array" ref="C341">SUMPRODUCT('ファンドデータ(変更不要)'!K341:P341,TRANSPOSE(戦略の決定!$D$13:$D$18))</f>
        <v>2.8956963237656584E-2</v>
      </c>
      <c r="D341" s="29">
        <f t="array" ref="D341">SUMPRODUCT('ファンドデータ(変更不要)'!K341:P341,TRANSPOSE(戦略の決定!$E$13:$E$18))</f>
        <v>4.3817863171572269E-2</v>
      </c>
      <c r="E341" s="29">
        <f t="array" ref="E341">SUMPRODUCT('ファンドデータ(変更不要)'!K341:P341,TRANSPOSE(戦略の決定!$F$13:$F$18))</f>
        <v>4.3817863171572269E-2</v>
      </c>
      <c r="F341" s="183">
        <f t="shared" si="27"/>
        <v>1.858721892386836</v>
      </c>
      <c r="G341" s="183">
        <f t="shared" si="28"/>
        <v>2.2240208010414801</v>
      </c>
      <c r="H341" s="75">
        <f t="shared" si="29"/>
        <v>2.2240208010414801</v>
      </c>
      <c r="J341"/>
      <c r="K341"/>
      <c r="L341"/>
      <c r="M341"/>
      <c r="N341"/>
      <c r="O341"/>
      <c r="P341"/>
    </row>
    <row r="342" spans="2:16" x14ac:dyDescent="0.15">
      <c r="B342" s="16">
        <v>42209</v>
      </c>
      <c r="C342" s="29">
        <f t="array" ref="C342">SUMPRODUCT('ファンドデータ(変更不要)'!K342:P342,TRANSPOSE(戦略の決定!$D$13:$D$18))</f>
        <v>1.4649777305482824E-3</v>
      </c>
      <c r="D342" s="29">
        <f t="array" ref="D342">SUMPRODUCT('ファンドデータ(変更不要)'!K342:P342,TRANSPOSE(戦略の決定!$E$13:$E$18))</f>
        <v>3.7416676134153256E-4</v>
      </c>
      <c r="E342" s="29">
        <f t="array" ref="E342">SUMPRODUCT('ファンドデータ(変更不要)'!K342:P342,TRANSPOSE(戦略の決定!$F$13:$F$18))</f>
        <v>3.7416676134153256E-4</v>
      </c>
      <c r="F342" s="183">
        <f t="shared" si="27"/>
        <v>1.8614448785664652</v>
      </c>
      <c r="G342" s="183">
        <f t="shared" si="28"/>
        <v>2.224852955701762</v>
      </c>
      <c r="H342" s="75">
        <f t="shared" si="29"/>
        <v>2.224852955701762</v>
      </c>
      <c r="J342"/>
      <c r="K342"/>
      <c r="L342"/>
      <c r="M342"/>
      <c r="N342"/>
      <c r="O342"/>
      <c r="P342"/>
    </row>
    <row r="343" spans="2:16" x14ac:dyDescent="0.15">
      <c r="B343" s="16">
        <v>42216</v>
      </c>
      <c r="C343" s="29">
        <f t="array" ref="C343">SUMPRODUCT('ファンドデータ(変更不要)'!K343:P343,TRANSPOSE(戦略の決定!$D$13:$D$18))</f>
        <v>1.5070806816670703E-3</v>
      </c>
      <c r="D343" s="29">
        <f t="array" ref="D343">SUMPRODUCT('ファンドデータ(変更不要)'!K343:P343,TRANSPOSE(戦略の決定!$E$13:$E$18))</f>
        <v>1.927377261364605E-3</v>
      </c>
      <c r="E343" s="29">
        <f t="array" ref="E343">SUMPRODUCT('ファンドデータ(変更不要)'!K343:P343,TRANSPOSE(戦略の決定!$F$13:$F$18))</f>
        <v>1.927377261364605E-3</v>
      </c>
      <c r="F343" s="183">
        <f t="shared" si="27"/>
        <v>1.8642502261829408</v>
      </c>
      <c r="G343" s="183">
        <f t="shared" si="28"/>
        <v>2.2291410866984616</v>
      </c>
      <c r="H343" s="75">
        <f t="shared" si="29"/>
        <v>2.2291410866984616</v>
      </c>
      <c r="J343"/>
      <c r="K343"/>
      <c r="L343"/>
      <c r="M343"/>
      <c r="N343"/>
      <c r="O343"/>
      <c r="P343"/>
    </row>
    <row r="344" spans="2:16" x14ac:dyDescent="0.15">
      <c r="B344" s="16">
        <v>42223</v>
      </c>
      <c r="C344" s="29">
        <f t="array" ref="C344">SUMPRODUCT('ファンドデータ(変更不要)'!K344:P344,TRANSPOSE(戦略の決定!$D$13:$D$18))</f>
        <v>1.5083728906939732E-3</v>
      </c>
      <c r="D344" s="29">
        <f t="array" ref="D344">SUMPRODUCT('ファンドデータ(変更不要)'!K344:P344,TRANSPOSE(戦略の決定!$E$13:$E$18))</f>
        <v>9.3291585948673263E-4</v>
      </c>
      <c r="E344" s="29">
        <f t="array" ref="E344">SUMPRODUCT('ファンドデータ(変更不要)'!K344:P344,TRANSPOSE(戦略の決定!$F$13:$F$18))</f>
        <v>9.3291585948673263E-4</v>
      </c>
      <c r="F344" s="183">
        <f t="shared" si="27"/>
        <v>1.8670622106855852</v>
      </c>
      <c r="G344" s="183">
        <f t="shared" si="28"/>
        <v>2.2312206877712759</v>
      </c>
      <c r="H344" s="75">
        <f t="shared" si="29"/>
        <v>2.2312206877712759</v>
      </c>
      <c r="J344"/>
      <c r="K344"/>
      <c r="L344"/>
      <c r="M344"/>
      <c r="N344"/>
      <c r="O344"/>
      <c r="P344"/>
    </row>
    <row r="345" spans="2:16" x14ac:dyDescent="0.15">
      <c r="B345" s="16">
        <v>42230</v>
      </c>
      <c r="C345" s="29">
        <f t="array" ref="C345">SUMPRODUCT('ファンドデータ(変更不要)'!K345:P345,TRANSPOSE(戦略の決定!$D$13:$D$18))</f>
        <v>-1.1591289969737901E-3</v>
      </c>
      <c r="D345" s="29">
        <f t="array" ref="D345">SUMPRODUCT('ファンドデータ(変更不要)'!K345:P345,TRANSPOSE(戦略の決定!$E$13:$E$18))</f>
        <v>-4.8297004948000179E-3</v>
      </c>
      <c r="E345" s="29">
        <f t="array" ref="E345">SUMPRODUCT('ファンドデータ(変更不要)'!K345:P345,TRANSPOSE(戦略の決定!$F$13:$F$18))</f>
        <v>-4.8297004948000179E-3</v>
      </c>
      <c r="F345" s="183">
        <f t="shared" si="27"/>
        <v>1.8648980447380255</v>
      </c>
      <c r="G345" s="183">
        <f t="shared" si="28"/>
        <v>2.220444560111539</v>
      </c>
      <c r="H345" s="75">
        <f t="shared" si="29"/>
        <v>2.220444560111539</v>
      </c>
      <c r="J345"/>
      <c r="K345"/>
      <c r="L345"/>
      <c r="M345"/>
      <c r="N345"/>
      <c r="O345"/>
      <c r="P345"/>
    </row>
    <row r="346" spans="2:16" x14ac:dyDescent="0.15">
      <c r="B346" s="16">
        <v>42237</v>
      </c>
      <c r="C346" s="29">
        <f t="array" ref="C346">SUMPRODUCT('ファンドデータ(変更不要)'!K346:P346,TRANSPOSE(戦略の決定!$D$13:$D$18))</f>
        <v>-9.6568695017210087E-3</v>
      </c>
      <c r="D346" s="29">
        <f t="array" ref="D346">SUMPRODUCT('ファンドデータ(変更不要)'!K346:P346,TRANSPOSE(戦略の決定!$E$13:$E$18))</f>
        <v>-1.0694909048707232E-2</v>
      </c>
      <c r="E346" s="29">
        <f t="array" ref="E346">SUMPRODUCT('ファンドデータ(変更不要)'!K346:P346,TRANSPOSE(戦略の決定!$F$13:$F$18))</f>
        <v>-1.0694909048707232E-2</v>
      </c>
      <c r="F346" s="183">
        <f t="shared" si="27"/>
        <v>1.8468889676859759</v>
      </c>
      <c r="G346" s="183">
        <f t="shared" si="28"/>
        <v>2.1966971074934496</v>
      </c>
      <c r="H346" s="75">
        <f t="shared" si="29"/>
        <v>2.1966971074934496</v>
      </c>
      <c r="J346"/>
      <c r="K346"/>
      <c r="L346"/>
      <c r="M346"/>
      <c r="N346"/>
      <c r="O346"/>
      <c r="P346"/>
    </row>
    <row r="347" spans="2:16" x14ac:dyDescent="0.15">
      <c r="B347" s="16">
        <v>42244</v>
      </c>
      <c r="C347" s="29">
        <f t="array" ref="C347">SUMPRODUCT('ファンドデータ(変更不要)'!K347:P347,TRANSPOSE(戦略の決定!$D$13:$D$18))</f>
        <v>-2.2868813144909954E-2</v>
      </c>
      <c r="D347" s="29">
        <f t="array" ref="D347">SUMPRODUCT('ファンドデータ(変更不要)'!K347:P347,TRANSPOSE(戦略の決定!$E$13:$E$18))</f>
        <v>-3.1917944312015639E-2</v>
      </c>
      <c r="E347" s="29">
        <f t="array" ref="E347">SUMPRODUCT('ファンドデータ(変更不要)'!K347:P347,TRANSPOSE(戦略の決定!$F$13:$F$18))</f>
        <v>-3.1917944312015639E-2</v>
      </c>
      <c r="F347" s="183">
        <f t="shared" si="27"/>
        <v>1.8046528089845697</v>
      </c>
      <c r="G347" s="183">
        <f t="shared" si="28"/>
        <v>2.1265830515461079</v>
      </c>
      <c r="H347" s="75">
        <f t="shared" si="29"/>
        <v>2.1265830515461079</v>
      </c>
      <c r="J347"/>
      <c r="K347"/>
      <c r="L347"/>
      <c r="M347"/>
      <c r="N347"/>
      <c r="O347"/>
      <c r="P347"/>
    </row>
    <row r="348" spans="2:16" x14ac:dyDescent="0.15">
      <c r="B348" s="16">
        <v>42251</v>
      </c>
      <c r="C348" s="29">
        <f t="array" ref="C348">SUMPRODUCT('ファンドデータ(変更不要)'!K348:P348,TRANSPOSE(戦略の決定!$D$13:$D$18))</f>
        <v>-2.5844077879652653E-2</v>
      </c>
      <c r="D348" s="29">
        <f t="array" ref="D348">SUMPRODUCT('ファンドデータ(変更不要)'!K348:P348,TRANSPOSE(戦略の決定!$E$13:$E$18))</f>
        <v>-3.2729221469076218E-2</v>
      </c>
      <c r="E348" s="29">
        <f t="array" ref="E348">SUMPRODUCT('ファンドデータ(変更不要)'!K348:P348,TRANSPOSE(戦略の決定!$F$13:$F$18))</f>
        <v>-3.2729221469076218E-2</v>
      </c>
      <c r="F348" s="183">
        <f t="shared" si="27"/>
        <v>1.7580132212434385</v>
      </c>
      <c r="G348" s="183">
        <f t="shared" si="28"/>
        <v>2.0569816438796713</v>
      </c>
      <c r="H348" s="75">
        <f t="shared" si="29"/>
        <v>2.0569816438796713</v>
      </c>
      <c r="J348"/>
      <c r="K348"/>
      <c r="L348"/>
      <c r="M348"/>
      <c r="N348"/>
      <c r="O348"/>
      <c r="P348"/>
    </row>
    <row r="349" spans="2:16" x14ac:dyDescent="0.15">
      <c r="B349" s="16">
        <v>42258</v>
      </c>
      <c r="C349" s="29">
        <f t="array" ref="C349">SUMPRODUCT('ファンドデータ(変更不要)'!K349:P349,TRANSPOSE(戦略の決定!$D$13:$D$18))</f>
        <v>1.1225095350564439E-2</v>
      </c>
      <c r="D349" s="29">
        <f t="array" ref="D349">SUMPRODUCT('ファンドデータ(変更不要)'!K349:P349,TRANSPOSE(戦略の決定!$E$13:$E$18))</f>
        <v>1.1883970089740559E-2</v>
      </c>
      <c r="E349" s="29">
        <f t="array" ref="E349">SUMPRODUCT('ファンドデータ(変更不要)'!K349:P349,TRANSPOSE(戦略の決定!$F$13:$F$18))</f>
        <v>1.1883970089740559E-2</v>
      </c>
      <c r="F349" s="183">
        <f t="shared" si="27"/>
        <v>1.777747087279449</v>
      </c>
      <c r="G349" s="183">
        <f t="shared" si="28"/>
        <v>2.0814267522106826</v>
      </c>
      <c r="H349" s="75">
        <f t="shared" si="29"/>
        <v>2.0814267522106826</v>
      </c>
      <c r="J349"/>
      <c r="K349"/>
      <c r="L349"/>
      <c r="M349"/>
      <c r="N349"/>
      <c r="O349"/>
      <c r="P349"/>
    </row>
    <row r="350" spans="2:16" x14ac:dyDescent="0.15">
      <c r="B350" s="16">
        <v>42265</v>
      </c>
      <c r="C350" s="29">
        <f t="array" ref="C350">SUMPRODUCT('ファンドデータ(変更不要)'!K350:P350,TRANSPOSE(戦略の決定!$D$13:$D$18))</f>
        <v>5.8718147425898017E-3</v>
      </c>
      <c r="D350" s="29">
        <f t="array" ref="D350">SUMPRODUCT('ファンドデータ(変更不要)'!K350:P350,TRANSPOSE(戦略の決定!$E$13:$E$18))</f>
        <v>1.3674187884986172E-2</v>
      </c>
      <c r="E350" s="29">
        <f t="array" ref="E350">SUMPRODUCT('ファンドデータ(変更不要)'!K350:P350,TRANSPOSE(戦略の決定!$F$13:$F$18))</f>
        <v>1.3674187884986172E-2</v>
      </c>
      <c r="F350" s="183">
        <f t="shared" si="27"/>
        <v>1.7881856888351324</v>
      </c>
      <c r="G350" s="183">
        <f t="shared" si="28"/>
        <v>2.1098885726892482</v>
      </c>
      <c r="H350" s="75">
        <f t="shared" si="29"/>
        <v>2.1098885726892482</v>
      </c>
      <c r="J350"/>
      <c r="K350"/>
      <c r="L350"/>
      <c r="M350"/>
      <c r="N350"/>
      <c r="O350"/>
      <c r="P350"/>
    </row>
    <row r="351" spans="2:16" x14ac:dyDescent="0.15">
      <c r="B351" s="16">
        <v>42272</v>
      </c>
      <c r="C351" s="29">
        <f t="array" ref="C351">SUMPRODUCT('ファンドデータ(変更不要)'!K351:P351,TRANSPOSE(戦略の決定!$D$13:$D$18))</f>
        <v>6.8841292581164164E-3</v>
      </c>
      <c r="D351" s="29">
        <f t="array" ref="D351">SUMPRODUCT('ファンドデータ(変更不要)'!K351:P351,TRANSPOSE(戦略の決定!$E$13:$E$18))</f>
        <v>1.2143960592439535E-2</v>
      </c>
      <c r="E351" s="29">
        <f t="array" ref="E351">SUMPRODUCT('ファンドデータ(変更不要)'!K351:P351,TRANSPOSE(戦略の決定!$F$13:$F$18))</f>
        <v>1.2143960592439535E-2</v>
      </c>
      <c r="F351" s="183">
        <f t="shared" si="27"/>
        <v>1.8004957902545873</v>
      </c>
      <c r="G351" s="183">
        <f t="shared" si="28"/>
        <v>2.135510976370425</v>
      </c>
      <c r="H351" s="75">
        <f t="shared" si="29"/>
        <v>2.135510976370425</v>
      </c>
      <c r="J351"/>
      <c r="K351"/>
      <c r="L351"/>
      <c r="M351"/>
      <c r="N351"/>
      <c r="O351"/>
      <c r="P351"/>
    </row>
    <row r="352" spans="2:16" x14ac:dyDescent="0.15">
      <c r="B352" s="16">
        <v>42279</v>
      </c>
      <c r="C352" s="29">
        <f t="array" ref="C352">SUMPRODUCT('ファンドデータ(変更不要)'!K352:P352,TRANSPOSE(戦略の決定!$D$13:$D$18))</f>
        <v>3.9034218828678543E-4</v>
      </c>
      <c r="D352" s="29">
        <f t="array" ref="D352">SUMPRODUCT('ファンドデータ(変更不要)'!K352:P352,TRANSPOSE(戦略の決定!$E$13:$E$18))</f>
        <v>1.2664326103838887E-3</v>
      </c>
      <c r="E352" s="29">
        <f t="array" ref="E352">SUMPRODUCT('ファンドデータ(変更不要)'!K352:P352,TRANSPOSE(戦略の決定!$F$13:$F$18))</f>
        <v>1.2664326103838887E-3</v>
      </c>
      <c r="F352" s="183">
        <f t="shared" si="27"/>
        <v>1.8011985997213562</v>
      </c>
      <c r="G352" s="183">
        <f t="shared" si="28"/>
        <v>2.1382154571107335</v>
      </c>
      <c r="H352" s="75">
        <f t="shared" si="29"/>
        <v>2.1382154571107335</v>
      </c>
      <c r="J352"/>
      <c r="K352"/>
      <c r="L352"/>
      <c r="M352"/>
      <c r="N352"/>
      <c r="O352"/>
      <c r="P352"/>
    </row>
    <row r="353" spans="2:16" x14ac:dyDescent="0.15">
      <c r="B353" s="16">
        <v>42286</v>
      </c>
      <c r="C353" s="29">
        <f t="array" ref="C353">SUMPRODUCT('ファンドデータ(変更不要)'!K353:P353,TRANSPOSE(戦略の決定!$D$13:$D$18))</f>
        <v>9.0991931057737025E-3</v>
      </c>
      <c r="D353" s="29">
        <f t="array" ref="D353">SUMPRODUCT('ファンドデータ(変更不要)'!K353:P353,TRANSPOSE(戦略の決定!$E$13:$E$18))</f>
        <v>1.0264095597878393E-2</v>
      </c>
      <c r="E353" s="29">
        <f t="array" ref="E353">SUMPRODUCT('ファンドデータ(変更不要)'!K353:P353,TRANSPOSE(戦略の決定!$F$13:$F$18))</f>
        <v>1.0264095597878393E-2</v>
      </c>
      <c r="F353" s="183">
        <f t="shared" si="27"/>
        <v>1.8175880536020701</v>
      </c>
      <c r="G353" s="183">
        <f t="shared" si="28"/>
        <v>2.160162304971379</v>
      </c>
      <c r="H353" s="75">
        <f t="shared" si="29"/>
        <v>2.160162304971379</v>
      </c>
      <c r="J353"/>
      <c r="K353"/>
      <c r="L353"/>
      <c r="M353"/>
      <c r="N353"/>
      <c r="O353"/>
      <c r="P353"/>
    </row>
    <row r="354" spans="2:16" x14ac:dyDescent="0.15">
      <c r="B354" s="16">
        <v>42293</v>
      </c>
      <c r="C354" s="29">
        <f t="array" ref="C354">SUMPRODUCT('ファンドデータ(変更不要)'!K354:P354,TRANSPOSE(戦略の決定!$D$13:$D$18))</f>
        <v>-5.6692300727169084E-4</v>
      </c>
      <c r="D354" s="29">
        <f t="array" ref="D354">SUMPRODUCT('ファンドデータ(変更不要)'!K354:P354,TRANSPOSE(戦略の決定!$E$13:$E$18))</f>
        <v>3.8526890784062974E-4</v>
      </c>
      <c r="E354" s="29">
        <f t="array" ref="E354">SUMPRODUCT('ファンドデータ(変更不要)'!K354:P354,TRANSPOSE(戦略の決定!$F$13:$F$18))</f>
        <v>3.8526890784062974E-4</v>
      </c>
      <c r="F354" s="183">
        <f t="shared" si="27"/>
        <v>1.8165576211167409</v>
      </c>
      <c r="G354" s="183">
        <f t="shared" si="28"/>
        <v>2.1609945483433735</v>
      </c>
      <c r="H354" s="75">
        <f t="shared" si="29"/>
        <v>2.1609945483433735</v>
      </c>
      <c r="J354"/>
      <c r="K354"/>
      <c r="L354"/>
      <c r="M354"/>
      <c r="N354"/>
      <c r="O354"/>
      <c r="P354"/>
    </row>
    <row r="355" spans="2:16" x14ac:dyDescent="0.15">
      <c r="B355" s="16">
        <v>42300</v>
      </c>
      <c r="C355" s="29">
        <f t="array" ref="C355">SUMPRODUCT('ファンドデータ(変更不要)'!K355:P355,TRANSPOSE(戦略の決定!$D$13:$D$18))</f>
        <v>7.1770641794145201E-3</v>
      </c>
      <c r="D355" s="29">
        <f t="array" ref="D355">SUMPRODUCT('ファンドデータ(変更不要)'!K355:P355,TRANSPOSE(戦略の決定!$E$13:$E$18))</f>
        <v>7.1097554098284964E-3</v>
      </c>
      <c r="E355" s="29">
        <f t="array" ref="E355">SUMPRODUCT('ファンドデータ(変更不要)'!K355:P355,TRANSPOSE(戦略の決定!$F$13:$F$18))</f>
        <v>7.1097554098284964E-3</v>
      </c>
      <c r="F355" s="183">
        <f t="shared" si="27"/>
        <v>1.8295951717491001</v>
      </c>
      <c r="G355" s="183">
        <f t="shared" si="28"/>
        <v>2.1763586910240678</v>
      </c>
      <c r="H355" s="75">
        <f t="shared" si="29"/>
        <v>2.1763586910240678</v>
      </c>
      <c r="J355"/>
      <c r="K355"/>
      <c r="L355"/>
      <c r="M355"/>
      <c r="N355"/>
      <c r="O355"/>
      <c r="P355"/>
    </row>
    <row r="356" spans="2:16" x14ac:dyDescent="0.15">
      <c r="B356" s="16">
        <v>42307</v>
      </c>
      <c r="C356" s="29">
        <f t="array" ref="C356">SUMPRODUCT('ファンドデータ(変更不要)'!K356:P356,TRANSPOSE(戦略の決定!$D$13:$D$18))</f>
        <v>3.3165086899226946E-3</v>
      </c>
      <c r="D356" s="29">
        <f t="array" ref="D356">SUMPRODUCT('ファンドデータ(変更不要)'!K356:P356,TRANSPOSE(戦略の決定!$E$13:$E$18))</f>
        <v>6.823252090918842E-3</v>
      </c>
      <c r="E356" s="29">
        <f t="array" ref="E356">SUMPRODUCT('ファンドデータ(変更不要)'!K356:P356,TRANSPOSE(戦略の決定!$F$13:$F$18))</f>
        <v>6.823252090918842E-3</v>
      </c>
      <c r="F356" s="183">
        <f t="shared" si="27"/>
        <v>1.8356630400352467</v>
      </c>
      <c r="G356" s="183">
        <f t="shared" si="28"/>
        <v>2.1912085350131871</v>
      </c>
      <c r="H356" s="75">
        <f t="shared" si="29"/>
        <v>2.1912085350131871</v>
      </c>
      <c r="J356"/>
      <c r="K356"/>
      <c r="L356"/>
      <c r="M356"/>
      <c r="N356"/>
      <c r="O356"/>
      <c r="P356"/>
    </row>
    <row r="357" spans="2:16" x14ac:dyDescent="0.15">
      <c r="B357" s="16">
        <v>42314</v>
      </c>
      <c r="C357" s="29">
        <f t="array" ref="C357">SUMPRODUCT('ファンドデータ(変更不要)'!K357:P357,TRANSPOSE(戦略の決定!$D$13:$D$18))</f>
        <v>-1.9076878591559592E-3</v>
      </c>
      <c r="D357" s="29">
        <f t="array" ref="D357">SUMPRODUCT('ファンドデータ(変更不要)'!K357:P357,TRANSPOSE(戦略の決定!$E$13:$E$18))</f>
        <v>-3.053256250324249E-3</v>
      </c>
      <c r="E357" s="29">
        <f t="array" ref="E357">SUMPRODUCT('ファンドデータ(変更不要)'!K357:P357,TRANSPOSE(戦略の決定!$F$13:$F$18))</f>
        <v>-3.053256250324249E-3</v>
      </c>
      <c r="F357" s="183">
        <f t="shared" si="27"/>
        <v>1.8321611679402701</v>
      </c>
      <c r="G357" s="183">
        <f t="shared" si="28"/>
        <v>2.1845182138578942</v>
      </c>
      <c r="H357" s="75">
        <f t="shared" si="29"/>
        <v>2.1845182138578942</v>
      </c>
      <c r="J357"/>
      <c r="K357"/>
      <c r="L357"/>
      <c r="M357"/>
      <c r="N357"/>
      <c r="O357"/>
      <c r="P357"/>
    </row>
    <row r="358" spans="2:16" x14ac:dyDescent="0.15">
      <c r="B358" s="16">
        <v>42321</v>
      </c>
      <c r="C358" s="29">
        <f t="array" ref="C358">SUMPRODUCT('ファンドデータ(変更不要)'!K358:P358,TRANSPOSE(戦略の決定!$D$13:$D$18))</f>
        <v>1.4195561103127739E-3</v>
      </c>
      <c r="D358" s="29">
        <f t="array" ref="D358">SUMPRODUCT('ファンドデータ(変更不要)'!K358:P358,TRANSPOSE(戦略の決定!$E$13:$E$18))</f>
        <v>-1.2937197060931115E-3</v>
      </c>
      <c r="E358" s="29">
        <f t="array" ref="E358">SUMPRODUCT('ファンドデータ(変更不要)'!K358:P358,TRANSPOSE(戦略の決定!$F$13:$F$18))</f>
        <v>-1.2937197060931115E-3</v>
      </c>
      <c r="F358" s="183">
        <f t="shared" si="27"/>
        <v>1.8347620235212974</v>
      </c>
      <c r="G358" s="183">
        <f t="shared" si="28"/>
        <v>2.181692059596307</v>
      </c>
      <c r="H358" s="75">
        <f t="shared" si="29"/>
        <v>2.181692059596307</v>
      </c>
      <c r="J358"/>
      <c r="K358"/>
      <c r="L358"/>
      <c r="M358"/>
      <c r="N358"/>
      <c r="O358"/>
      <c r="P358"/>
    </row>
    <row r="359" spans="2:16" x14ac:dyDescent="0.15">
      <c r="B359" s="16">
        <v>42328</v>
      </c>
      <c r="C359" s="29">
        <f t="array" ref="C359">SUMPRODUCT('ファンドデータ(変更不要)'!K359:P359,TRANSPOSE(戦略の決定!$D$13:$D$18))</f>
        <v>8.875916664078172E-3</v>
      </c>
      <c r="D359" s="29">
        <f t="array" ref="D359">SUMPRODUCT('ファンドデータ(変更不要)'!K359:P359,TRANSPOSE(戦略の決定!$E$13:$E$18))</f>
        <v>1.2945447443843792E-2</v>
      </c>
      <c r="E359" s="29">
        <f t="array" ref="E359">SUMPRODUCT('ファンドデータ(変更不要)'!K359:P359,TRANSPOSE(戦略の決定!$F$13:$F$18))</f>
        <v>1.2945447443843792E-2</v>
      </c>
      <c r="F359" s="183">
        <f t="shared" si="27"/>
        <v>1.8510472183404878</v>
      </c>
      <c r="G359" s="183">
        <f t="shared" si="28"/>
        <v>2.209935039492462</v>
      </c>
      <c r="H359" s="75">
        <f t="shared" si="29"/>
        <v>2.209935039492462</v>
      </c>
      <c r="J359"/>
      <c r="K359"/>
      <c r="L359"/>
      <c r="M359"/>
      <c r="N359"/>
      <c r="O359"/>
      <c r="P359"/>
    </row>
    <row r="360" spans="2:16" x14ac:dyDescent="0.15">
      <c r="B360" s="16">
        <v>42335</v>
      </c>
      <c r="C360" s="29">
        <f t="array" ref="C360">SUMPRODUCT('ファンドデータ(変更不要)'!K360:P360,TRANSPOSE(戦略の決定!$D$13:$D$18))</f>
        <v>1.0574014561532381E-3</v>
      </c>
      <c r="D360" s="29">
        <f t="array" ref="D360">SUMPRODUCT('ファンドデータ(変更不要)'!K360:P360,TRANSPOSE(戦略の決定!$E$13:$E$18))</f>
        <v>3.0060558259948581E-3</v>
      </c>
      <c r="E360" s="29">
        <f t="array" ref="E360">SUMPRODUCT('ファンドデータ(変更不要)'!K360:P360,TRANSPOSE(戦略の決定!$F$13:$F$18))</f>
        <v>3.0060558259948581E-3</v>
      </c>
      <c r="F360" s="183">
        <f t="shared" si="27"/>
        <v>1.8530045183645696</v>
      </c>
      <c r="G360" s="183">
        <f t="shared" si="28"/>
        <v>2.2165782275929984</v>
      </c>
      <c r="H360" s="75">
        <f t="shared" si="29"/>
        <v>2.2165782275929984</v>
      </c>
      <c r="J360"/>
      <c r="K360"/>
      <c r="L360"/>
      <c r="M360"/>
      <c r="N360"/>
      <c r="O360"/>
      <c r="P360"/>
    </row>
    <row r="361" spans="2:16" x14ac:dyDescent="0.15">
      <c r="B361" s="16">
        <v>42342</v>
      </c>
      <c r="C361" s="29">
        <f t="array" ref="C361">SUMPRODUCT('ファンドデータ(変更不要)'!K361:P361,TRANSPOSE(戦略の決定!$D$13:$D$18))</f>
        <v>-4.37936804890091E-3</v>
      </c>
      <c r="D361" s="29">
        <f t="array" ref="D361">SUMPRODUCT('ファンドデータ(変更不要)'!K361:P361,TRANSPOSE(戦略の決定!$E$13:$E$18))</f>
        <v>-6.9359897754745622E-3</v>
      </c>
      <c r="E361" s="29">
        <f t="array" ref="E361">SUMPRODUCT('ファンドデータ(変更不要)'!K361:P361,TRANSPOSE(戦略の決定!$F$13:$F$18))</f>
        <v>-6.9359897754745622E-3</v>
      </c>
      <c r="F361" s="183">
        <f t="shared" si="27"/>
        <v>1.8448895295823746</v>
      </c>
      <c r="G361" s="183">
        <f t="shared" si="28"/>
        <v>2.2012040636698735</v>
      </c>
      <c r="H361" s="75">
        <f t="shared" si="29"/>
        <v>2.2012040636698735</v>
      </c>
      <c r="J361"/>
      <c r="K361"/>
      <c r="L361"/>
      <c r="M361"/>
      <c r="N361"/>
      <c r="O361"/>
      <c r="P361"/>
    </row>
    <row r="362" spans="2:16" x14ac:dyDescent="0.15">
      <c r="B362" s="16">
        <v>42349</v>
      </c>
      <c r="C362" s="29">
        <f t="array" ref="C362">SUMPRODUCT('ファンドデータ(変更不要)'!K362:P362,TRANSPOSE(戦略の決定!$D$13:$D$18))</f>
        <v>-6.2088727154875111E-3</v>
      </c>
      <c r="D362" s="29">
        <f t="array" ref="D362">SUMPRODUCT('ファンドデータ(変更不要)'!K362:P362,TRANSPOSE(戦略の決定!$E$13:$E$18))</f>
        <v>-9.3362318602963883E-3</v>
      </c>
      <c r="E362" s="29">
        <f t="array" ref="E362">SUMPRODUCT('ファンドデータ(変更不要)'!K362:P362,TRANSPOSE(戦略の決定!$F$13:$F$18))</f>
        <v>-9.3362318602963883E-3</v>
      </c>
      <c r="F362" s="183">
        <f t="shared" si="27"/>
        <v>1.8334348453190621</v>
      </c>
      <c r="G362" s="183">
        <f t="shared" si="28"/>
        <v>2.1806531121596251</v>
      </c>
      <c r="H362" s="75">
        <f t="shared" si="29"/>
        <v>2.1806531121596251</v>
      </c>
      <c r="J362"/>
      <c r="K362"/>
      <c r="L362"/>
      <c r="M362"/>
      <c r="N362"/>
      <c r="O362"/>
      <c r="P362"/>
    </row>
    <row r="363" spans="2:16" x14ac:dyDescent="0.15">
      <c r="B363" s="16">
        <v>42356</v>
      </c>
      <c r="C363" s="29">
        <f t="array" ref="C363">SUMPRODUCT('ファンドデータ(変更不要)'!K363:P363,TRANSPOSE(戦略の決定!$D$13:$D$18))</f>
        <v>3.4351514819135594E-3</v>
      </c>
      <c r="D363" s="29">
        <f t="array" ref="D363">SUMPRODUCT('ファンドデータ(変更不要)'!K363:P363,TRANSPOSE(戦略の決定!$E$13:$E$18))</f>
        <v>7.2968968775661176E-3</v>
      </c>
      <c r="E363" s="29">
        <f t="array" ref="E363">SUMPRODUCT('ファンドデータ(変更不要)'!K363:P363,TRANSPOSE(戦略の決定!$F$13:$F$18))</f>
        <v>7.2968968775661176E-3</v>
      </c>
      <c r="F363" s="183">
        <f t="shared" si="27"/>
        <v>1.8397329717449518</v>
      </c>
      <c r="G363" s="183">
        <f t="shared" si="28"/>
        <v>2.1965651130447976</v>
      </c>
      <c r="H363" s="75">
        <f t="shared" si="29"/>
        <v>2.1965651130447976</v>
      </c>
      <c r="J363"/>
      <c r="K363"/>
      <c r="L363"/>
      <c r="M363"/>
      <c r="N363"/>
      <c r="O363"/>
      <c r="P363"/>
    </row>
    <row r="364" spans="2:16" x14ac:dyDescent="0.15">
      <c r="B364" s="16">
        <v>42363</v>
      </c>
      <c r="C364" s="29">
        <f t="array" ref="C364">SUMPRODUCT('ファンドデータ(変更不要)'!K364:P364,TRANSPOSE(戦略の決定!$D$13:$D$18))</f>
        <v>-6.2827628771561532E-3</v>
      </c>
      <c r="D364" s="29">
        <f t="array" ref="D364">SUMPRODUCT('ファンドデータ(変更不要)'!K364:P364,TRANSPOSE(戦略の決定!$E$13:$E$18))</f>
        <v>-4.9331469032781201E-3</v>
      </c>
      <c r="E364" s="29">
        <f t="array" ref="E364">SUMPRODUCT('ファンドデータ(変更不要)'!K364:P364,TRANSPOSE(戦略の決定!$F$13:$F$18))</f>
        <v>-4.9331469032781201E-3</v>
      </c>
      <c r="F364" s="183">
        <f t="shared" si="27"/>
        <v>1.8281743657261924</v>
      </c>
      <c r="G364" s="183">
        <f t="shared" si="28"/>
        <v>2.1857291346595318</v>
      </c>
      <c r="H364" s="75">
        <f t="shared" si="29"/>
        <v>2.1857291346595318</v>
      </c>
      <c r="J364"/>
      <c r="K364"/>
      <c r="L364"/>
      <c r="M364"/>
      <c r="N364"/>
      <c r="O364"/>
      <c r="P364"/>
    </row>
    <row r="365" spans="2:16" x14ac:dyDescent="0.15">
      <c r="B365" s="16">
        <v>42370</v>
      </c>
      <c r="C365" s="29">
        <f t="array" ref="C365">SUMPRODUCT('ファンドデータ(変更不要)'!K365:P365,TRANSPOSE(戦略の決定!$D$13:$D$18))</f>
        <v>3.753270400374879E-3</v>
      </c>
      <c r="D365" s="29">
        <f t="array" ref="D365">SUMPRODUCT('ファンドデータ(変更不要)'!K365:P365,TRANSPOSE(戦略の決定!$E$13:$E$18))</f>
        <v>4.2014928181023804E-3</v>
      </c>
      <c r="E365" s="29">
        <f t="array" ref="E365">SUMPRODUCT('ファンドデータ(変更不要)'!K365:P365,TRANSPOSE(戦略の決定!$F$13:$F$18))</f>
        <v>4.2014928181023804E-3</v>
      </c>
      <c r="F365" s="183">
        <f t="shared" si="27"/>
        <v>1.8350359984597966</v>
      </c>
      <c r="G365" s="183">
        <f t="shared" si="28"/>
        <v>2.1949124599211212</v>
      </c>
      <c r="H365" s="75">
        <f t="shared" si="29"/>
        <v>2.1949124599211212</v>
      </c>
      <c r="J365"/>
      <c r="K365"/>
      <c r="L365"/>
      <c r="M365"/>
      <c r="N365"/>
      <c r="O365"/>
      <c r="P365"/>
    </row>
    <row r="366" spans="2:16" x14ac:dyDescent="0.15">
      <c r="B366" s="16">
        <v>42377</v>
      </c>
      <c r="C366" s="29">
        <f t="array" ref="C366">SUMPRODUCT('ファンドデータ(変更不要)'!K366:P366,TRANSPOSE(戦略の決定!$D$13:$D$18))</f>
        <v>-2.6297861336375392E-2</v>
      </c>
      <c r="D366" s="29">
        <f t="array" ref="D366">SUMPRODUCT('ファンドデータ(変更不要)'!K366:P366,TRANSPOSE(戦略の決定!$E$13:$E$18))</f>
        <v>-3.5216827147716734E-2</v>
      </c>
      <c r="E366" s="29">
        <f t="array" ref="E366">SUMPRODUCT('ファンドデータ(変更不要)'!K366:P366,TRANSPOSE(戦略の決定!$F$13:$F$18))</f>
        <v>-3.5216827147716734E-2</v>
      </c>
      <c r="F366" s="183">
        <f t="shared" si="27"/>
        <v>1.7867784762250438</v>
      </c>
      <c r="G366" s="183">
        <f t="shared" si="28"/>
        <v>2.1176146072157094</v>
      </c>
      <c r="H366" s="75">
        <f t="shared" si="29"/>
        <v>2.1176146072157094</v>
      </c>
      <c r="J366"/>
      <c r="K366"/>
      <c r="L366"/>
      <c r="M366"/>
      <c r="N366"/>
      <c r="O366"/>
      <c r="P366"/>
    </row>
    <row r="367" spans="2:16" x14ac:dyDescent="0.15">
      <c r="B367" s="16">
        <v>42384</v>
      </c>
      <c r="C367" s="29">
        <f t="array" ref="C367">SUMPRODUCT('ファンドデータ(変更不要)'!K367:P367,TRANSPOSE(戦略の決定!$D$13:$D$18))</f>
        <v>-6.0959588313695186E-3</v>
      </c>
      <c r="D367" s="29">
        <f t="array" ref="D367">SUMPRODUCT('ファンドデータ(変更不要)'!K367:P367,TRANSPOSE(戦略の決定!$E$13:$E$18))</f>
        <v>-6.8994958752809626E-3</v>
      </c>
      <c r="E367" s="29">
        <f t="array" ref="E367">SUMPRODUCT('ファンドデータ(変更不要)'!K367:P367,TRANSPOSE(戦略の決定!$F$13:$F$18))</f>
        <v>-6.8994958752809626E-3</v>
      </c>
      <c r="F367" s="183">
        <f t="shared" si="27"/>
        <v>1.7758863481931988</v>
      </c>
      <c r="G367" s="183">
        <f t="shared" si="28"/>
        <v>2.1030041339677901</v>
      </c>
      <c r="H367" s="75">
        <f t="shared" si="29"/>
        <v>2.1030041339677901</v>
      </c>
      <c r="J367"/>
      <c r="K367"/>
      <c r="L367"/>
      <c r="M367"/>
      <c r="N367"/>
      <c r="O367"/>
      <c r="P367"/>
    </row>
    <row r="368" spans="2:16" x14ac:dyDescent="0.15">
      <c r="B368" s="16">
        <v>42391</v>
      </c>
      <c r="C368" s="29">
        <f t="array" ref="C368">SUMPRODUCT('ファンドデータ(変更不要)'!K368:P368,TRANSPOSE(戦略の決定!$D$13:$D$18))</f>
        <v>-6.8394336821281949E-3</v>
      </c>
      <c r="D368" s="29">
        <f t="array" ref="D368">SUMPRODUCT('ファンドデータ(変更不要)'!K368:P368,TRANSPOSE(戦略の決定!$E$13:$E$18))</f>
        <v>-1.17933656561953E-2</v>
      </c>
      <c r="E368" s="29">
        <f t="array" ref="E368">SUMPRODUCT('ファンドデータ(変更不要)'!K368:P368,TRANSPOSE(戦略の決定!$F$13:$F$18))</f>
        <v>-1.17933656561953E-2</v>
      </c>
      <c r="F368" s="183">
        <f t="shared" si="27"/>
        <v>1.7637402912877345</v>
      </c>
      <c r="G368" s="183">
        <f t="shared" si="28"/>
        <v>2.0782026372394178</v>
      </c>
      <c r="H368" s="75">
        <f t="shared" si="29"/>
        <v>2.0782026372394178</v>
      </c>
      <c r="J368"/>
      <c r="K368"/>
      <c r="L368"/>
      <c r="M368"/>
      <c r="N368"/>
      <c r="O368"/>
      <c r="P368"/>
    </row>
    <row r="369" spans="2:16" x14ac:dyDescent="0.15">
      <c r="B369" s="16">
        <v>42398</v>
      </c>
      <c r="C369" s="29">
        <f t="array" ref="C369">SUMPRODUCT('ファンドデータ(変更不要)'!K369:P369,TRANSPOSE(戦略の決定!$D$13:$D$18))</f>
        <v>4.0183177617652312E-2</v>
      </c>
      <c r="D369" s="29">
        <f t="array" ref="D369">SUMPRODUCT('ファンドデータ(変更不要)'!K369:P369,TRANSPOSE(戦略の決定!$E$13:$E$18))</f>
        <v>5.5843689829239929E-2</v>
      </c>
      <c r="E369" s="29">
        <f t="array" ref="E369">SUMPRODUCT('ファンドデータ(変更不要)'!K369:P369,TRANSPOSE(戦略の決定!$F$13:$F$18))</f>
        <v>5.5843689829239929E-2</v>
      </c>
      <c r="F369" s="183">
        <f t="shared" si="27"/>
        <v>1.8346129806839591</v>
      </c>
      <c r="G369" s="183">
        <f t="shared" si="28"/>
        <v>2.1942571407157239</v>
      </c>
      <c r="H369" s="75">
        <f t="shared" si="29"/>
        <v>2.1942571407157239</v>
      </c>
      <c r="J369"/>
      <c r="K369"/>
      <c r="L369"/>
      <c r="M369"/>
      <c r="N369"/>
      <c r="O369"/>
      <c r="P369"/>
    </row>
    <row r="370" spans="2:16" x14ac:dyDescent="0.15">
      <c r="B370" s="16">
        <v>42405</v>
      </c>
      <c r="C370" s="29">
        <f t="array" ref="C370">SUMPRODUCT('ファンドデータ(変更不要)'!K370:P370,TRANSPOSE(戦略の決定!$D$13:$D$18))</f>
        <v>-2.5876636994274622E-3</v>
      </c>
      <c r="D370" s="29">
        <f t="array" ref="D370">SUMPRODUCT('ファンドデータ(変更不要)'!K370:P370,TRANSPOSE(戦略の決定!$E$13:$E$18))</f>
        <v>3.282481428636231E-3</v>
      </c>
      <c r="E370" s="29">
        <f t="array" ref="E370">SUMPRODUCT('ファンドデータ(変更不要)'!K370:P370,TRANSPOSE(戦略の決定!$F$13:$F$18))</f>
        <v>3.282481428636231E-3</v>
      </c>
      <c r="F370" s="183">
        <f t="shared" si="27"/>
        <v>1.8298656192713449</v>
      </c>
      <c r="G370" s="183">
        <f t="shared" si="28"/>
        <v>2.2014597490297758</v>
      </c>
      <c r="H370" s="75">
        <f t="shared" si="29"/>
        <v>2.2014597490297758</v>
      </c>
      <c r="J370"/>
      <c r="K370"/>
      <c r="L370"/>
      <c r="M370"/>
      <c r="N370"/>
      <c r="O370"/>
      <c r="P370"/>
    </row>
    <row r="371" spans="2:16" x14ac:dyDescent="0.15">
      <c r="B371" s="16">
        <v>42412</v>
      </c>
      <c r="C371" s="29">
        <f t="array" ref="C371">SUMPRODUCT('ファンドデータ(変更不要)'!K371:P371,TRANSPOSE(戦略の決定!$D$13:$D$18))</f>
        <v>-4.3365789231813542E-2</v>
      </c>
      <c r="D371" s="29">
        <f t="array" ref="D371">SUMPRODUCT('ファンドデータ(変更不要)'!K371:P371,TRANSPOSE(戦略の決定!$E$13:$E$18))</f>
        <v>-5.3888004805688505E-2</v>
      </c>
      <c r="E371" s="29">
        <f t="array" ref="E371">SUMPRODUCT('ファンドデータ(変更不要)'!K371:P371,TRANSPOSE(戦略の決定!$F$13:$F$18))</f>
        <v>-5.3888004805688505E-2</v>
      </c>
      <c r="F371" s="183">
        <f t="shared" si="27"/>
        <v>1.7505120525034819</v>
      </c>
      <c r="G371" s="183">
        <f t="shared" si="28"/>
        <v>2.0828274754945295</v>
      </c>
      <c r="H371" s="75">
        <f t="shared" si="29"/>
        <v>2.0828274754945295</v>
      </c>
      <c r="J371"/>
      <c r="K371"/>
      <c r="L371"/>
      <c r="M371"/>
      <c r="N371"/>
      <c r="O371"/>
      <c r="P371"/>
    </row>
    <row r="372" spans="2:16" x14ac:dyDescent="0.15">
      <c r="B372" s="16">
        <v>42419</v>
      </c>
      <c r="C372" s="29">
        <f t="array" ref="C372">SUMPRODUCT('ファンドデータ(変更不要)'!K372:P372,TRANSPOSE(戦略の決定!$D$13:$D$18))</f>
        <v>3.1020345319956705E-2</v>
      </c>
      <c r="D372" s="29">
        <f t="array" ref="D372">SUMPRODUCT('ファンドデータ(変更不要)'!K372:P372,TRANSPOSE(戦略の決定!$E$13:$E$18))</f>
        <v>4.6756261468299032E-2</v>
      </c>
      <c r="E372" s="29">
        <f t="array" ref="E372">SUMPRODUCT('ファンドデータ(変更不要)'!K372:P372,TRANSPOSE(戦略の決定!$F$13:$F$18))</f>
        <v>4.6756261468299032E-2</v>
      </c>
      <c r="F372" s="183">
        <f t="shared" si="27"/>
        <v>1.8048135408588859</v>
      </c>
      <c r="G372" s="183">
        <f t="shared" si="28"/>
        <v>2.1802127015321089</v>
      </c>
      <c r="H372" s="75">
        <f t="shared" si="29"/>
        <v>2.1802127015321089</v>
      </c>
      <c r="J372"/>
      <c r="K372"/>
      <c r="L372"/>
      <c r="M372"/>
      <c r="N372"/>
      <c r="O372"/>
      <c r="P372"/>
    </row>
    <row r="373" spans="2:16" x14ac:dyDescent="0.15">
      <c r="B373" s="16">
        <v>42426</v>
      </c>
      <c r="C373" s="29">
        <f t="array" ref="C373">SUMPRODUCT('ファンドデータ(変更不要)'!K373:P373,TRANSPOSE(戦略の決定!$D$13:$D$18))</f>
        <v>1.1686283704033964E-2</v>
      </c>
      <c r="D373" s="29">
        <f t="array" ref="D373">SUMPRODUCT('ファンドデータ(変更不要)'!K373:P373,TRANSPOSE(戦略の決定!$E$13:$E$18))</f>
        <v>1.5629339720281292E-2</v>
      </c>
      <c r="E373" s="29">
        <f t="array" ref="E373">SUMPRODUCT('ファンドデータ(変更不要)'!K373:P373,TRANSPOSE(戦略の決定!$F$13:$F$18))</f>
        <v>1.5629339720281292E-2</v>
      </c>
      <c r="F373" s="183">
        <f t="shared" si="27"/>
        <v>1.8259051039302447</v>
      </c>
      <c r="G373" s="183">
        <f t="shared" si="28"/>
        <v>2.2142879865068266</v>
      </c>
      <c r="H373" s="75">
        <f t="shared" si="29"/>
        <v>2.2142879865068266</v>
      </c>
      <c r="J373"/>
      <c r="K373"/>
      <c r="L373"/>
      <c r="M373"/>
      <c r="N373"/>
      <c r="O373"/>
      <c r="P373"/>
    </row>
    <row r="374" spans="2:16" x14ac:dyDescent="0.15">
      <c r="B374" s="16">
        <v>42433</v>
      </c>
      <c r="C374" s="29">
        <f t="array" ref="C374">SUMPRODUCT('ファンドデータ(変更不要)'!K374:P374,TRANSPOSE(戦略の決定!$D$13:$D$18))</f>
        <v>6.0113457972835313E-3</v>
      </c>
      <c r="D374" s="29">
        <f t="array" ref="D374">SUMPRODUCT('ファンドデータ(変更不要)'!K374:P374,TRANSPOSE(戦略の決定!$E$13:$E$18))</f>
        <v>2.6535255286467144E-3</v>
      </c>
      <c r="E374" s="29">
        <f t="array" ref="E374">SUMPRODUCT('ファンドデータ(変更不要)'!K374:P374,TRANSPOSE(戦略の決定!$F$13:$F$18))</f>
        <v>2.6535255286467144E-3</v>
      </c>
      <c r="F374" s="183">
        <f t="shared" si="27"/>
        <v>1.8368812509029941</v>
      </c>
      <c r="G374" s="183">
        <f t="shared" si="28"/>
        <v>2.2201636562067981</v>
      </c>
      <c r="H374" s="75">
        <f t="shared" si="29"/>
        <v>2.2201636562067981</v>
      </c>
      <c r="J374"/>
      <c r="K374"/>
      <c r="L374"/>
      <c r="M374"/>
      <c r="N374"/>
      <c r="O374"/>
      <c r="P374"/>
    </row>
    <row r="375" spans="2:16" x14ac:dyDescent="0.15">
      <c r="B375" s="16">
        <v>42440</v>
      </c>
      <c r="C375" s="29">
        <f t="array" ref="C375">SUMPRODUCT('ファンドデータ(変更不要)'!K375:P375,TRANSPOSE(戦略の決定!$D$13:$D$18))</f>
        <v>8.9363458172855522E-4</v>
      </c>
      <c r="D375" s="29">
        <f t="array" ref="D375">SUMPRODUCT('ファンドデータ(変更不要)'!K375:P375,TRANSPOSE(戦略の決定!$E$13:$E$18))</f>
        <v>3.0270072023409799E-3</v>
      </c>
      <c r="E375" s="29">
        <f t="array" ref="E375">SUMPRODUCT('ファンドデータ(変更不要)'!K375:P375,TRANSPOSE(戦略の決定!$F$13:$F$18))</f>
        <v>3.0270072023409799E-3</v>
      </c>
      <c r="F375" s="183">
        <f t="shared" si="27"/>
        <v>1.8385227515113298</v>
      </c>
      <c r="G375" s="183">
        <f t="shared" si="28"/>
        <v>2.2268841075845121</v>
      </c>
      <c r="H375" s="75">
        <f t="shared" si="29"/>
        <v>2.2268841075845121</v>
      </c>
      <c r="J375"/>
      <c r="K375"/>
      <c r="L375"/>
      <c r="M375"/>
      <c r="N375"/>
      <c r="O375"/>
      <c r="P375"/>
    </row>
    <row r="376" spans="2:16" x14ac:dyDescent="0.15">
      <c r="B376" s="16">
        <v>42447</v>
      </c>
      <c r="C376" s="29">
        <f t="array" ref="C376">SUMPRODUCT('ファンドデータ(変更不要)'!K376:P376,TRANSPOSE(戦略の決定!$D$13:$D$18))</f>
        <v>1.3738473342881394E-3</v>
      </c>
      <c r="D376" s="29">
        <f t="array" ref="D376">SUMPRODUCT('ファンドデータ(変更不要)'!K376:P376,TRANSPOSE(戦略の決定!$E$13:$E$18))</f>
        <v>1.0391200990432529E-3</v>
      </c>
      <c r="E376" s="29">
        <f t="array" ref="E376">SUMPRODUCT('ファンドデータ(変更不要)'!K376:P376,TRANSPOSE(戦略の決定!$F$13:$F$18))</f>
        <v>1.0391200990432529E-3</v>
      </c>
      <c r="F376" s="183">
        <f t="shared" si="27"/>
        <v>1.8410486010925218</v>
      </c>
      <c r="G376" s="183">
        <f t="shared" si="28"/>
        <v>2.2291981076189429</v>
      </c>
      <c r="H376" s="75">
        <f t="shared" si="29"/>
        <v>2.2291981076189429</v>
      </c>
      <c r="J376"/>
      <c r="K376"/>
      <c r="L376"/>
      <c r="M376"/>
      <c r="N376"/>
      <c r="O376"/>
      <c r="P376"/>
    </row>
    <row r="377" spans="2:16" x14ac:dyDescent="0.15">
      <c r="B377" s="16">
        <v>42454</v>
      </c>
      <c r="C377" s="29">
        <f t="array" ref="C377">SUMPRODUCT('ファンドデータ(変更不要)'!K377:P377,TRANSPOSE(戦略の決定!$D$13:$D$18))</f>
        <v>5.6626465747895253E-3</v>
      </c>
      <c r="D377" s="29">
        <f t="array" ref="D377">SUMPRODUCT('ファンドデータ(変更不要)'!K377:P377,TRANSPOSE(戦略の決定!$E$13:$E$18))</f>
        <v>5.4124517102333985E-3</v>
      </c>
      <c r="E377" s="29">
        <f t="array" ref="E377">SUMPRODUCT('ファンドデータ(変更不要)'!K377:P377,TRANSPOSE(戦略の決定!$F$13:$F$18))</f>
        <v>5.4124517102333985E-3</v>
      </c>
      <c r="F377" s="183">
        <f t="shared" si="27"/>
        <v>1.8514738086475193</v>
      </c>
      <c r="G377" s="183">
        <f t="shared" si="28"/>
        <v>2.241263534728974</v>
      </c>
      <c r="H377" s="75">
        <f t="shared" si="29"/>
        <v>2.241263534728974</v>
      </c>
      <c r="J377"/>
      <c r="K377"/>
      <c r="L377"/>
      <c r="M377"/>
      <c r="N377"/>
      <c r="O377"/>
      <c r="P377"/>
    </row>
    <row r="378" spans="2:16" x14ac:dyDescent="0.15">
      <c r="B378" s="16">
        <v>42461</v>
      </c>
      <c r="C378" s="29">
        <f t="array" ref="C378">SUMPRODUCT('ファンドデータ(変更不要)'!K378:P378,TRANSPOSE(戦略の決定!$D$13:$D$18))</f>
        <v>-3.6433402074298525E-3</v>
      </c>
      <c r="D378" s="29">
        <f t="array" ref="D378">SUMPRODUCT('ファンドデータ(変更不要)'!K378:P378,TRANSPOSE(戦略の決定!$E$13:$E$18))</f>
        <v>-2.3920479057474931E-3</v>
      </c>
      <c r="E378" s="29">
        <f t="array" ref="E378">SUMPRODUCT('ファンドデータ(変更不要)'!K378:P378,TRANSPOSE(戦略の決定!$F$13:$F$18))</f>
        <v>-2.3920479057474931E-3</v>
      </c>
      <c r="F378" s="183">
        <f t="shared" si="27"/>
        <v>1.8447282596774706</v>
      </c>
      <c r="G378" s="183">
        <f t="shared" si="28"/>
        <v>2.2359023249844974</v>
      </c>
      <c r="H378" s="75">
        <f t="shared" si="29"/>
        <v>2.2359023249844974</v>
      </c>
      <c r="J378"/>
      <c r="K378"/>
      <c r="L378"/>
      <c r="M378"/>
      <c r="N378"/>
      <c r="O378"/>
      <c r="P378"/>
    </row>
    <row r="379" spans="2:16" x14ac:dyDescent="0.15">
      <c r="B379" s="16">
        <v>42468</v>
      </c>
      <c r="C379" s="29">
        <f t="array" ref="C379">SUMPRODUCT('ファンドデータ(変更不要)'!K379:P379,TRANSPOSE(戦略の決定!$D$13:$D$18))</f>
        <v>-8.3655040834955917E-3</v>
      </c>
      <c r="D379" s="29">
        <f t="array" ref="D379">SUMPRODUCT('ファンドデータ(変更不要)'!K379:P379,TRANSPOSE(戦略の決定!$E$13:$E$18))</f>
        <v>-4.8634252291505841E-3</v>
      </c>
      <c r="E379" s="29">
        <f t="array" ref="E379">SUMPRODUCT('ファンドデータ(変更不要)'!K379:P379,TRANSPOSE(戦略の決定!$F$13:$F$18))</f>
        <v>-4.8634252291505841E-3</v>
      </c>
      <c r="F379" s="183">
        <f t="shared" si="27"/>
        <v>1.8292961778881991</v>
      </c>
      <c r="G379" s="183">
        <f t="shared" si="28"/>
        <v>2.2250281812072514</v>
      </c>
      <c r="H379" s="75">
        <f t="shared" si="29"/>
        <v>2.2250281812072514</v>
      </c>
      <c r="J379"/>
      <c r="K379"/>
      <c r="L379"/>
      <c r="M379"/>
      <c r="N379"/>
      <c r="O379"/>
      <c r="P379"/>
    </row>
    <row r="380" spans="2:16" x14ac:dyDescent="0.15">
      <c r="B380" s="16">
        <v>42475</v>
      </c>
      <c r="C380" s="29">
        <f t="array" ref="C380">SUMPRODUCT('ファンドデータ(変更不要)'!K380:P380,TRANSPOSE(戦略の決定!$D$13:$D$18))</f>
        <v>7.8085679208580849E-3</v>
      </c>
      <c r="D380" s="29">
        <f t="array" ref="D380">SUMPRODUCT('ファンドデータ(変更不要)'!K380:P380,TRANSPOSE(戦略の決定!$E$13:$E$18))</f>
        <v>4.0446326357379287E-3</v>
      </c>
      <c r="E380" s="29">
        <f t="array" ref="E380">SUMPRODUCT('ファンドデータ(変更不要)'!K380:P380,TRANSPOSE(戦略の決定!$F$13:$F$18))</f>
        <v>4.0446326357379287E-3</v>
      </c>
      <c r="F380" s="183">
        <f t="shared" si="27"/>
        <v>1.8435803613406052</v>
      </c>
      <c r="G380" s="183">
        <f t="shared" si="28"/>
        <v>2.234027602804399</v>
      </c>
      <c r="H380" s="75">
        <f t="shared" si="29"/>
        <v>2.234027602804399</v>
      </c>
      <c r="J380"/>
      <c r="K380"/>
      <c r="L380"/>
      <c r="M380"/>
      <c r="N380"/>
      <c r="O380"/>
      <c r="P380"/>
    </row>
    <row r="381" spans="2:16" x14ac:dyDescent="0.15">
      <c r="B381" s="16">
        <v>42482</v>
      </c>
      <c r="C381" s="29">
        <f t="array" ref="C381">SUMPRODUCT('ファンドデータ(変更不要)'!K381:P381,TRANSPOSE(戦略の決定!$D$13:$D$18))</f>
        <v>7.8757838726916385E-3</v>
      </c>
      <c r="D381" s="29">
        <f t="array" ref="D381">SUMPRODUCT('ファンドデータ(変更不要)'!K381:P381,TRANSPOSE(戦略の決定!$E$13:$E$18))</f>
        <v>8.4258974706545552E-3</v>
      </c>
      <c r="E381" s="29">
        <f t="array" ref="E381">SUMPRODUCT('ファンドデータ(変更不要)'!K381:P381,TRANSPOSE(戦略の決定!$F$13:$F$18))</f>
        <v>8.4258974706545552E-3</v>
      </c>
      <c r="F381" s="183">
        <f t="shared" si="27"/>
        <v>1.8581000018184628</v>
      </c>
      <c r="G381" s="183">
        <f t="shared" si="28"/>
        <v>2.2528512903322411</v>
      </c>
      <c r="H381" s="75">
        <f t="shared" si="29"/>
        <v>2.2528512903322411</v>
      </c>
      <c r="J381"/>
      <c r="K381"/>
      <c r="L381"/>
      <c r="M381"/>
      <c r="N381"/>
      <c r="O381"/>
      <c r="P381"/>
    </row>
    <row r="382" spans="2:16" x14ac:dyDescent="0.15">
      <c r="B382" s="16">
        <v>42489</v>
      </c>
      <c r="C382" s="29">
        <f t="array" ref="C382">SUMPRODUCT('ファンドデータ(変更不要)'!K382:P382,TRANSPOSE(戦略の決定!$D$13:$D$18))</f>
        <v>-4.6069164431150169E-3</v>
      </c>
      <c r="D382" s="29">
        <f t="array" ref="D382">SUMPRODUCT('ファンドデータ(変更不要)'!K382:P382,TRANSPOSE(戦略の決定!$E$13:$E$18))</f>
        <v>2.4420495704646674E-4</v>
      </c>
      <c r="E382" s="29">
        <f t="array" ref="E382">SUMPRODUCT('ファンドデータ(変更不要)'!K382:P382,TRANSPOSE(戦略の決定!$F$13:$F$18))</f>
        <v>2.4420495704646674E-4</v>
      </c>
      <c r="F382" s="183">
        <f t="shared" si="27"/>
        <v>1.8495398903671332</v>
      </c>
      <c r="G382" s="183">
        <f t="shared" si="28"/>
        <v>2.2534014477848285</v>
      </c>
      <c r="H382" s="75">
        <f t="shared" si="29"/>
        <v>2.2534014477848285</v>
      </c>
      <c r="J382"/>
      <c r="K382"/>
      <c r="L382"/>
      <c r="M382"/>
      <c r="N382"/>
      <c r="O382"/>
      <c r="P382"/>
    </row>
    <row r="383" spans="2:16" x14ac:dyDescent="0.15">
      <c r="B383" s="16">
        <v>42496</v>
      </c>
      <c r="C383" s="29">
        <f t="array" ref="C383">SUMPRODUCT('ファンドデータ(変更不要)'!K383:P383,TRANSPOSE(戦略の決定!$D$13:$D$18))</f>
        <v>-1.2227872595225325E-2</v>
      </c>
      <c r="D383" s="29">
        <f t="array" ref="D383">SUMPRODUCT('ファンドデータ(変更不要)'!K383:P383,TRANSPOSE(戦略の決定!$E$13:$E$18))</f>
        <v>-1.6419041068822748E-2</v>
      </c>
      <c r="E383" s="29">
        <f t="array" ref="E383">SUMPRODUCT('ファンドデータ(変更不要)'!K383:P383,TRANSPOSE(戦略の決定!$F$13:$F$18))</f>
        <v>-1.6419041068822748E-2</v>
      </c>
      <c r="F383" s="183">
        <f t="shared" si="27"/>
        <v>1.826923952227937</v>
      </c>
      <c r="G383" s="183">
        <f t="shared" si="28"/>
        <v>2.2164027568691047</v>
      </c>
      <c r="H383" s="75">
        <f t="shared" si="29"/>
        <v>2.2164027568691047</v>
      </c>
      <c r="J383"/>
      <c r="K383"/>
      <c r="L383"/>
      <c r="M383"/>
      <c r="N383"/>
      <c r="O383"/>
      <c r="P383"/>
    </row>
    <row r="384" spans="2:16" x14ac:dyDescent="0.15">
      <c r="B384" s="16">
        <v>42503</v>
      </c>
      <c r="C384" s="29">
        <f t="array" ref="C384">SUMPRODUCT('ファンドデータ(変更不要)'!K384:P384,TRANSPOSE(戦略の決定!$D$13:$D$18))</f>
        <v>7.5616215836683334E-3</v>
      </c>
      <c r="D384" s="29">
        <f t="array" ref="D384">SUMPRODUCT('ファンドデータ(変更不要)'!K384:P384,TRANSPOSE(戦略の決定!$E$13:$E$18))</f>
        <v>8.7508656672601482E-3</v>
      </c>
      <c r="E384" s="29">
        <f t="array" ref="E384">SUMPRODUCT('ファンドデータ(変更不要)'!K384:P384,TRANSPOSE(戦略の決定!$F$13:$F$18))</f>
        <v>8.7508656672601482E-3</v>
      </c>
      <c r="F384" s="183">
        <f t="shared" si="27"/>
        <v>1.8407384598168244</v>
      </c>
      <c r="G384" s="183">
        <f t="shared" si="28"/>
        <v>2.2357981996590111</v>
      </c>
      <c r="H384" s="75">
        <f t="shared" si="29"/>
        <v>2.2357981996590111</v>
      </c>
      <c r="J384"/>
      <c r="K384"/>
      <c r="L384"/>
      <c r="M384"/>
      <c r="N384"/>
      <c r="O384"/>
      <c r="P384"/>
    </row>
    <row r="385" spans="2:16" x14ac:dyDescent="0.15">
      <c r="B385" s="16">
        <v>42510</v>
      </c>
      <c r="C385" s="29">
        <f t="array" ref="C385">SUMPRODUCT('ファンドデータ(変更不要)'!K385:P385,TRANSPOSE(戦略の決定!$D$13:$D$18))</f>
        <v>5.1945794229428012E-5</v>
      </c>
      <c r="D385" s="29">
        <f t="array" ref="D385">SUMPRODUCT('ファンドデータ(変更不要)'!K385:P385,TRANSPOSE(戦略の決定!$E$13:$E$18))</f>
        <v>-3.6444814236340508E-3</v>
      </c>
      <c r="E385" s="29">
        <f t="array" ref="E385">SUMPRODUCT('ファンドデータ(変更不要)'!K385:P385,TRANSPOSE(戦略の決定!$F$13:$F$18))</f>
        <v>-3.6444814236340508E-3</v>
      </c>
      <c r="F385" s="183">
        <f t="shared" si="27"/>
        <v>1.8408340784380881</v>
      </c>
      <c r="G385" s="183">
        <f t="shared" si="28"/>
        <v>2.2276498746533595</v>
      </c>
      <c r="H385" s="75">
        <f t="shared" si="29"/>
        <v>2.2276498746533595</v>
      </c>
      <c r="J385"/>
      <c r="K385"/>
      <c r="L385"/>
      <c r="M385"/>
      <c r="N385"/>
      <c r="O385"/>
      <c r="P385"/>
    </row>
    <row r="386" spans="2:16" x14ac:dyDescent="0.15">
      <c r="B386" s="16">
        <v>42517</v>
      </c>
      <c r="C386" s="29">
        <f t="array" ref="C386">SUMPRODUCT('ファンドデータ(変更不要)'!K386:P386,TRANSPOSE(戦略の決定!$D$13:$D$18))</f>
        <v>2.1134634936151118E-3</v>
      </c>
      <c r="D386" s="29">
        <f t="array" ref="D386">SUMPRODUCT('ファンドデータ(変更不要)'!K386:P386,TRANSPOSE(戦略の決定!$E$13:$E$18))</f>
        <v>3.2948725843439685E-3</v>
      </c>
      <c r="E386" s="29">
        <f t="array" ref="E386">SUMPRODUCT('ファンドデータ(変更不要)'!K386:P386,TRANSPOSE(戦略の決定!$F$13:$F$18))</f>
        <v>3.2948725843439685E-3</v>
      </c>
      <c r="F386" s="183">
        <f t="shared" si="27"/>
        <v>1.8447246140606695</v>
      </c>
      <c r="G386" s="183">
        <f t="shared" si="28"/>
        <v>2.2349896971528724</v>
      </c>
      <c r="H386" s="75">
        <f t="shared" si="29"/>
        <v>2.2349896971528724</v>
      </c>
      <c r="J386"/>
      <c r="K386"/>
      <c r="L386"/>
      <c r="M386"/>
      <c r="N386"/>
      <c r="O386"/>
      <c r="P386"/>
    </row>
    <row r="387" spans="2:16" x14ac:dyDescent="0.15">
      <c r="B387" s="16">
        <v>42524</v>
      </c>
      <c r="C387" s="29">
        <f t="array" ref="C387">SUMPRODUCT('ファンドデータ(変更不要)'!K387:P387,TRANSPOSE(戦略の決定!$D$13:$D$18))</f>
        <v>-1.970783942595227E-3</v>
      </c>
      <c r="D387" s="29">
        <f t="array" ref="D387">SUMPRODUCT('ファンドデータ(変更不要)'!K387:P387,TRANSPOSE(戦略の決定!$E$13:$E$18))</f>
        <v>1.097460310998403E-3</v>
      </c>
      <c r="E387" s="29">
        <f t="array" ref="E387">SUMPRODUCT('ファンドデータ(変更不要)'!K387:P387,TRANSPOSE(戦略の決定!$F$13:$F$18))</f>
        <v>1.097460310998403E-3</v>
      </c>
      <c r="F387" s="183">
        <f t="shared" si="27"/>
        <v>1.8410890604127685</v>
      </c>
      <c r="G387" s="183">
        <f t="shared" si="28"/>
        <v>2.2374425096409878</v>
      </c>
      <c r="H387" s="75">
        <f t="shared" si="29"/>
        <v>2.2374425096409878</v>
      </c>
      <c r="J387"/>
      <c r="K387"/>
      <c r="L387"/>
      <c r="M387"/>
      <c r="N387"/>
      <c r="O387"/>
      <c r="P387"/>
    </row>
    <row r="388" spans="2:16" x14ac:dyDescent="0.15">
      <c r="B388" s="16">
        <v>42531</v>
      </c>
      <c r="C388" s="29">
        <f t="array" ref="C388">SUMPRODUCT('ファンドデータ(変更不要)'!K388:P388,TRANSPOSE(戦略の決定!$D$13:$D$18))</f>
        <v>-2.3422742982678996E-3</v>
      </c>
      <c r="D388" s="29">
        <f t="array" ref="D388">SUMPRODUCT('ファンドデータ(変更不要)'!K388:P388,TRANSPOSE(戦略の決定!$E$13:$E$18))</f>
        <v>-5.7046803045129203E-3</v>
      </c>
      <c r="E388" s="29">
        <f t="array" ref="E388">SUMPRODUCT('ファンドデータ(変更不要)'!K388:P388,TRANSPOSE(戦略の決定!$F$13:$F$18))</f>
        <v>-5.7046803045129203E-3</v>
      </c>
      <c r="F388" s="183">
        <f t="shared" si="27"/>
        <v>1.8367767248257414</v>
      </c>
      <c r="G388" s="183">
        <f t="shared" si="28"/>
        <v>2.224678615423759</v>
      </c>
      <c r="H388" s="75">
        <f t="shared" si="29"/>
        <v>2.224678615423759</v>
      </c>
      <c r="J388"/>
      <c r="K388"/>
      <c r="L388"/>
      <c r="M388"/>
      <c r="N388"/>
      <c r="O388"/>
      <c r="P388"/>
    </row>
    <row r="389" spans="2:16" x14ac:dyDescent="0.15">
      <c r="B389" s="16">
        <v>42538</v>
      </c>
      <c r="C389" s="29">
        <f t="array" ref="C389">SUMPRODUCT('ファンドデータ(変更不要)'!K389:P389,TRANSPOSE(戦略の決定!$D$13:$D$18))</f>
        <v>-2.37834666786652E-2</v>
      </c>
      <c r="D389" s="29">
        <f t="array" ref="D389">SUMPRODUCT('ファンドデータ(変更不要)'!K389:P389,TRANSPOSE(戦略の決定!$E$13:$E$18))</f>
        <v>-2.9240566113479281E-2</v>
      </c>
      <c r="E389" s="29">
        <f t="array" ref="E389">SUMPRODUCT('ファンドデータ(変更不要)'!K389:P389,TRANSPOSE(戦略の決定!$F$13:$F$18))</f>
        <v>-2.9240566113479281E-2</v>
      </c>
      <c r="F389" s="183">
        <f t="shared" ref="F389:F452" si="30">F388*(1+C389)</f>
        <v>1.7930918067947006</v>
      </c>
      <c r="G389" s="183">
        <f t="shared" ref="G389:G452" si="31">G388*(1+D389)</f>
        <v>2.1596277532882171</v>
      </c>
      <c r="H389" s="75">
        <f t="shared" ref="H389:H452" si="32">H388*(1+E389)</f>
        <v>2.1596277532882171</v>
      </c>
      <c r="J389"/>
      <c r="K389"/>
      <c r="L389"/>
      <c r="M389"/>
      <c r="N389"/>
      <c r="O389"/>
      <c r="P389"/>
    </row>
    <row r="390" spans="2:16" x14ac:dyDescent="0.15">
      <c r="B390" s="16">
        <v>42545</v>
      </c>
      <c r="C390" s="29">
        <f t="array" ref="C390">SUMPRODUCT('ファンドデータ(変更不要)'!K390:P390,TRANSPOSE(戦略の決定!$D$13:$D$18))</f>
        <v>-3.0450569214852494E-2</v>
      </c>
      <c r="D390" s="29">
        <f t="array" ref="D390">SUMPRODUCT('ファンドデータ(変更不要)'!K390:P390,TRANSPOSE(戦略の決定!$E$13:$E$18))</f>
        <v>-3.613274532566333E-2</v>
      </c>
      <c r="E390" s="29">
        <f t="array" ref="E390">SUMPRODUCT('ファンドデータ(変更不要)'!K390:P390,TRANSPOSE(戦略の決定!$F$13:$F$18))</f>
        <v>-3.613274532566333E-2</v>
      </c>
      <c r="F390" s="183">
        <f t="shared" si="30"/>
        <v>1.7384911406233137</v>
      </c>
      <c r="G390" s="183">
        <f t="shared" si="31"/>
        <v>2.0815944736804193</v>
      </c>
      <c r="H390" s="75">
        <f t="shared" si="32"/>
        <v>2.0815944736804193</v>
      </c>
      <c r="J390"/>
      <c r="K390"/>
      <c r="L390"/>
      <c r="M390"/>
      <c r="N390"/>
      <c r="O390"/>
      <c r="P390"/>
    </row>
    <row r="391" spans="2:16" x14ac:dyDescent="0.15">
      <c r="B391" s="16">
        <v>42552</v>
      </c>
      <c r="C391" s="29">
        <f t="array" ref="C391">SUMPRODUCT('ファンドデータ(変更不要)'!K391:P391,TRANSPOSE(戦略の決定!$D$13:$D$18))</f>
        <v>3.5212995066557763E-2</v>
      </c>
      <c r="D391" s="29">
        <f t="array" ref="D391">SUMPRODUCT('ファンドデータ(変更不要)'!K391:P391,TRANSPOSE(戦略の決定!$E$13:$E$18))</f>
        <v>4.3205380907567051E-2</v>
      </c>
      <c r="E391" s="29">
        <f t="array" ref="E391">SUMPRODUCT('ファンドデータ(変更不要)'!K391:P391,TRANSPOSE(戦略の決定!$F$13:$F$18))</f>
        <v>4.3205380907567051E-2</v>
      </c>
      <c r="F391" s="183">
        <f t="shared" si="30"/>
        <v>1.7997086205813368</v>
      </c>
      <c r="G391" s="183">
        <f t="shared" si="31"/>
        <v>2.1715305558108682</v>
      </c>
      <c r="H391" s="75">
        <f t="shared" si="32"/>
        <v>2.1715305558108682</v>
      </c>
      <c r="J391"/>
      <c r="K391"/>
      <c r="L391"/>
      <c r="M391"/>
      <c r="N391"/>
      <c r="O391"/>
      <c r="P391"/>
    </row>
    <row r="392" spans="2:16" x14ac:dyDescent="0.15">
      <c r="B392" s="16">
        <v>42559</v>
      </c>
      <c r="C392" s="29">
        <f t="array" ref="C392">SUMPRODUCT('ファンドデータ(変更不要)'!K392:P392,TRANSPOSE(戦略の決定!$D$13:$D$18))</f>
        <v>-1.3713457771299883E-2</v>
      </c>
      <c r="D392" s="29">
        <f t="array" ref="D392">SUMPRODUCT('ファンドデータ(変更不要)'!K392:P392,TRANSPOSE(戦略の決定!$E$13:$E$18))</f>
        <v>-1.5080885451372403E-2</v>
      </c>
      <c r="E392" s="29">
        <f t="array" ref="E392">SUMPRODUCT('ファンドデータ(変更不要)'!K392:P392,TRANSPOSE(戦略の決定!$F$13:$F$18))</f>
        <v>-1.5080885451372403E-2</v>
      </c>
      <c r="F392" s="183">
        <f t="shared" si="30"/>
        <v>1.7750283924123504</v>
      </c>
      <c r="G392" s="183">
        <f t="shared" si="31"/>
        <v>2.1387819522445293</v>
      </c>
      <c r="H392" s="75">
        <f t="shared" si="32"/>
        <v>2.1387819522445293</v>
      </c>
      <c r="J392"/>
      <c r="K392"/>
      <c r="L392"/>
      <c r="M392"/>
      <c r="N392"/>
      <c r="O392"/>
      <c r="P392"/>
    </row>
    <row r="393" spans="2:16" x14ac:dyDescent="0.15">
      <c r="B393" s="16">
        <v>42566</v>
      </c>
      <c r="C393" s="29">
        <f t="array" ref="C393">SUMPRODUCT('ファンドデータ(変更不要)'!K393:P393,TRANSPOSE(戦略の決定!$D$13:$D$18))</f>
        <v>2.9846783558090867E-2</v>
      </c>
      <c r="D393" s="29">
        <f t="array" ref="D393">SUMPRODUCT('ファンドデータ(変更不要)'!K393:P393,TRANSPOSE(戦略の決定!$E$13:$E$18))</f>
        <v>3.1621499939620566E-2</v>
      </c>
      <c r="E393" s="29">
        <f t="array" ref="E393">SUMPRODUCT('ファンドデータ(変更不要)'!K393:P393,TRANSPOSE(戦略の決定!$F$13:$F$18))</f>
        <v>3.1621499939620566E-2</v>
      </c>
      <c r="F393" s="183">
        <f t="shared" si="30"/>
        <v>1.8280072806501479</v>
      </c>
      <c r="G393" s="183">
        <f t="shared" si="31"/>
        <v>2.2064134456182911</v>
      </c>
      <c r="H393" s="75">
        <f t="shared" si="32"/>
        <v>2.2064134456182911</v>
      </c>
      <c r="J393"/>
      <c r="K393"/>
      <c r="L393"/>
      <c r="M393"/>
      <c r="N393"/>
      <c r="O393"/>
      <c r="P393"/>
    </row>
    <row r="394" spans="2:16" x14ac:dyDescent="0.15">
      <c r="B394" s="16">
        <v>42573</v>
      </c>
      <c r="C394" s="29">
        <f t="array" ref="C394">SUMPRODUCT('ファンドデータ(変更不要)'!K394:P394,TRANSPOSE(戦略の決定!$D$13:$D$18))</f>
        <v>-4.0173703743281888E-4</v>
      </c>
      <c r="D394" s="29">
        <f t="array" ref="D394">SUMPRODUCT('ファンドデータ(変更不要)'!K394:P394,TRANSPOSE(戦略の決定!$E$13:$E$18))</f>
        <v>1.1878934124315587E-3</v>
      </c>
      <c r="E394" s="29">
        <f t="array" ref="E394">SUMPRODUCT('ファンドデータ(変更不要)'!K394:P394,TRANSPOSE(戦略の決定!$F$13:$F$18))</f>
        <v>1.1878934124315587E-3</v>
      </c>
      <c r="F394" s="183">
        <f t="shared" si="30"/>
        <v>1.8272729024208139</v>
      </c>
      <c r="G394" s="183">
        <f t="shared" si="31"/>
        <v>2.2090344296154418</v>
      </c>
      <c r="H394" s="75">
        <f t="shared" si="32"/>
        <v>2.2090344296154418</v>
      </c>
      <c r="J394"/>
      <c r="K394"/>
      <c r="L394"/>
      <c r="M394"/>
      <c r="N394"/>
      <c r="O394"/>
      <c r="P394"/>
    </row>
    <row r="395" spans="2:16" x14ac:dyDescent="0.15">
      <c r="B395" s="16">
        <v>42580</v>
      </c>
      <c r="C395" s="29">
        <f t="array" ref="C395">SUMPRODUCT('ファンドデータ(変更不要)'!K395:P395,TRANSPOSE(戦略の決定!$D$13:$D$18))</f>
        <v>-2.4112039432829671E-3</v>
      </c>
      <c r="D395" s="29">
        <f t="array" ref="D395">SUMPRODUCT('ファンドデータ(変更不要)'!K395:P395,TRANSPOSE(戦略の決定!$E$13:$E$18))</f>
        <v>-1.2265767636287805E-3</v>
      </c>
      <c r="E395" s="29">
        <f t="array" ref="E395">SUMPRODUCT('ファンドデータ(変更不要)'!K395:P395,TRANSPOSE(戦略の決定!$F$13:$F$18))</f>
        <v>-1.2265767636287805E-3</v>
      </c>
      <c r="F395" s="183">
        <f t="shared" si="30"/>
        <v>1.8228669747930426</v>
      </c>
      <c r="G395" s="183">
        <f t="shared" si="31"/>
        <v>2.2063248793140193</v>
      </c>
      <c r="H395" s="75">
        <f t="shared" si="32"/>
        <v>2.2063248793140193</v>
      </c>
      <c r="J395"/>
      <c r="K395"/>
      <c r="L395"/>
      <c r="M395"/>
      <c r="N395"/>
      <c r="O395"/>
      <c r="P395"/>
    </row>
    <row r="396" spans="2:16" x14ac:dyDescent="0.15">
      <c r="B396" s="16">
        <v>42587</v>
      </c>
      <c r="C396" s="29">
        <f t="array" ref="C396">SUMPRODUCT('ファンドデータ(変更不要)'!K396:P396,TRANSPOSE(戦略の決定!$D$13:$D$18))</f>
        <v>-1.8225565640526867E-2</v>
      </c>
      <c r="D396" s="29">
        <f t="array" ref="D396">SUMPRODUCT('ファンドデータ(変更不要)'!K396:P396,TRANSPOSE(戦略の決定!$E$13:$E$18))</f>
        <v>-2.1016556675755034E-2</v>
      </c>
      <c r="E396" s="29">
        <f t="array" ref="E396">SUMPRODUCT('ファンドデータ(変更不要)'!K396:P396,TRANSPOSE(戦略の決定!$F$13:$F$18))</f>
        <v>-2.1016556675755034E-2</v>
      </c>
      <c r="F396" s="183">
        <f t="shared" si="30"/>
        <v>1.7896441930900033</v>
      </c>
      <c r="G396" s="183">
        <f t="shared" si="31"/>
        <v>2.1599555274427877</v>
      </c>
      <c r="H396" s="75">
        <f t="shared" si="32"/>
        <v>2.1599555274427877</v>
      </c>
      <c r="J396"/>
      <c r="K396"/>
      <c r="L396"/>
      <c r="M396"/>
      <c r="N396"/>
      <c r="O396"/>
      <c r="P396"/>
    </row>
    <row r="397" spans="2:16" x14ac:dyDescent="0.15">
      <c r="B397" s="16">
        <v>42594</v>
      </c>
      <c r="C397" s="29">
        <f t="array" ref="C397">SUMPRODUCT('ファンドデータ(変更不要)'!K397:P397,TRANSPOSE(戦略の決定!$D$13:$D$18))</f>
        <v>1.0938715743147805E-2</v>
      </c>
      <c r="D397" s="29">
        <f t="array" ref="D397">SUMPRODUCT('ファンドデータ(変更不要)'!K397:P397,TRANSPOSE(戦略の決定!$E$13:$E$18))</f>
        <v>1.0506628289865053E-2</v>
      </c>
      <c r="E397" s="29">
        <f t="array" ref="E397">SUMPRODUCT('ファンドデータ(変更不要)'!K397:P397,TRANSPOSE(戦略の決定!$F$13:$F$18))</f>
        <v>1.0506628289865053E-2</v>
      </c>
      <c r="F397" s="183">
        <f t="shared" si="30"/>
        <v>1.8092206021995898</v>
      </c>
      <c r="G397" s="183">
        <f t="shared" si="31"/>
        <v>2.1826493772922686</v>
      </c>
      <c r="H397" s="75">
        <f t="shared" si="32"/>
        <v>2.1826493772922686</v>
      </c>
      <c r="J397"/>
      <c r="K397"/>
      <c r="L397"/>
      <c r="M397"/>
      <c r="N397"/>
      <c r="O397"/>
      <c r="P397"/>
    </row>
    <row r="398" spans="2:16" x14ac:dyDescent="0.15">
      <c r="B398" s="16">
        <v>42601</v>
      </c>
      <c r="C398" s="29">
        <f t="array" ref="C398">SUMPRODUCT('ファンドデータ(変更不要)'!K398:P398,TRANSPOSE(戦略の決定!$D$13:$D$18))</f>
        <v>-9.0769873649803497E-3</v>
      </c>
      <c r="D398" s="29">
        <f t="array" ref="D398">SUMPRODUCT('ファンドデータ(変更不要)'!K398:P398,TRANSPOSE(戦略の決定!$E$13:$E$18))</f>
        <v>-1.055675555821033E-2</v>
      </c>
      <c r="E398" s="29">
        <f t="array" ref="E398">SUMPRODUCT('ファンドデータ(変更不要)'!K398:P398,TRANSPOSE(戦略の決定!$F$13:$F$18))</f>
        <v>-1.055675555821033E-2</v>
      </c>
      <c r="F398" s="183">
        <f t="shared" si="30"/>
        <v>1.7927983296529622</v>
      </c>
      <c r="G398" s="183">
        <f t="shared" si="31"/>
        <v>2.1596076813469143</v>
      </c>
      <c r="H398" s="75">
        <f t="shared" si="32"/>
        <v>2.1596076813469143</v>
      </c>
      <c r="J398"/>
      <c r="K398"/>
      <c r="L398"/>
      <c r="M398"/>
      <c r="N398"/>
      <c r="O398"/>
      <c r="P398"/>
    </row>
    <row r="399" spans="2:16" x14ac:dyDescent="0.15">
      <c r="B399" s="16">
        <v>42608</v>
      </c>
      <c r="C399" s="29">
        <f t="array" ref="C399">SUMPRODUCT('ファンドデータ(変更不要)'!K399:P399,TRANSPOSE(戦略の決定!$D$13:$D$18))</f>
        <v>-9.3898550375002957E-4</v>
      </c>
      <c r="D399" s="29">
        <f t="array" ref="D399">SUMPRODUCT('ファンドデータ(変更不要)'!K399:P399,TRANSPOSE(戦略の決定!$E$13:$E$18))</f>
        <v>1.0854291672799735E-3</v>
      </c>
      <c r="E399" s="29">
        <f t="array" ref="E399">SUMPRODUCT('ファンドデータ(変更不要)'!K399:P399,TRANSPOSE(戦略の決定!$F$13:$F$18))</f>
        <v>1.0854291672799735E-3</v>
      </c>
      <c r="F399" s="183">
        <f t="shared" si="30"/>
        <v>1.7911149180102708</v>
      </c>
      <c r="G399" s="183">
        <f t="shared" si="31"/>
        <v>2.1619517825141301</v>
      </c>
      <c r="H399" s="75">
        <f t="shared" si="32"/>
        <v>2.1619517825141301</v>
      </c>
      <c r="J399"/>
      <c r="K399"/>
      <c r="L399"/>
      <c r="M399"/>
      <c r="N399"/>
      <c r="O399"/>
      <c r="P399"/>
    </row>
    <row r="400" spans="2:16" x14ac:dyDescent="0.15">
      <c r="B400" s="16">
        <v>42615</v>
      </c>
      <c r="C400" s="29">
        <f t="array" ref="C400">SUMPRODUCT('ファンドデータ(変更不要)'!K400:P400,TRANSPOSE(戦略の決定!$D$13:$D$18))</f>
        <v>8.2657261027873335E-3</v>
      </c>
      <c r="D400" s="29">
        <f t="array" ref="D400">SUMPRODUCT('ファンドデータ(変更不要)'!K400:P400,TRANSPOSE(戦略の決定!$E$13:$E$18))</f>
        <v>6.9971962500203601E-3</v>
      </c>
      <c r="E400" s="29">
        <f t="array" ref="E400">SUMPRODUCT('ファンドデータ(変更不要)'!K400:P400,TRANSPOSE(戦略の決定!$F$13:$F$18))</f>
        <v>6.9971962500203601E-3</v>
      </c>
      <c r="F400" s="183">
        <f t="shared" si="30"/>
        <v>1.8059197833411602</v>
      </c>
      <c r="G400" s="183">
        <f t="shared" si="31"/>
        <v>2.1770793834194628</v>
      </c>
      <c r="H400" s="75">
        <f t="shared" si="32"/>
        <v>2.1770793834194628</v>
      </c>
      <c r="J400"/>
      <c r="K400"/>
      <c r="L400"/>
      <c r="M400"/>
      <c r="N400"/>
      <c r="O400"/>
      <c r="P400"/>
    </row>
    <row r="401" spans="2:16" x14ac:dyDescent="0.15">
      <c r="B401" s="16">
        <v>42622</v>
      </c>
      <c r="C401" s="29">
        <f t="array" ref="C401">SUMPRODUCT('ファンドデータ(変更不要)'!K401:P401,TRANSPOSE(戦略の決定!$D$13:$D$18))</f>
        <v>-2.3261805813751743E-3</v>
      </c>
      <c r="D401" s="29">
        <f t="array" ref="D401">SUMPRODUCT('ファンドデータ(変更不要)'!K401:P401,TRANSPOSE(戦略の決定!$E$13:$E$18))</f>
        <v>-1.7540873283641439E-3</v>
      </c>
      <c r="E401" s="29">
        <f t="array" ref="E401">SUMPRODUCT('ファンドデータ(変更不要)'!K401:P401,TRANSPOSE(戦略の決定!$F$13:$F$18))</f>
        <v>-1.7540873283641439E-3</v>
      </c>
      <c r="F401" s="183">
        <f t="shared" si="30"/>
        <v>1.8017188878096309</v>
      </c>
      <c r="G401" s="183">
        <f t="shared" si="31"/>
        <v>2.1732605960601639</v>
      </c>
      <c r="H401" s="75">
        <f t="shared" si="32"/>
        <v>2.1732605960601639</v>
      </c>
      <c r="J401"/>
      <c r="K401"/>
      <c r="L401"/>
      <c r="M401"/>
      <c r="N401"/>
      <c r="O401"/>
      <c r="P401"/>
    </row>
    <row r="402" spans="2:16" x14ac:dyDescent="0.15">
      <c r="B402" s="16">
        <v>42629</v>
      </c>
      <c r="C402" s="29">
        <f t="array" ref="C402">SUMPRODUCT('ファンドデータ(変更不要)'!K402:P402,TRANSPOSE(戦略の決定!$D$13:$D$18))</f>
        <v>-9.0891527764163111E-3</v>
      </c>
      <c r="D402" s="29">
        <f t="array" ref="D402">SUMPRODUCT('ファンドデータ(変更不要)'!K402:P402,TRANSPOSE(戦略の決定!$E$13:$E$18))</f>
        <v>-9.1325991425017777E-3</v>
      </c>
      <c r="E402" s="29">
        <f t="array" ref="E402">SUMPRODUCT('ファンドデータ(変更不要)'!K402:P402,TRANSPOSE(戦略の決定!$F$13:$F$18))</f>
        <v>-9.1325991425017777E-3</v>
      </c>
      <c r="F402" s="183">
        <f t="shared" si="30"/>
        <v>1.7853427895781742</v>
      </c>
      <c r="G402" s="183">
        <f t="shared" si="31"/>
        <v>2.1534130782041521</v>
      </c>
      <c r="H402" s="75">
        <f t="shared" si="32"/>
        <v>2.1534130782041521</v>
      </c>
      <c r="J402"/>
      <c r="K402"/>
      <c r="L402"/>
      <c r="M402"/>
      <c r="N402"/>
      <c r="O402"/>
      <c r="P402"/>
    </row>
    <row r="403" spans="2:16" x14ac:dyDescent="0.15">
      <c r="B403" s="16">
        <v>42636</v>
      </c>
      <c r="C403" s="29">
        <f t="array" ref="C403">SUMPRODUCT('ファンドデータ(変更不要)'!K403:P403,TRANSPOSE(戦略の決定!$D$13:$D$18))</f>
        <v>1.3321179526544602E-3</v>
      </c>
      <c r="D403" s="29">
        <f t="array" ref="D403">SUMPRODUCT('ファンドデータ(変更不要)'!K403:P403,TRANSPOSE(戦略の決定!$E$13:$E$18))</f>
        <v>-2.6135448499834193E-4</v>
      </c>
      <c r="E403" s="29">
        <f t="array" ref="E403">SUMPRODUCT('ファンドデータ(変更不要)'!K403:P403,TRANSPOSE(戦略の決定!$F$13:$F$18))</f>
        <v>-2.6135448499834193E-4</v>
      </c>
      <c r="F403" s="183">
        <f t="shared" si="30"/>
        <v>1.7877210767598133</v>
      </c>
      <c r="G403" s="183">
        <f t="shared" si="31"/>
        <v>2.1528502740381095</v>
      </c>
      <c r="H403" s="75">
        <f t="shared" si="32"/>
        <v>2.1528502740381095</v>
      </c>
      <c r="J403"/>
      <c r="K403"/>
      <c r="L403"/>
      <c r="M403"/>
      <c r="N403"/>
      <c r="O403"/>
      <c r="P403"/>
    </row>
    <row r="404" spans="2:16" x14ac:dyDescent="0.15">
      <c r="B404" s="16">
        <v>42643</v>
      </c>
      <c r="C404" s="29">
        <f t="array" ref="C404">SUMPRODUCT('ファンドデータ(変更不要)'!K404:P404,TRANSPOSE(戦略の決定!$D$13:$D$18))</f>
        <v>2.266832529636875E-3</v>
      </c>
      <c r="D404" s="29">
        <f t="array" ref="D404">SUMPRODUCT('ファンドデータ(変更不要)'!K404:P404,TRANSPOSE(戦略の決定!$E$13:$E$18))</f>
        <v>4.1403611970860519E-3</v>
      </c>
      <c r="E404" s="29">
        <f t="array" ref="E404">SUMPRODUCT('ファンドデータ(変更不要)'!K404:P404,TRANSPOSE(戦略の決定!$F$13:$F$18))</f>
        <v>4.1403611970860519E-3</v>
      </c>
      <c r="F404" s="183">
        <f t="shared" si="30"/>
        <v>1.79177354105053</v>
      </c>
      <c r="G404" s="183">
        <f t="shared" si="31"/>
        <v>2.161763851775873</v>
      </c>
      <c r="H404" s="75">
        <f t="shared" si="32"/>
        <v>2.161763851775873</v>
      </c>
      <c r="J404"/>
      <c r="K404"/>
      <c r="L404"/>
      <c r="M404"/>
      <c r="N404"/>
      <c r="O404"/>
      <c r="P404"/>
    </row>
    <row r="405" spans="2:16" x14ac:dyDescent="0.15">
      <c r="B405" s="16">
        <v>42650</v>
      </c>
      <c r="C405" s="29">
        <f t="array" ref="C405">SUMPRODUCT('ファンドデータ(変更不要)'!K405:P405,TRANSPOSE(戦略の決定!$D$13:$D$18))</f>
        <v>2.37374005875211E-3</v>
      </c>
      <c r="D405" s="29">
        <f t="array" ref="D405">SUMPRODUCT('ファンドデータ(変更不要)'!K405:P405,TRANSPOSE(戦略の決定!$E$13:$E$18))</f>
        <v>-2.6012904323106543E-4</v>
      </c>
      <c r="E405" s="29">
        <f t="array" ref="E405">SUMPRODUCT('ファンドデータ(変更不要)'!K405:P405,TRANSPOSE(戦略の決定!$F$13:$F$18))</f>
        <v>-2.6012904323106543E-4</v>
      </c>
      <c r="F405" s="183">
        <f t="shared" si="30"/>
        <v>1.7960267456811336</v>
      </c>
      <c r="G405" s="183">
        <f t="shared" si="31"/>
        <v>2.1612015142134191</v>
      </c>
      <c r="H405" s="75">
        <f t="shared" si="32"/>
        <v>2.1612015142134191</v>
      </c>
      <c r="J405"/>
      <c r="K405"/>
      <c r="L405"/>
      <c r="M405"/>
      <c r="N405"/>
      <c r="O405"/>
      <c r="P405"/>
    </row>
    <row r="406" spans="2:16" x14ac:dyDescent="0.15">
      <c r="B406" s="16">
        <v>42657</v>
      </c>
      <c r="C406" s="29">
        <f t="array" ref="C406">SUMPRODUCT('ファンドデータ(変更不要)'!K406:P406,TRANSPOSE(戦略の決定!$D$13:$D$18))</f>
        <v>-5.4659396690440419E-3</v>
      </c>
      <c r="D406" s="29">
        <f t="array" ref="D406">SUMPRODUCT('ファンドデータ(変更不要)'!K406:P406,TRANSPOSE(戦略の決定!$E$13:$E$18))</f>
        <v>-8.9235060662982302E-3</v>
      </c>
      <c r="E406" s="29">
        <f t="array" ref="E406">SUMPRODUCT('ファンドデータ(変更不要)'!K406:P406,TRANSPOSE(戦略の決定!$F$13:$F$18))</f>
        <v>-8.9235060662982302E-3</v>
      </c>
      <c r="F406" s="183">
        <f t="shared" si="30"/>
        <v>1.786209771845251</v>
      </c>
      <c r="G406" s="183">
        <f t="shared" si="31"/>
        <v>2.1419160193908429</v>
      </c>
      <c r="H406" s="75">
        <f t="shared" si="32"/>
        <v>2.1419160193908429</v>
      </c>
      <c r="J406"/>
      <c r="K406"/>
      <c r="L406"/>
      <c r="M406"/>
      <c r="N406"/>
      <c r="O406"/>
      <c r="P406"/>
    </row>
    <row r="407" spans="2:16" x14ac:dyDescent="0.15">
      <c r="B407" s="16">
        <v>42664</v>
      </c>
      <c r="C407" s="29">
        <f t="array" ref="C407">SUMPRODUCT('ファンドデータ(変更不要)'!K407:P407,TRANSPOSE(戦略の決定!$D$13:$D$18))</f>
        <v>1.7148671283066092E-3</v>
      </c>
      <c r="D407" s="29">
        <f t="array" ref="D407">SUMPRODUCT('ファンドデータ(変更不要)'!K407:P407,TRANSPOSE(戦略の決定!$E$13:$E$18))</f>
        <v>5.7579078686085172E-4</v>
      </c>
      <c r="E407" s="29">
        <f t="array" ref="E407">SUMPRODUCT('ファンドデータ(変更不要)'!K407:P407,TRANSPOSE(戦略の決定!$F$13:$F$18))</f>
        <v>5.7579078686085172E-4</v>
      </c>
      <c r="F407" s="183">
        <f t="shared" si="30"/>
        <v>1.7892728842672487</v>
      </c>
      <c r="G407" s="183">
        <f t="shared" si="31"/>
        <v>2.1431493149010379</v>
      </c>
      <c r="H407" s="75">
        <f t="shared" si="32"/>
        <v>2.1431493149010379</v>
      </c>
      <c r="J407"/>
      <c r="K407"/>
      <c r="L407"/>
      <c r="M407"/>
      <c r="N407"/>
      <c r="O407"/>
      <c r="P407"/>
    </row>
    <row r="408" spans="2:16" x14ac:dyDescent="0.15">
      <c r="B408" s="16">
        <v>42671</v>
      </c>
      <c r="C408" s="29">
        <f t="array" ref="C408">SUMPRODUCT('ファンドデータ(変更不要)'!K408:P408,TRANSPOSE(戦略の決定!$D$13:$D$18))</f>
        <v>-2.7623086806781493E-4</v>
      </c>
      <c r="D408" s="29">
        <f t="array" ref="D408">SUMPRODUCT('ファンドデータ(変更不要)'!K408:P408,TRANSPOSE(戦略の決定!$E$13:$E$18))</f>
        <v>-2.1390265462041072E-3</v>
      </c>
      <c r="E408" s="29">
        <f t="array" ref="E408">SUMPRODUCT('ファンドデータ(変更不要)'!K408:P408,TRANSPOSE(戦略の決定!$F$13:$F$18))</f>
        <v>-2.1390265462041072E-3</v>
      </c>
      <c r="F408" s="183">
        <f t="shared" si="30"/>
        <v>1.7887786318652175</v>
      </c>
      <c r="G408" s="183">
        <f t="shared" si="31"/>
        <v>2.1385650616239853</v>
      </c>
      <c r="H408" s="75">
        <f t="shared" si="32"/>
        <v>2.1385650616239853</v>
      </c>
      <c r="J408"/>
      <c r="K408"/>
      <c r="L408"/>
      <c r="M408"/>
      <c r="N408"/>
      <c r="O408"/>
      <c r="P408"/>
    </row>
    <row r="409" spans="2:16" x14ac:dyDescent="0.15">
      <c r="B409" s="16">
        <v>42678</v>
      </c>
      <c r="C409" s="29">
        <f t="array" ref="C409">SUMPRODUCT('ファンドデータ(変更不要)'!K409:P409,TRANSPOSE(戦略の決定!$D$13:$D$18))</f>
        <v>-8.2901715926303916E-3</v>
      </c>
      <c r="D409" s="29">
        <f t="array" ref="D409">SUMPRODUCT('ファンドデータ(変更不要)'!K409:P409,TRANSPOSE(戦略の決定!$E$13:$E$18))</f>
        <v>-9.2393024712080531E-3</v>
      </c>
      <c r="E409" s="29">
        <f t="array" ref="E409">SUMPRODUCT('ファンドデータ(変更不要)'!K409:P409,TRANSPOSE(戦略の決定!$F$13:$F$18))</f>
        <v>-9.2393024712080531E-3</v>
      </c>
      <c r="F409" s="183">
        <f t="shared" si="30"/>
        <v>1.7739493500658243</v>
      </c>
      <c r="G409" s="183">
        <f t="shared" si="31"/>
        <v>2.1188062121652838</v>
      </c>
      <c r="H409" s="75">
        <f t="shared" si="32"/>
        <v>2.1188062121652838</v>
      </c>
      <c r="J409"/>
      <c r="K409"/>
      <c r="L409"/>
      <c r="M409"/>
      <c r="N409"/>
      <c r="O409"/>
      <c r="P409"/>
    </row>
    <row r="410" spans="2:16" x14ac:dyDescent="0.15">
      <c r="B410" s="16">
        <v>42685</v>
      </c>
      <c r="C410" s="29">
        <f t="array" ref="C410">SUMPRODUCT('ファンドデータ(変更不要)'!K410:P410,TRANSPOSE(戦略の決定!$D$13:$D$18))</f>
        <v>6.0248988549128652E-3</v>
      </c>
      <c r="D410" s="29">
        <f t="array" ref="D410">SUMPRODUCT('ファンドデータ(変更不要)'!K410:P410,TRANSPOSE(戦略の決定!$E$13:$E$18))</f>
        <v>7.0134581167444771E-3</v>
      </c>
      <c r="E410" s="29">
        <f t="array" ref="E410">SUMPRODUCT('ファンドデータ(変更不要)'!K410:P410,TRANSPOSE(戦略の決定!$F$13:$F$18))</f>
        <v>7.0134581167444771E-3</v>
      </c>
      <c r="F410" s="183">
        <f t="shared" si="30"/>
        <v>1.7846372154737096</v>
      </c>
      <c r="G410" s="183">
        <f t="shared" si="31"/>
        <v>2.1336663707918029</v>
      </c>
      <c r="H410" s="75">
        <f t="shared" si="32"/>
        <v>2.1336663707918029</v>
      </c>
      <c r="J410"/>
      <c r="K410"/>
      <c r="L410"/>
      <c r="M410"/>
      <c r="N410"/>
      <c r="O410"/>
      <c r="P410"/>
    </row>
    <row r="411" spans="2:16" x14ac:dyDescent="0.15">
      <c r="B411" s="16">
        <v>42692</v>
      </c>
      <c r="C411" s="29">
        <f t="array" ref="C411">SUMPRODUCT('ファンドデータ(変更不要)'!K411:P411,TRANSPOSE(戦略の決定!$D$13:$D$18))</f>
        <v>7.5993938463807514E-3</v>
      </c>
      <c r="D411" s="29">
        <f t="array" ref="D411">SUMPRODUCT('ファンドデータ(変更不要)'!K411:P411,TRANSPOSE(戦略の決定!$E$13:$E$18))</f>
        <v>8.3056461631522936E-3</v>
      </c>
      <c r="E411" s="29">
        <f t="array" ref="E411">SUMPRODUCT('ファンドデータ(変更不要)'!K411:P411,TRANSPOSE(戦略の決定!$F$13:$F$18))</f>
        <v>8.3056461631522936E-3</v>
      </c>
      <c r="F411" s="183">
        <f t="shared" si="30"/>
        <v>1.7981993765470026</v>
      </c>
      <c r="G411" s="183">
        <f t="shared" si="31"/>
        <v>2.1513878486978171</v>
      </c>
      <c r="H411" s="75">
        <f t="shared" si="32"/>
        <v>2.1513878486978171</v>
      </c>
      <c r="J411"/>
      <c r="K411"/>
      <c r="L411"/>
      <c r="M411"/>
      <c r="N411"/>
      <c r="O411"/>
      <c r="P411"/>
    </row>
    <row r="412" spans="2:16" x14ac:dyDescent="0.15">
      <c r="B412" s="16">
        <v>42699</v>
      </c>
      <c r="C412" s="29">
        <f t="array" ref="C412">SUMPRODUCT('ファンドデータ(変更不要)'!K412:P412,TRANSPOSE(戦略の決定!$D$13:$D$18))</f>
        <v>1.4598791886017358E-2</v>
      </c>
      <c r="D412" s="29">
        <f t="array" ref="D412">SUMPRODUCT('ファンドデータ(変更不要)'!K412:P412,TRANSPOSE(戦略の決定!$E$13:$E$18))</f>
        <v>1.6179126803668849E-2</v>
      </c>
      <c r="E412" s="29">
        <f t="array" ref="E412">SUMPRODUCT('ファンドデータ(変更不要)'!K412:P412,TRANSPOSE(戦略の決定!$F$13:$F$18))</f>
        <v>1.6179126803668849E-2</v>
      </c>
      <c r="F412" s="183">
        <f t="shared" si="30"/>
        <v>1.8244509150147783</v>
      </c>
      <c r="G412" s="183">
        <f t="shared" si="31"/>
        <v>2.1861954255057712</v>
      </c>
      <c r="H412" s="75">
        <f t="shared" si="32"/>
        <v>2.1861954255057712</v>
      </c>
      <c r="J412"/>
      <c r="K412"/>
      <c r="L412"/>
      <c r="M412"/>
      <c r="N412"/>
      <c r="O412"/>
      <c r="P412"/>
    </row>
    <row r="413" spans="2:16" x14ac:dyDescent="0.15">
      <c r="B413" s="16">
        <v>42706</v>
      </c>
      <c r="C413" s="29">
        <f t="array" ref="C413">SUMPRODUCT('ファンドデータ(変更不要)'!K413:P413,TRANSPOSE(戦略の決定!$D$13:$D$18))</f>
        <v>6.9524114920530636E-3</v>
      </c>
      <c r="D413" s="29">
        <f t="array" ref="D413">SUMPRODUCT('ファンドデータ(変更不要)'!K413:P413,TRANSPOSE(戦略の決定!$E$13:$E$18))</f>
        <v>1.1500130151508922E-2</v>
      </c>
      <c r="E413" s="29">
        <f t="array" ref="E413">SUMPRODUCT('ファンドデータ(変更不要)'!K413:P413,TRANSPOSE(戦略の決定!$F$13:$F$18))</f>
        <v>1.1500130151508922E-2</v>
      </c>
      <c r="F413" s="183">
        <f t="shared" si="30"/>
        <v>1.8371352485230139</v>
      </c>
      <c r="G413" s="183">
        <f t="shared" si="31"/>
        <v>2.2113369574357211</v>
      </c>
      <c r="H413" s="75">
        <f t="shared" si="32"/>
        <v>2.2113369574357211</v>
      </c>
      <c r="J413"/>
      <c r="K413"/>
      <c r="L413"/>
      <c r="M413"/>
      <c r="N413"/>
      <c r="O413"/>
      <c r="P413"/>
    </row>
    <row r="414" spans="2:16" x14ac:dyDescent="0.15">
      <c r="B414" s="16">
        <v>42713</v>
      </c>
      <c r="C414" s="29">
        <f t="array" ref="C414">SUMPRODUCT('ファンドデータ(変更不要)'!K414:P414,TRANSPOSE(戦略の決定!$D$13:$D$18))</f>
        <v>5.4907533867843824E-3</v>
      </c>
      <c r="D414" s="29">
        <f t="array" ref="D414">SUMPRODUCT('ファンドデータ(変更不要)'!K414:P414,TRANSPOSE(戦略の決定!$E$13:$E$18))</f>
        <v>6.4113136927795699E-3</v>
      </c>
      <c r="E414" s="29">
        <f t="array" ref="E414">SUMPRODUCT('ファンドデータ(変更不要)'!K414:P414,TRANSPOSE(戦略の決定!$F$13:$F$18))</f>
        <v>6.4113136927795699E-3</v>
      </c>
      <c r="F414" s="183">
        <f t="shared" si="30"/>
        <v>1.8472225051108224</v>
      </c>
      <c r="G414" s="183">
        <f t="shared" si="31"/>
        <v>2.2255145323502781</v>
      </c>
      <c r="H414" s="75">
        <f t="shared" si="32"/>
        <v>2.2255145323502781</v>
      </c>
      <c r="J414"/>
      <c r="K414"/>
      <c r="L414"/>
      <c r="M414"/>
      <c r="N414"/>
      <c r="O414"/>
      <c r="P414"/>
    </row>
    <row r="415" spans="2:16" x14ac:dyDescent="0.15">
      <c r="B415" s="16">
        <v>42720</v>
      </c>
      <c r="C415" s="29">
        <f t="array" ref="C415">SUMPRODUCT('ファンドデータ(変更不要)'!K415:P415,TRANSPOSE(戦略の決定!$D$13:$D$18))</f>
        <v>1.0957141684809716E-2</v>
      </c>
      <c r="D415" s="29">
        <f t="array" ref="D415">SUMPRODUCT('ファンドデータ(変更不要)'!K415:P415,TRANSPOSE(戦略の決定!$E$13:$E$18))</f>
        <v>1.2053873094505469E-2</v>
      </c>
      <c r="E415" s="29">
        <f t="array" ref="E415">SUMPRODUCT('ファンドデータ(変更不要)'!K415:P415,TRANSPOSE(戦略の決定!$F$13:$F$18))</f>
        <v>1.2053873094505469E-2</v>
      </c>
      <c r="F415" s="183">
        <f t="shared" si="30"/>
        <v>1.8674627838226909</v>
      </c>
      <c r="G415" s="183">
        <f t="shared" si="31"/>
        <v>2.2523406020932062</v>
      </c>
      <c r="H415" s="75">
        <f t="shared" si="32"/>
        <v>2.2523406020932062</v>
      </c>
      <c r="J415"/>
      <c r="K415"/>
      <c r="L415"/>
      <c r="M415"/>
      <c r="N415"/>
      <c r="O415"/>
      <c r="P415"/>
    </row>
    <row r="416" spans="2:16" x14ac:dyDescent="0.15">
      <c r="B416" s="16">
        <v>42727</v>
      </c>
      <c r="C416" s="29">
        <f t="array" ref="C416">SUMPRODUCT('ファンドデータ(変更不要)'!K416:P416,TRANSPOSE(戦略の決定!$D$13:$D$18))</f>
        <v>2.5923727190544201E-3</v>
      </c>
      <c r="D416" s="29">
        <f t="array" ref="D416">SUMPRODUCT('ファンドデータ(変更不要)'!K416:P416,TRANSPOSE(戦略の決定!$E$13:$E$18))</f>
        <v>3.853846783933973E-3</v>
      </c>
      <c r="E416" s="29">
        <f t="array" ref="E416">SUMPRODUCT('ファンドデータ(変更不要)'!K416:P416,TRANSPOSE(戦略の決定!$F$13:$F$18))</f>
        <v>3.853846783933973E-3</v>
      </c>
      <c r="F416" s="183">
        <f t="shared" si="30"/>
        <v>1.8723039433973223</v>
      </c>
      <c r="G416" s="183">
        <f t="shared" si="31"/>
        <v>2.2610207776789069</v>
      </c>
      <c r="H416" s="75">
        <f t="shared" si="32"/>
        <v>2.2610207776789069</v>
      </c>
      <c r="J416"/>
      <c r="K416"/>
      <c r="L416"/>
      <c r="M416"/>
      <c r="N416"/>
      <c r="O416"/>
      <c r="P416"/>
    </row>
    <row r="417" spans="2:16" x14ac:dyDescent="0.15">
      <c r="B417" s="16">
        <v>42734</v>
      </c>
      <c r="C417" s="29">
        <f t="array" ref="C417">SUMPRODUCT('ファンドデータ(変更不要)'!K417:P417,TRANSPOSE(戦略の決定!$D$13:$D$18))</f>
        <v>4.212747113246082E-3</v>
      </c>
      <c r="D417" s="29">
        <f t="array" ref="D417">SUMPRODUCT('ファンドデータ(変更不要)'!K417:P417,TRANSPOSE(戦略の決定!$E$13:$E$18))</f>
        <v>1.0413092948253773E-2</v>
      </c>
      <c r="E417" s="29">
        <f t="array" ref="E417">SUMPRODUCT('ファンドデータ(変更不要)'!K417:P417,TRANSPOSE(戦略の決定!$F$13:$F$18))</f>
        <v>1.0413092948253773E-2</v>
      </c>
      <c r="F417" s="183">
        <f t="shared" si="30"/>
        <v>1.8801914864299885</v>
      </c>
      <c r="G417" s="183">
        <f t="shared" si="31"/>
        <v>2.2845649971948103</v>
      </c>
      <c r="H417" s="75">
        <f t="shared" si="32"/>
        <v>2.2845649971948103</v>
      </c>
      <c r="J417"/>
      <c r="K417"/>
      <c r="L417"/>
      <c r="M417"/>
      <c r="N417"/>
      <c r="O417"/>
      <c r="P417"/>
    </row>
    <row r="418" spans="2:16" x14ac:dyDescent="0.15">
      <c r="B418" s="16">
        <v>42741</v>
      </c>
      <c r="C418" s="29">
        <f t="array" ref="C418">SUMPRODUCT('ファンドデータ(変更不要)'!K418:P418,TRANSPOSE(戦略の決定!$D$13:$D$18))</f>
        <v>9.4015649922761144E-4</v>
      </c>
      <c r="D418" s="29">
        <f t="array" ref="D418">SUMPRODUCT('ファンドデータ(変更不要)'!K418:P418,TRANSPOSE(戦略の決定!$E$13:$E$18))</f>
        <v>1.2530902697605792E-3</v>
      </c>
      <c r="E418" s="29">
        <f t="array" ref="E418">SUMPRODUCT('ファンドデータ(変更不要)'!K418:P418,TRANSPOSE(戦略の決定!$F$13:$F$18))</f>
        <v>1.2530902697605792E-3</v>
      </c>
      <c r="F418" s="183">
        <f t="shared" si="30"/>
        <v>1.8819591606757478</v>
      </c>
      <c r="G418" s="183">
        <f t="shared" si="31"/>
        <v>2.2874277633634308</v>
      </c>
      <c r="H418" s="75">
        <f t="shared" si="32"/>
        <v>2.2874277633634308</v>
      </c>
      <c r="J418"/>
      <c r="K418"/>
      <c r="L418"/>
      <c r="M418"/>
      <c r="N418"/>
      <c r="O418"/>
      <c r="P418"/>
    </row>
    <row r="419" spans="2:16" x14ac:dyDescent="0.15">
      <c r="B419" s="16">
        <v>42748</v>
      </c>
      <c r="C419" s="29">
        <f t="array" ref="C419">SUMPRODUCT('ファンドデータ(変更不要)'!K419:P419,TRANSPOSE(戦略の決定!$D$13:$D$18))</f>
        <v>-5.8108503967477304E-3</v>
      </c>
      <c r="D419" s="29">
        <f t="array" ref="D419">SUMPRODUCT('ファンドデータ(変更不要)'!K419:P419,TRANSPOSE(戦略の決定!$E$13:$E$18))</f>
        <v>-8.0585904548119633E-3</v>
      </c>
      <c r="E419" s="29">
        <f t="array" ref="E419">SUMPRODUCT('ファンドデータ(変更不要)'!K419:P419,TRANSPOSE(戦略の決定!$F$13:$F$18))</f>
        <v>-8.0585904548119633E-3</v>
      </c>
      <c r="F419" s="183">
        <f t="shared" si="30"/>
        <v>1.871023377540272</v>
      </c>
      <c r="G419" s="183">
        <f t="shared" si="31"/>
        <v>2.2689943198235185</v>
      </c>
      <c r="H419" s="75">
        <f t="shared" si="32"/>
        <v>2.2689943198235185</v>
      </c>
      <c r="J419"/>
      <c r="K419"/>
      <c r="L419"/>
      <c r="M419"/>
      <c r="N419"/>
      <c r="O419"/>
      <c r="P419"/>
    </row>
    <row r="420" spans="2:16" x14ac:dyDescent="0.15">
      <c r="B420" s="16">
        <v>42755</v>
      </c>
      <c r="C420" s="29">
        <f t="array" ref="C420">SUMPRODUCT('ファンドデータ(変更不要)'!K420:P420,TRANSPOSE(戦略の決定!$D$13:$D$18))</f>
        <v>-2.0164774551241467E-3</v>
      </c>
      <c r="D420" s="29">
        <f t="array" ref="D420">SUMPRODUCT('ファンドデータ(変更不要)'!K420:P420,TRANSPOSE(戦略の決定!$E$13:$E$18))</f>
        <v>-9.9882546045972141E-4</v>
      </c>
      <c r="E420" s="29">
        <f t="array" ref="E420">SUMPRODUCT('ファンドデータ(変更不要)'!K420:P420,TRANSPOSE(戦略の決定!$F$13:$F$18))</f>
        <v>-9.9882546045972141E-4</v>
      </c>
      <c r="F420" s="183">
        <f t="shared" si="30"/>
        <v>1.867250501081452</v>
      </c>
      <c r="G420" s="183">
        <f t="shared" si="31"/>
        <v>2.2667279905272402</v>
      </c>
      <c r="H420" s="75">
        <f t="shared" si="32"/>
        <v>2.2667279905272402</v>
      </c>
      <c r="J420"/>
      <c r="K420"/>
      <c r="L420"/>
      <c r="M420"/>
      <c r="N420"/>
      <c r="O420"/>
      <c r="P420"/>
    </row>
    <row r="421" spans="2:16" x14ac:dyDescent="0.15">
      <c r="B421" s="16">
        <v>42762</v>
      </c>
      <c r="C421" s="29">
        <f t="array" ref="C421">SUMPRODUCT('ファンドデータ(変更不要)'!K421:P421,TRANSPOSE(戦略の決定!$D$13:$D$18))</f>
        <v>1.0907000286366248E-3</v>
      </c>
      <c r="D421" s="29">
        <f t="array" ref="D421">SUMPRODUCT('ファンドデータ(変更不要)'!K421:P421,TRANSPOSE(戦略の決定!$E$13:$E$18))</f>
        <v>2.533570519732123E-3</v>
      </c>
      <c r="E421" s="29">
        <f t="array" ref="E421">SUMPRODUCT('ファンドデータ(変更不要)'!K421:P421,TRANSPOSE(戦略の決定!$F$13:$F$18))</f>
        <v>2.533570519732123E-3</v>
      </c>
      <c r="F421" s="183">
        <f t="shared" si="30"/>
        <v>1.8692871112564533</v>
      </c>
      <c r="G421" s="183">
        <f t="shared" si="31"/>
        <v>2.2724709057402914</v>
      </c>
      <c r="H421" s="75">
        <f t="shared" si="32"/>
        <v>2.2724709057402914</v>
      </c>
      <c r="J421"/>
      <c r="K421"/>
      <c r="L421"/>
      <c r="M421"/>
      <c r="N421"/>
      <c r="O421"/>
      <c r="P421"/>
    </row>
    <row r="422" spans="2:16" x14ac:dyDescent="0.15">
      <c r="B422" s="16">
        <v>42769</v>
      </c>
      <c r="C422" s="29">
        <f t="array" ref="C422">SUMPRODUCT('ファンドデータ(変更不要)'!K422:P422,TRANSPOSE(戦略の決定!$D$13:$D$18))</f>
        <v>-9.5068285324484657E-3</v>
      </c>
      <c r="D422" s="29">
        <f t="array" ref="D422">SUMPRODUCT('ファンドデータ(変更不要)'!K422:P422,TRANSPOSE(戦略の決定!$E$13:$E$18))</f>
        <v>-1.0116777882030885E-2</v>
      </c>
      <c r="E422" s="29">
        <f t="array" ref="E422">SUMPRODUCT('ファンドデータ(変更不要)'!K422:P422,TRANSPOSE(戦略の決定!$F$13:$F$18))</f>
        <v>-1.0116777882030885E-2</v>
      </c>
      <c r="F422" s="183">
        <f t="shared" si="30"/>
        <v>1.8515161192118224</v>
      </c>
      <c r="G422" s="183">
        <f t="shared" si="31"/>
        <v>2.2494808223435392</v>
      </c>
      <c r="H422" s="75">
        <f t="shared" si="32"/>
        <v>2.2494808223435392</v>
      </c>
      <c r="J422"/>
      <c r="K422"/>
      <c r="L422"/>
      <c r="M422"/>
      <c r="N422"/>
      <c r="O422"/>
      <c r="P422"/>
    </row>
    <row r="423" spans="2:16" x14ac:dyDescent="0.15">
      <c r="B423" s="16">
        <v>42776</v>
      </c>
      <c r="C423" s="29">
        <f t="array" ref="C423">SUMPRODUCT('ファンドデータ(変更不要)'!K423:P423,TRANSPOSE(戦略の決定!$D$13:$D$18))</f>
        <v>3.2661730546680811E-3</v>
      </c>
      <c r="D423" s="29">
        <f t="array" ref="D423">SUMPRODUCT('ファンドデータ(変更不要)'!K423:P423,TRANSPOSE(戦略の決定!$E$13:$E$18))</f>
        <v>1.0356600042624956E-4</v>
      </c>
      <c r="E423" s="29">
        <f t="array" ref="E423">SUMPRODUCT('ファンドデータ(変更不要)'!K423:P423,TRANSPOSE(戦略の決定!$F$13:$F$18))</f>
        <v>1.0356600042624956E-4</v>
      </c>
      <c r="F423" s="183">
        <f t="shared" si="30"/>
        <v>1.8575634912706758</v>
      </c>
      <c r="G423" s="183">
        <f t="shared" si="31"/>
        <v>2.2497137920753447</v>
      </c>
      <c r="H423" s="75">
        <f t="shared" si="32"/>
        <v>2.2497137920753447</v>
      </c>
      <c r="J423"/>
      <c r="K423"/>
      <c r="L423"/>
      <c r="M423"/>
      <c r="N423"/>
      <c r="O423"/>
      <c r="P423"/>
    </row>
    <row r="424" spans="2:16" x14ac:dyDescent="0.15">
      <c r="B424" s="16">
        <v>42783</v>
      </c>
      <c r="C424" s="29">
        <f t="array" ref="C424">SUMPRODUCT('ファンドデータ(変更不要)'!K424:P424,TRANSPOSE(戦略の決定!$D$13:$D$18))</f>
        <v>-3.4670264791755523E-3</v>
      </c>
      <c r="D424" s="29">
        <f t="array" ref="D424">SUMPRODUCT('ファンドデータ(変更不要)'!K424:P424,TRANSPOSE(戦略の決定!$E$13:$E$18))</f>
        <v>-2.512030847735955E-3</v>
      </c>
      <c r="E424" s="29">
        <f t="array" ref="E424">SUMPRODUCT('ファンドデータ(変更不要)'!K424:P424,TRANSPOSE(戦略の決定!$F$13:$F$18))</f>
        <v>-2.512030847735955E-3</v>
      </c>
      <c r="F424" s="183">
        <f t="shared" si="30"/>
        <v>1.8511232694596906</v>
      </c>
      <c r="G424" s="183">
        <f t="shared" si="31"/>
        <v>2.2440624416310744</v>
      </c>
      <c r="H424" s="75">
        <f t="shared" si="32"/>
        <v>2.2440624416310744</v>
      </c>
      <c r="J424"/>
      <c r="K424"/>
      <c r="L424"/>
      <c r="M424"/>
      <c r="N424"/>
      <c r="O424"/>
      <c r="P424"/>
    </row>
    <row r="425" spans="2:16" x14ac:dyDescent="0.15">
      <c r="B425" s="16">
        <v>42790</v>
      </c>
      <c r="C425" s="29">
        <f t="array" ref="C425">SUMPRODUCT('ファンドデータ(変更不要)'!K425:P425,TRANSPOSE(戦略の決定!$D$13:$D$18))</f>
        <v>5.8377375225772228E-3</v>
      </c>
      <c r="D425" s="29">
        <f t="array" ref="D425">SUMPRODUCT('ファンドデータ(変更不要)'!K425:P425,TRANSPOSE(戦略の決定!$E$13:$E$18))</f>
        <v>1.0206389375604766E-2</v>
      </c>
      <c r="E425" s="29">
        <f t="array" ref="E425">SUMPRODUCT('ファンドデータ(変更不要)'!K425:P425,TRANSPOSE(戦略の決定!$F$13:$F$18))</f>
        <v>1.0206389375604766E-2</v>
      </c>
      <c r="F425" s="183">
        <f t="shared" si="30"/>
        <v>1.8619296412287314</v>
      </c>
      <c r="G425" s="183">
        <f t="shared" si="31"/>
        <v>2.2669662166935316</v>
      </c>
      <c r="H425" s="75">
        <f t="shared" si="32"/>
        <v>2.2669662166935316</v>
      </c>
      <c r="J425"/>
      <c r="K425"/>
      <c r="L425"/>
      <c r="M425"/>
      <c r="N425"/>
      <c r="O425"/>
      <c r="P425"/>
    </row>
    <row r="426" spans="2:16" x14ac:dyDescent="0.15">
      <c r="B426" s="16">
        <v>42797</v>
      </c>
      <c r="C426" s="29">
        <f t="array" ref="C426">SUMPRODUCT('ファンドデータ(変更不要)'!K426:P426,TRANSPOSE(戦略の決定!$D$13:$D$18))</f>
        <v>2.1442918981824633E-4</v>
      </c>
      <c r="D426" s="29">
        <f t="array" ref="D426">SUMPRODUCT('ファンドデータ(変更不要)'!K426:P426,TRANSPOSE(戦略の決定!$E$13:$E$18))</f>
        <v>-2.337735118928918E-3</v>
      </c>
      <c r="E426" s="29">
        <f t="array" ref="E426">SUMPRODUCT('ファンドデータ(変更不要)'!K426:P426,TRANSPOSE(戦略の決定!$F$13:$F$18))</f>
        <v>-2.337735118928918E-3</v>
      </c>
      <c r="F426" s="183">
        <f t="shared" si="30"/>
        <v>1.8623288932931987</v>
      </c>
      <c r="G426" s="183">
        <f t="shared" si="31"/>
        <v>2.261666650155342</v>
      </c>
      <c r="H426" s="75">
        <f t="shared" si="32"/>
        <v>2.261666650155342</v>
      </c>
      <c r="J426"/>
      <c r="K426"/>
      <c r="L426"/>
      <c r="M426"/>
      <c r="N426"/>
      <c r="O426"/>
      <c r="P426"/>
    </row>
    <row r="427" spans="2:16" x14ac:dyDescent="0.15">
      <c r="B427" s="16">
        <v>42804</v>
      </c>
      <c r="C427" s="29">
        <f t="array" ref="C427">SUMPRODUCT('ファンドデータ(変更不要)'!K427:P427,TRANSPOSE(戦略の決定!$D$13:$D$18))</f>
        <v>-1.7535076808792684E-3</v>
      </c>
      <c r="D427" s="29">
        <f t="array" ref="D427">SUMPRODUCT('ファンドデータ(変更不要)'!K427:P427,TRANSPOSE(戦略の決定!$E$13:$E$18))</f>
        <v>-4.4379289457309422E-3</v>
      </c>
      <c r="E427" s="29">
        <f t="array" ref="E427">SUMPRODUCT('ファンドデータ(変更不要)'!K427:P427,TRANSPOSE(戦略の決定!$F$13:$F$18))</f>
        <v>-4.4379289457309422E-3</v>
      </c>
      <c r="F427" s="183">
        <f t="shared" si="30"/>
        <v>1.8590632852744857</v>
      </c>
      <c r="G427" s="183">
        <f t="shared" si="31"/>
        <v>2.2516295342630235</v>
      </c>
      <c r="H427" s="75">
        <f t="shared" si="32"/>
        <v>2.2516295342630235</v>
      </c>
      <c r="J427"/>
      <c r="K427"/>
      <c r="L427"/>
      <c r="M427"/>
      <c r="N427"/>
      <c r="O427"/>
      <c r="P427"/>
    </row>
    <row r="428" spans="2:16" x14ac:dyDescent="0.15">
      <c r="B428" s="16">
        <v>42811</v>
      </c>
      <c r="C428" s="29">
        <f t="array" ref="C428">SUMPRODUCT('ファンドデータ(変更不要)'!K428:P428,TRANSPOSE(戦略の決定!$D$13:$D$18))</f>
        <v>1.3724620106766617E-3</v>
      </c>
      <c r="D428" s="29">
        <f t="array" ref="D428">SUMPRODUCT('ファンドデータ(変更不要)'!K428:P428,TRANSPOSE(戦略の決定!$E$13:$E$18))</f>
        <v>3.6882301183430929E-3</v>
      </c>
      <c r="E428" s="29">
        <f t="array" ref="E428">SUMPRODUCT('ファンドデータ(変更不要)'!K428:P428,TRANSPOSE(戦略の決定!$F$13:$F$18))</f>
        <v>3.6882301183430929E-3</v>
      </c>
      <c r="F428" s="183">
        <f t="shared" si="30"/>
        <v>1.8616147790089688</v>
      </c>
      <c r="G428" s="183">
        <f t="shared" si="31"/>
        <v>2.2599340621266433</v>
      </c>
      <c r="H428" s="75">
        <f t="shared" si="32"/>
        <v>2.2599340621266433</v>
      </c>
      <c r="J428"/>
      <c r="K428"/>
      <c r="L428"/>
      <c r="M428"/>
      <c r="N428"/>
      <c r="O428"/>
      <c r="P428"/>
    </row>
    <row r="429" spans="2:16" x14ac:dyDescent="0.15">
      <c r="B429" s="16">
        <v>42818</v>
      </c>
      <c r="C429" s="29">
        <f t="array" ref="C429">SUMPRODUCT('ファンドデータ(変更不要)'!K429:P429,TRANSPOSE(戦略の決定!$D$13:$D$18))</f>
        <v>-9.0484684824595971E-3</v>
      </c>
      <c r="D429" s="29">
        <f t="array" ref="D429">SUMPRODUCT('ファンドデータ(変更不要)'!K429:P429,TRANSPOSE(戦略の決定!$E$13:$E$18))</f>
        <v>-1.2044775744633262E-2</v>
      </c>
      <c r="E429" s="29">
        <f t="array" ref="E429">SUMPRODUCT('ファンドデータ(変更不要)'!K429:P429,TRANSPOSE(戦略の決定!$F$13:$F$18))</f>
        <v>-1.2044775744633262E-2</v>
      </c>
      <c r="F429" s="183">
        <f t="shared" si="30"/>
        <v>1.8447700163546252</v>
      </c>
      <c r="G429" s="183">
        <f t="shared" si="31"/>
        <v>2.2327136631506699</v>
      </c>
      <c r="H429" s="75">
        <f t="shared" si="32"/>
        <v>2.2327136631506699</v>
      </c>
      <c r="J429"/>
      <c r="K429"/>
      <c r="L429"/>
      <c r="M429"/>
      <c r="N429"/>
      <c r="O429"/>
      <c r="P429"/>
    </row>
    <row r="430" spans="2:16" x14ac:dyDescent="0.15">
      <c r="B430" s="16">
        <v>42825</v>
      </c>
      <c r="C430" s="29">
        <f t="array" ref="C430">SUMPRODUCT('ファンドデータ(変更不要)'!K430:P430,TRANSPOSE(戦略の決定!$D$13:$D$18))</f>
        <v>1.4967928713259535E-3</v>
      </c>
      <c r="D430" s="29">
        <f t="array" ref="D430">SUMPRODUCT('ファンドデータ(変更不要)'!K430:P430,TRANSPOSE(戦略の決定!$E$13:$E$18))</f>
        <v>3.3614430506644392E-3</v>
      </c>
      <c r="E430" s="29">
        <f t="array" ref="E430">SUMPRODUCT('ファンドデータ(変更不要)'!K430:P430,TRANSPOSE(戦略の決定!$F$13:$F$18))</f>
        <v>3.3614430506644392E-3</v>
      </c>
      <c r="F430" s="183">
        <f t="shared" si="30"/>
        <v>1.8475312549643406</v>
      </c>
      <c r="G430" s="183">
        <f t="shared" si="31"/>
        <v>2.2402188029777914</v>
      </c>
      <c r="H430" s="75">
        <f t="shared" si="32"/>
        <v>2.2402188029777914</v>
      </c>
      <c r="J430"/>
      <c r="K430"/>
      <c r="L430"/>
      <c r="M430"/>
      <c r="N430"/>
      <c r="O430"/>
      <c r="P430"/>
    </row>
    <row r="431" spans="2:16" x14ac:dyDescent="0.15">
      <c r="B431" s="16">
        <v>42832</v>
      </c>
      <c r="C431" s="29">
        <f t="array" ref="C431">SUMPRODUCT('ファンドデータ(変更不要)'!K431:P431,TRANSPOSE(戦略の決定!$D$13:$D$18))</f>
        <v>-5.0891626238781639E-3</v>
      </c>
      <c r="D431" s="29">
        <f t="array" ref="D431">SUMPRODUCT('ファンドデータ(変更不要)'!K431:P431,TRANSPOSE(戦略の決定!$E$13:$E$18))</f>
        <v>-5.469004025267509E-3</v>
      </c>
      <c r="E431" s="29">
        <f t="array" ref="E431">SUMPRODUCT('ファンドデータ(変更不要)'!K431:P431,TRANSPOSE(戦略の決定!$F$13:$F$18))</f>
        <v>-5.469004025267509E-3</v>
      </c>
      <c r="F431" s="183">
        <f t="shared" si="30"/>
        <v>1.8381288679551293</v>
      </c>
      <c r="G431" s="183">
        <f t="shared" si="31"/>
        <v>2.2279670373268261</v>
      </c>
      <c r="H431" s="75">
        <f t="shared" si="32"/>
        <v>2.2279670373268261</v>
      </c>
      <c r="J431"/>
      <c r="K431"/>
      <c r="L431"/>
      <c r="M431"/>
      <c r="N431"/>
      <c r="O431"/>
      <c r="P431"/>
    </row>
    <row r="432" spans="2:16" x14ac:dyDescent="0.15">
      <c r="B432" s="16">
        <v>42839</v>
      </c>
      <c r="C432" s="29">
        <f t="array" ref="C432">SUMPRODUCT('ファンドデータ(変更不要)'!K432:P432,TRANSPOSE(戦略の決定!$D$13:$D$18))</f>
        <v>-1.2208352817328984E-2</v>
      </c>
      <c r="D432" s="29">
        <f t="array" ref="D432">SUMPRODUCT('ファンドデータ(変更不要)'!K432:P432,TRANSPOSE(戦略の決定!$E$13:$E$18))</f>
        <v>-1.8069930464933597E-2</v>
      </c>
      <c r="E432" s="29">
        <f t="array" ref="E432">SUMPRODUCT('ファンドデータ(変更不要)'!K432:P432,TRANSPOSE(戦略の決定!$F$13:$F$18))</f>
        <v>-1.8069930464933597E-2</v>
      </c>
      <c r="F432" s="183">
        <f t="shared" si="30"/>
        <v>1.8156883422114156</v>
      </c>
      <c r="G432" s="183">
        <f t="shared" si="31"/>
        <v>2.1877078278841662</v>
      </c>
      <c r="H432" s="75">
        <f t="shared" si="32"/>
        <v>2.1877078278841662</v>
      </c>
      <c r="J432"/>
      <c r="K432"/>
      <c r="L432"/>
      <c r="M432"/>
      <c r="N432"/>
      <c r="O432"/>
      <c r="P432"/>
    </row>
    <row r="433" spans="2:16" x14ac:dyDescent="0.15">
      <c r="B433" s="16">
        <v>42846</v>
      </c>
      <c r="C433" s="29">
        <f t="array" ref="C433">SUMPRODUCT('ファンドデータ(変更不要)'!K433:P433,TRANSPOSE(戦略の決定!$D$13:$D$18))</f>
        <v>6.9191454879425135E-3</v>
      </c>
      <c r="D433" s="29">
        <f t="array" ref="D433">SUMPRODUCT('ファンドデータ(変更不要)'!K433:P433,TRANSPOSE(戦略の決定!$E$13:$E$18))</f>
        <v>8.5301230182462436E-3</v>
      </c>
      <c r="E433" s="29">
        <f t="array" ref="E433">SUMPRODUCT('ファンドデータ(変更不要)'!K433:P433,TRANSPOSE(戦略の決定!$F$13:$F$18))</f>
        <v>8.5301230182462436E-3</v>
      </c>
      <c r="F433" s="183">
        <f t="shared" si="30"/>
        <v>1.8282513540119374</v>
      </c>
      <c r="G433" s="183">
        <f t="shared" si="31"/>
        <v>2.2063692447839984</v>
      </c>
      <c r="H433" s="75">
        <f t="shared" si="32"/>
        <v>2.2063692447839984</v>
      </c>
      <c r="J433"/>
      <c r="K433"/>
      <c r="L433"/>
      <c r="M433"/>
      <c r="N433"/>
      <c r="O433"/>
      <c r="P433"/>
    </row>
    <row r="434" spans="2:16" x14ac:dyDescent="0.15">
      <c r="B434" s="16">
        <v>42853</v>
      </c>
      <c r="C434" s="29">
        <f t="array" ref="C434">SUMPRODUCT('ファンドデータ(変更不要)'!K434:P434,TRANSPOSE(戦略の決定!$D$13:$D$18))</f>
        <v>1.0178643095611204E-2</v>
      </c>
      <c r="D434" s="29">
        <f t="array" ref="D434">SUMPRODUCT('ファンドデータ(変更不要)'!K434:P434,TRANSPOSE(戦略の決定!$E$13:$E$18))</f>
        <v>8.8237248019727432E-3</v>
      </c>
      <c r="E434" s="29">
        <f t="array" ref="E434">SUMPRODUCT('ファンドデータ(変更不要)'!K434:P434,TRANSPOSE(戦略の決定!$F$13:$F$18))</f>
        <v>8.8237248019727432E-3</v>
      </c>
      <c r="F434" s="183">
        <f t="shared" si="30"/>
        <v>1.8468604720334929</v>
      </c>
      <c r="G434" s="183">
        <f t="shared" si="31"/>
        <v>2.225837639811509</v>
      </c>
      <c r="H434" s="75">
        <f t="shared" si="32"/>
        <v>2.225837639811509</v>
      </c>
      <c r="J434"/>
      <c r="K434"/>
      <c r="L434"/>
      <c r="M434"/>
      <c r="N434"/>
      <c r="O434"/>
      <c r="P434"/>
    </row>
    <row r="435" spans="2:16" x14ac:dyDescent="0.15">
      <c r="B435" s="16">
        <v>42860</v>
      </c>
      <c r="C435" s="29">
        <f t="array" ref="C435">SUMPRODUCT('ファンドデータ(変更不要)'!K435:P435,TRANSPOSE(戦略の決定!$D$13:$D$18))</f>
        <v>5.7605457671216619E-3</v>
      </c>
      <c r="D435" s="29">
        <f t="array" ref="D435">SUMPRODUCT('ファンドデータ(変更不要)'!K435:P435,TRANSPOSE(戦略の決定!$E$13:$E$18))</f>
        <v>6.9742333122060612E-3</v>
      </c>
      <c r="E435" s="29">
        <f t="array" ref="E435">SUMPRODUCT('ファンドデータ(変更不要)'!K435:P435,TRANSPOSE(戦略の決定!$F$13:$F$18))</f>
        <v>6.9742333122060612E-3</v>
      </c>
      <c r="F435" s="183">
        <f t="shared" si="30"/>
        <v>1.8574993963081299</v>
      </c>
      <c r="G435" s="183">
        <f t="shared" si="31"/>
        <v>2.2413611508266444</v>
      </c>
      <c r="H435" s="75">
        <f t="shared" si="32"/>
        <v>2.2413611508266444</v>
      </c>
      <c r="J435"/>
      <c r="K435"/>
      <c r="L435"/>
      <c r="M435"/>
      <c r="N435"/>
      <c r="O435"/>
      <c r="P435"/>
    </row>
    <row r="436" spans="2:16" x14ac:dyDescent="0.15">
      <c r="B436" s="16">
        <v>42867</v>
      </c>
      <c r="C436" s="29">
        <f t="array" ref="C436">SUMPRODUCT('ファンドデータ(変更不要)'!K436:P436,TRANSPOSE(戦略の決定!$D$13:$D$18))</f>
        <v>7.423216855655803E-3</v>
      </c>
      <c r="D436" s="29">
        <f t="array" ref="D436">SUMPRODUCT('ファンドデータ(変更不要)'!K436:P436,TRANSPOSE(戦略の決定!$E$13:$E$18))</f>
        <v>8.6329326923743066E-3</v>
      </c>
      <c r="E436" s="29">
        <f t="array" ref="E436">SUMPRODUCT('ファンドデータ(変更不要)'!K436:P436,TRANSPOSE(戦略の決定!$F$13:$F$18))</f>
        <v>8.6329326923743066E-3</v>
      </c>
      <c r="F436" s="183">
        <f t="shared" si="30"/>
        <v>1.871288017136175</v>
      </c>
      <c r="G436" s="183">
        <f t="shared" si="31"/>
        <v>2.2607106707810338</v>
      </c>
      <c r="H436" s="75">
        <f t="shared" si="32"/>
        <v>2.2607106707810338</v>
      </c>
      <c r="J436"/>
      <c r="K436"/>
      <c r="L436"/>
      <c r="M436"/>
      <c r="N436"/>
      <c r="O436"/>
      <c r="P436"/>
    </row>
    <row r="437" spans="2:16" x14ac:dyDescent="0.15">
      <c r="B437" s="16">
        <v>42874</v>
      </c>
      <c r="C437" s="29">
        <f t="array" ref="C437">SUMPRODUCT('ファンドデータ(変更不要)'!K437:P437,TRANSPOSE(戦略の決定!$D$13:$D$18))</f>
        <v>-4.5640363486103234E-3</v>
      </c>
      <c r="D437" s="29">
        <f t="array" ref="D437">SUMPRODUCT('ファンドデータ(変更不要)'!K437:P437,TRANSPOSE(戦略の決定!$E$13:$E$18))</f>
        <v>-6.327056629096185E-3</v>
      </c>
      <c r="E437" s="29">
        <f t="array" ref="E437">SUMPRODUCT('ファンドデータ(変更不要)'!K437:P437,TRANSPOSE(戦略の決定!$F$13:$F$18))</f>
        <v>-6.327056629096185E-3</v>
      </c>
      <c r="F437" s="183">
        <f t="shared" si="30"/>
        <v>1.8627473906072465</v>
      </c>
      <c r="G437" s="183">
        <f t="shared" si="31"/>
        <v>2.2464070263450004</v>
      </c>
      <c r="H437" s="75">
        <f t="shared" si="32"/>
        <v>2.2464070263450004</v>
      </c>
      <c r="J437"/>
      <c r="K437"/>
      <c r="L437"/>
      <c r="M437"/>
      <c r="N437"/>
      <c r="O437"/>
      <c r="P437"/>
    </row>
    <row r="438" spans="2:16" x14ac:dyDescent="0.15">
      <c r="B438" s="16">
        <v>42881</v>
      </c>
      <c r="C438" s="29">
        <f t="array" ref="C438">SUMPRODUCT('ファンドデータ(変更不要)'!K438:P438,TRANSPOSE(戦略の決定!$D$13:$D$18))</f>
        <v>4.274242871617857E-3</v>
      </c>
      <c r="D438" s="29">
        <f t="array" ref="D438">SUMPRODUCT('ファンドデータ(変更不要)'!K438:P438,TRANSPOSE(戦略の決定!$E$13:$E$18))</f>
        <v>5.4319923293577582E-3</v>
      </c>
      <c r="E438" s="29">
        <f t="array" ref="E438">SUMPRODUCT('ファンドデータ(変更不要)'!K438:P438,TRANSPOSE(戦略の決定!$F$13:$F$18))</f>
        <v>5.4319923293577582E-3</v>
      </c>
      <c r="F438" s="183">
        <f t="shared" si="30"/>
        <v>1.8707092253631743</v>
      </c>
      <c r="G438" s="183">
        <f t="shared" si="31"/>
        <v>2.2586094920807218</v>
      </c>
      <c r="H438" s="75">
        <f t="shared" si="32"/>
        <v>2.2586094920807218</v>
      </c>
      <c r="J438"/>
      <c r="K438"/>
      <c r="L438"/>
      <c r="M438"/>
      <c r="N438"/>
      <c r="O438"/>
      <c r="P438"/>
    </row>
    <row r="439" spans="2:16" x14ac:dyDescent="0.15">
      <c r="B439" s="16">
        <v>42888</v>
      </c>
      <c r="C439" s="29">
        <f t="array" ref="C439">SUMPRODUCT('ファンドデータ(変更不要)'!K439:P439,TRANSPOSE(戦略の決定!$D$13:$D$18))</f>
        <v>3.2508975860568367E-3</v>
      </c>
      <c r="D439" s="29">
        <f t="array" ref="D439">SUMPRODUCT('ファンドデータ(変更不要)'!K439:P439,TRANSPOSE(戦略の決定!$E$13:$E$18))</f>
        <v>2.485408812122713E-3</v>
      </c>
      <c r="E439" s="29">
        <f t="array" ref="E439">SUMPRODUCT('ファンドデータ(変更不要)'!K439:P439,TRANSPOSE(戦略の決定!$F$13:$F$18))</f>
        <v>2.485408812122713E-3</v>
      </c>
      <c r="F439" s="183">
        <f t="shared" si="30"/>
        <v>1.8767907094681215</v>
      </c>
      <c r="G439" s="183">
        <f t="shared" si="31"/>
        <v>2.2642230600154831</v>
      </c>
      <c r="H439" s="75">
        <f t="shared" si="32"/>
        <v>2.2642230600154831</v>
      </c>
      <c r="J439"/>
      <c r="K439"/>
      <c r="L439"/>
      <c r="M439"/>
      <c r="N439"/>
      <c r="O439"/>
      <c r="P439"/>
    </row>
    <row r="440" spans="2:16" x14ac:dyDescent="0.15">
      <c r="B440" s="16">
        <v>42895</v>
      </c>
      <c r="C440" s="29">
        <f t="array" ref="C440">SUMPRODUCT('ファンドデータ(変更不要)'!K440:P440,TRANSPOSE(戦略の決定!$D$13:$D$18))</f>
        <v>-9.3059676662367516E-3</v>
      </c>
      <c r="D440" s="29">
        <f t="array" ref="D440">SUMPRODUCT('ファンドデータ(変更不要)'!K440:P440,TRANSPOSE(戦略の決定!$E$13:$E$18))</f>
        <v>-1.2096254159541147E-2</v>
      </c>
      <c r="E440" s="29">
        <f t="array" ref="E440">SUMPRODUCT('ファンドデータ(変更不要)'!K440:P440,TRANSPOSE(戦略の決定!$F$13:$F$18))</f>
        <v>-1.2096254159541147E-2</v>
      </c>
      <c r="F440" s="183">
        <f t="shared" si="30"/>
        <v>1.8593253558095177</v>
      </c>
      <c r="G440" s="183">
        <f t="shared" si="31"/>
        <v>2.2368344424076416</v>
      </c>
      <c r="H440" s="75">
        <f t="shared" si="32"/>
        <v>2.2368344424076416</v>
      </c>
      <c r="J440"/>
      <c r="K440"/>
      <c r="L440"/>
      <c r="M440"/>
      <c r="N440"/>
      <c r="O440"/>
      <c r="P440"/>
    </row>
    <row r="441" spans="2:16" x14ac:dyDescent="0.15">
      <c r="B441" s="16">
        <v>42902</v>
      </c>
      <c r="C441" s="29">
        <f t="array" ref="C441">SUMPRODUCT('ファンドデータ(変更不要)'!K441:P441,TRANSPOSE(戦略の決定!$D$13:$D$18))</f>
        <v>4.3973840939236543E-3</v>
      </c>
      <c r="D441" s="29">
        <f t="array" ref="D441">SUMPRODUCT('ファンドデータ(変更不要)'!K441:P441,TRANSPOSE(戦略の決定!$E$13:$E$18))</f>
        <v>5.4504770844067511E-3</v>
      </c>
      <c r="E441" s="29">
        <f t="array" ref="E441">SUMPRODUCT('ファンドデータ(変更不要)'!K441:P441,TRANSPOSE(戦略の決定!$F$13:$F$18))</f>
        <v>5.4504770844067511E-3</v>
      </c>
      <c r="F441" s="183">
        <f t="shared" si="30"/>
        <v>1.8675015235545838</v>
      </c>
      <c r="G441" s="183">
        <f t="shared" si="31"/>
        <v>2.2490262572775963</v>
      </c>
      <c r="H441" s="75">
        <f t="shared" si="32"/>
        <v>2.2490262572775963</v>
      </c>
      <c r="J441"/>
      <c r="K441"/>
      <c r="L441"/>
      <c r="M441"/>
      <c r="N441"/>
      <c r="O441"/>
      <c r="P441"/>
    </row>
    <row r="442" spans="2:16" x14ac:dyDescent="0.15">
      <c r="B442" s="16">
        <v>42909</v>
      </c>
      <c r="C442" s="29">
        <f t="array" ref="C442">SUMPRODUCT('ファンドデータ(変更不要)'!K442:P442,TRANSPOSE(戦略の決定!$D$13:$D$18))</f>
        <v>5.9527927147224994E-4</v>
      </c>
      <c r="D442" s="29">
        <f t="array" ref="D442">SUMPRODUCT('ファンドデータ(変更不要)'!K442:P442,TRANSPOSE(戦略の決定!$E$13:$E$18))</f>
        <v>-1.6983861663024591E-3</v>
      </c>
      <c r="E442" s="29">
        <f t="array" ref="E442">SUMPRODUCT('ファンドデータ(変更不要)'!K442:P442,TRANSPOSE(戦略の決定!$F$13:$F$18))</f>
        <v>-1.6983861663024591E-3</v>
      </c>
      <c r="F442" s="183">
        <f t="shared" si="30"/>
        <v>1.8686132085009988</v>
      </c>
      <c r="G442" s="183">
        <f t="shared" si="31"/>
        <v>2.2452065421945848</v>
      </c>
      <c r="H442" s="75">
        <f t="shared" si="32"/>
        <v>2.2452065421945848</v>
      </c>
      <c r="J442"/>
      <c r="K442"/>
      <c r="L442"/>
      <c r="M442"/>
      <c r="N442"/>
      <c r="O442"/>
      <c r="P442"/>
    </row>
    <row r="443" spans="2:16" x14ac:dyDescent="0.15">
      <c r="B443" s="16">
        <v>42916</v>
      </c>
      <c r="C443" s="29">
        <f t="array" ref="C443">SUMPRODUCT('ファンドデータ(変更不要)'!K443:P443,TRANSPOSE(戦略の決定!$D$13:$D$18))</f>
        <v>-1.6100078995017115E-3</v>
      </c>
      <c r="D443" s="29">
        <f t="array" ref="D443">SUMPRODUCT('ファンドデータ(変更不要)'!K443:P443,TRANSPOSE(戦略の決定!$E$13:$E$18))</f>
        <v>-3.4804446387841997E-3</v>
      </c>
      <c r="E443" s="29">
        <f t="array" ref="E443">SUMPRODUCT('ファンドデータ(変更不要)'!K443:P443,TRANSPOSE(戦略の決定!$F$13:$F$18))</f>
        <v>-3.4804446387841997E-3</v>
      </c>
      <c r="F443" s="183">
        <f t="shared" si="30"/>
        <v>1.8656047264741988</v>
      </c>
      <c r="G443" s="183">
        <f t="shared" si="31"/>
        <v>2.2373922251218405</v>
      </c>
      <c r="H443" s="75">
        <f t="shared" si="32"/>
        <v>2.2373922251218405</v>
      </c>
      <c r="J443"/>
      <c r="K443"/>
      <c r="L443"/>
      <c r="M443"/>
      <c r="N443"/>
      <c r="O443"/>
      <c r="P443"/>
    </row>
    <row r="444" spans="2:16" x14ac:dyDescent="0.15">
      <c r="B444" s="16">
        <v>42923</v>
      </c>
      <c r="C444" s="29">
        <f t="array" ref="C444">SUMPRODUCT('ファンドデータ(変更不要)'!K444:P444,TRANSPOSE(戦略の決定!$D$13:$D$18))</f>
        <v>-3.9841514980275836E-3</v>
      </c>
      <c r="D444" s="29">
        <f t="array" ref="D444">SUMPRODUCT('ファンドデータ(変更不要)'!K444:P444,TRANSPOSE(戦略の決定!$E$13:$E$18))</f>
        <v>-6.4574452233314896E-3</v>
      </c>
      <c r="E444" s="29">
        <f t="array" ref="E444">SUMPRODUCT('ファンドデータ(変更不要)'!K444:P444,TRANSPOSE(戦略の決定!$F$13:$F$18))</f>
        <v>-6.4574452233314896E-3</v>
      </c>
      <c r="F444" s="183">
        <f t="shared" si="30"/>
        <v>1.8581718746084894</v>
      </c>
      <c r="G444" s="183">
        <f t="shared" si="31"/>
        <v>2.2229443873850085</v>
      </c>
      <c r="H444" s="75">
        <f t="shared" si="32"/>
        <v>2.2229443873850085</v>
      </c>
      <c r="J444"/>
      <c r="K444"/>
      <c r="L444"/>
      <c r="M444"/>
      <c r="N444"/>
      <c r="O444"/>
      <c r="P444"/>
    </row>
    <row r="445" spans="2:16" x14ac:dyDescent="0.15">
      <c r="B445" s="16">
        <v>42930</v>
      </c>
      <c r="C445" s="29">
        <f t="array" ref="C445">SUMPRODUCT('ファンドデータ(変更不要)'!K445:P445,TRANSPOSE(戦略の決定!$D$13:$D$18))</f>
        <v>-2.1729749905670184E-3</v>
      </c>
      <c r="D445" s="29">
        <f t="array" ref="D445">SUMPRODUCT('ファンドデータ(変更不要)'!K445:P445,TRANSPOSE(戦略の決定!$E$13:$E$18))</f>
        <v>-6.5747246490859123E-3</v>
      </c>
      <c r="E445" s="29">
        <f t="array" ref="E445">SUMPRODUCT('ファンドデータ(変更不要)'!K445:P445,TRANSPOSE(戦略の決定!$F$13:$F$18))</f>
        <v>-6.5747246490859123E-3</v>
      </c>
      <c r="F445" s="183">
        <f t="shared" si="30"/>
        <v>1.8541341135967901</v>
      </c>
      <c r="G445" s="183">
        <f t="shared" si="31"/>
        <v>2.208329140127721</v>
      </c>
      <c r="H445" s="75">
        <f t="shared" si="32"/>
        <v>2.208329140127721</v>
      </c>
      <c r="J445"/>
      <c r="K445"/>
      <c r="L445"/>
      <c r="M445"/>
      <c r="N445"/>
      <c r="O445"/>
      <c r="P445"/>
    </row>
    <row r="446" spans="2:16" x14ac:dyDescent="0.15">
      <c r="B446" s="16">
        <v>42937</v>
      </c>
      <c r="C446" s="29">
        <f t="array" ref="C446">SUMPRODUCT('ファンドデータ(変更不要)'!K446:P446,TRANSPOSE(戦略の決定!$D$13:$D$18))</f>
        <v>8.0909865989221546E-3</v>
      </c>
      <c r="D446" s="29">
        <f t="array" ref="D446">SUMPRODUCT('ファンドデータ(変更不要)'!K446:P446,TRANSPOSE(戦略の決定!$E$13:$E$18))</f>
        <v>1.4089638400910135E-2</v>
      </c>
      <c r="E446" s="29">
        <f t="array" ref="E446">SUMPRODUCT('ファンドデータ(変更不要)'!K446:P446,TRANSPOSE(戦略の決定!$F$13:$F$18))</f>
        <v>1.4089638400910135E-2</v>
      </c>
      <c r="F446" s="183">
        <f t="shared" si="30"/>
        <v>1.869135887862506</v>
      </c>
      <c r="G446" s="183">
        <f t="shared" si="31"/>
        <v>2.2394436991823135</v>
      </c>
      <c r="H446" s="75">
        <f t="shared" si="32"/>
        <v>2.2394436991823135</v>
      </c>
      <c r="J446"/>
      <c r="K446"/>
      <c r="L446"/>
      <c r="M446"/>
      <c r="N446"/>
      <c r="O446"/>
      <c r="P446"/>
    </row>
    <row r="447" spans="2:16" x14ac:dyDescent="0.15">
      <c r="B447" s="16">
        <v>42944</v>
      </c>
      <c r="C447" s="29">
        <f t="array" ref="C447">SUMPRODUCT('ファンドデータ(変更不要)'!K447:P447,TRANSPOSE(戦略の決定!$D$13:$D$18))</f>
        <v>1.7063390379420339E-3</v>
      </c>
      <c r="D447" s="29">
        <f t="array" ref="D447">SUMPRODUCT('ファンドデータ(変更不要)'!K447:P447,TRANSPOSE(戦略の決定!$E$13:$E$18))</f>
        <v>6.0557266524592498E-3</v>
      </c>
      <c r="E447" s="29">
        <f t="array" ref="E447">SUMPRODUCT('ファンドデータ(変更不要)'!K447:P447,TRANSPOSE(戦略の決定!$F$13:$F$18))</f>
        <v>6.0557266524592498E-3</v>
      </c>
      <c r="F447" s="183">
        <f t="shared" si="30"/>
        <v>1.872325267395184</v>
      </c>
      <c r="G447" s="183">
        <f t="shared" si="31"/>
        <v>2.2530051580781336</v>
      </c>
      <c r="H447" s="75">
        <f t="shared" si="32"/>
        <v>2.2530051580781336</v>
      </c>
      <c r="J447"/>
      <c r="K447"/>
      <c r="L447"/>
      <c r="M447"/>
      <c r="N447"/>
      <c r="O447"/>
      <c r="P447"/>
    </row>
    <row r="448" spans="2:16" x14ac:dyDescent="0.15">
      <c r="B448" s="16">
        <v>42951</v>
      </c>
      <c r="C448" s="29">
        <f t="array" ref="C448">SUMPRODUCT('ファンドデータ(変更不要)'!K448:P448,TRANSPOSE(戦略の決定!$D$13:$D$18))</f>
        <v>3.1148597337621851E-4</v>
      </c>
      <c r="D448" s="29">
        <f t="array" ref="D448">SUMPRODUCT('ファンドデータ(変更不要)'!K448:P448,TRANSPOSE(戦略の決定!$E$13:$E$18))</f>
        <v>-6.2934585811403048E-4</v>
      </c>
      <c r="E448" s="29">
        <f t="array" ref="E448">SUMPRODUCT('ファンドデータ(変更不要)'!K448:P448,TRANSPOSE(戦略の決定!$F$13:$F$18))</f>
        <v>-6.2934585811403048E-4</v>
      </c>
      <c r="F448" s="183">
        <f t="shared" si="30"/>
        <v>1.8729084704535754</v>
      </c>
      <c r="G448" s="183">
        <f t="shared" si="31"/>
        <v>2.2515872386135878</v>
      </c>
      <c r="H448" s="75">
        <f t="shared" si="32"/>
        <v>2.2515872386135878</v>
      </c>
      <c r="J448"/>
      <c r="K448"/>
      <c r="L448"/>
      <c r="M448"/>
      <c r="N448"/>
      <c r="O448"/>
      <c r="P448"/>
    </row>
    <row r="449" spans="2:16" x14ac:dyDescent="0.15">
      <c r="B449" s="16">
        <v>42958</v>
      </c>
      <c r="C449" s="29">
        <f t="array" ref="C449">SUMPRODUCT('ファンドデータ(変更不要)'!K449:P449,TRANSPOSE(戦略の決定!$D$13:$D$18))</f>
        <v>-3.9083500876731028E-3</v>
      </c>
      <c r="D449" s="29">
        <f t="array" ref="D449">SUMPRODUCT('ファンドデータ(変更不要)'!K449:P449,TRANSPOSE(戦略の決定!$E$13:$E$18))</f>
        <v>-4.7604607491082331E-3</v>
      </c>
      <c r="E449" s="29">
        <f t="array" ref="E449">SUMPRODUCT('ファンドデータ(変更不要)'!K449:P449,TRANSPOSE(戦略の決定!$F$13:$F$18))</f>
        <v>-4.7604607491082331E-3</v>
      </c>
      <c r="F449" s="183">
        <f t="shared" si="30"/>
        <v>1.8655884884688745</v>
      </c>
      <c r="G449" s="183">
        <f t="shared" si="31"/>
        <v>2.2408686459409748</v>
      </c>
      <c r="H449" s="75">
        <f t="shared" si="32"/>
        <v>2.2408686459409748</v>
      </c>
      <c r="J449"/>
      <c r="K449"/>
      <c r="L449"/>
      <c r="M449"/>
      <c r="N449"/>
      <c r="O449"/>
      <c r="P449"/>
    </row>
    <row r="450" spans="2:16" x14ac:dyDescent="0.15">
      <c r="B450" s="16">
        <v>42965</v>
      </c>
      <c r="C450" s="29">
        <f t="array" ref="C450">SUMPRODUCT('ファンドデータ(変更不要)'!K450:P450,TRANSPOSE(戦略の決定!$D$13:$D$18))</f>
        <v>-2.3184337660139276E-3</v>
      </c>
      <c r="D450" s="29">
        <f t="array" ref="D450">SUMPRODUCT('ファンドデータ(変更不要)'!K450:P450,TRANSPOSE(戦略の決定!$E$13:$E$18))</f>
        <v>-9.7258955610024793E-4</v>
      </c>
      <c r="E450" s="29">
        <f t="array" ref="E450">SUMPRODUCT('ファンドデータ(変更不要)'!K450:P450,TRANSPOSE(戦略の決定!$F$13:$F$18))</f>
        <v>-9.7258955610024793E-4</v>
      </c>
      <c r="F450" s="183">
        <f t="shared" si="30"/>
        <v>1.8612632451237214</v>
      </c>
      <c r="G450" s="183">
        <f t="shared" si="31"/>
        <v>2.2386892004993402</v>
      </c>
      <c r="H450" s="75">
        <f t="shared" si="32"/>
        <v>2.2386892004993402</v>
      </c>
      <c r="J450"/>
      <c r="K450"/>
      <c r="L450"/>
      <c r="M450"/>
      <c r="N450"/>
      <c r="O450"/>
      <c r="P450"/>
    </row>
    <row r="451" spans="2:16" x14ac:dyDescent="0.15">
      <c r="B451" s="16">
        <v>42972</v>
      </c>
      <c r="C451" s="29">
        <f t="array" ref="C451">SUMPRODUCT('ファンドデータ(変更不要)'!K451:P451,TRANSPOSE(戦略の決定!$D$13:$D$18))</f>
        <v>5.3763890608066623E-4</v>
      </c>
      <c r="D451" s="29">
        <f t="array" ref="D451">SUMPRODUCT('ファンドデータ(変更不要)'!K451:P451,TRANSPOSE(戦略の決定!$E$13:$E$18))</f>
        <v>-1.3271806087961284E-3</v>
      </c>
      <c r="E451" s="29">
        <f t="array" ref="E451">SUMPRODUCT('ファンドデータ(変更不要)'!K451:P451,TRANSPOSE(戦略の決定!$F$13:$F$18))</f>
        <v>-1.3271806087961284E-3</v>
      </c>
      <c r="F451" s="183">
        <f t="shared" si="30"/>
        <v>1.862263932658758</v>
      </c>
      <c r="G451" s="183">
        <f t="shared" si="31"/>
        <v>2.235718055603316</v>
      </c>
      <c r="H451" s="75">
        <f t="shared" si="32"/>
        <v>2.235718055603316</v>
      </c>
      <c r="J451"/>
      <c r="K451"/>
      <c r="L451"/>
      <c r="M451"/>
      <c r="N451"/>
      <c r="O451"/>
      <c r="P451"/>
    </row>
    <row r="452" spans="2:16" x14ac:dyDescent="0.15">
      <c r="B452" s="16">
        <v>42979</v>
      </c>
      <c r="C452" s="29">
        <f t="array" ref="C452">SUMPRODUCT('ファンドデータ(変更不要)'!K452:P452,TRANSPOSE(戦略の決定!$D$13:$D$18))</f>
        <v>5.5531648648530245E-3</v>
      </c>
      <c r="D452" s="29">
        <f t="array" ref="D452">SUMPRODUCT('ファンドデータ(変更不要)'!K452:P452,TRANSPOSE(戦略の決定!$E$13:$E$18))</f>
        <v>5.1150298491343116E-3</v>
      </c>
      <c r="E452" s="29">
        <f t="array" ref="E452">SUMPRODUCT('ファンドデータ(変更不要)'!K452:P452,TRANSPOSE(戦略の決定!$F$13:$F$18))</f>
        <v>5.1150298491343116E-3</v>
      </c>
      <c r="F452" s="183">
        <f t="shared" si="30"/>
        <v>1.8726053912986815</v>
      </c>
      <c r="G452" s="183">
        <f t="shared" si="31"/>
        <v>2.2471538201919756</v>
      </c>
      <c r="H452" s="75">
        <f t="shared" si="32"/>
        <v>2.2471538201919756</v>
      </c>
      <c r="J452"/>
      <c r="K452"/>
      <c r="L452"/>
      <c r="M452"/>
      <c r="N452"/>
      <c r="O452"/>
      <c r="P452"/>
    </row>
    <row r="453" spans="2:16" x14ac:dyDescent="0.15">
      <c r="B453" s="16">
        <v>42986</v>
      </c>
      <c r="C453" s="29">
        <f t="array" ref="C453">SUMPRODUCT('ファンドデータ(変更不要)'!K453:P453,TRANSPOSE(戦略の決定!$D$13:$D$18))</f>
        <v>-4.9741968280467225E-3</v>
      </c>
      <c r="D453" s="29">
        <f t="array" ref="D453">SUMPRODUCT('ファンドデータ(変更不要)'!K453:P453,TRANSPOSE(戦略の決定!$E$13:$E$18))</f>
        <v>-5.0079829635176244E-3</v>
      </c>
      <c r="E453" s="29">
        <f t="array" ref="E453">SUMPRODUCT('ファンドデータ(変更不要)'!K453:P453,TRANSPOSE(戦略の決定!$F$13:$F$18))</f>
        <v>-5.0079829635176244E-3</v>
      </c>
      <c r="F453" s="183">
        <f t="shared" ref="F453:F516" si="33">F452*(1+C453)</f>
        <v>1.8632906835011005</v>
      </c>
      <c r="G453" s="183">
        <f t="shared" ref="G453:G516" si="34">G452*(1+D453)</f>
        <v>2.2359001121440505</v>
      </c>
      <c r="H453" s="75">
        <f t="shared" ref="H453:H516" si="35">H452*(1+E453)</f>
        <v>2.2359001121440505</v>
      </c>
      <c r="J453"/>
      <c r="K453"/>
      <c r="L453"/>
      <c r="M453"/>
      <c r="N453"/>
      <c r="O453"/>
      <c r="P453"/>
    </row>
    <row r="454" spans="2:16" x14ac:dyDescent="0.15">
      <c r="B454" s="16">
        <v>42993</v>
      </c>
      <c r="C454" s="29">
        <f t="array" ref="C454">SUMPRODUCT('ファンドデータ(変更不要)'!K454:P454,TRANSPOSE(戦略の決定!$D$13:$D$18))</f>
        <v>5.90742946924729E-3</v>
      </c>
      <c r="D454" s="29">
        <f t="array" ref="D454">SUMPRODUCT('ファンドデータ(変更不要)'!K454:P454,TRANSPOSE(戦略の決定!$E$13:$E$18))</f>
        <v>6.0205703583576832E-3</v>
      </c>
      <c r="E454" s="29">
        <f t="array" ref="E454">SUMPRODUCT('ファンドデータ(変更不要)'!K454:P454,TRANSPOSE(戦略の決定!$F$13:$F$18))</f>
        <v>6.0205703583576832E-3</v>
      </c>
      <c r="F454" s="183">
        <f t="shared" si="33"/>
        <v>1.8742979417945891</v>
      </c>
      <c r="G454" s="183">
        <f t="shared" si="34"/>
        <v>2.2493615060834737</v>
      </c>
      <c r="H454" s="75">
        <f t="shared" si="35"/>
        <v>2.2493615060834737</v>
      </c>
      <c r="J454"/>
      <c r="K454"/>
      <c r="L454"/>
      <c r="M454"/>
      <c r="N454"/>
      <c r="O454"/>
      <c r="P454"/>
    </row>
    <row r="455" spans="2:16" x14ac:dyDescent="0.15">
      <c r="B455" s="16">
        <v>43000</v>
      </c>
      <c r="C455" s="29">
        <f t="array" ref="C455">SUMPRODUCT('ファンドデータ(変更不要)'!K455:P455,TRANSPOSE(戦略の決定!$D$13:$D$18))</f>
        <v>6.3776232095776476E-3</v>
      </c>
      <c r="D455" s="29">
        <f t="array" ref="D455">SUMPRODUCT('ファンドデータ(変更不要)'!K455:P455,TRANSPOSE(戦略の決定!$E$13:$E$18))</f>
        <v>4.3728935359672663E-3</v>
      </c>
      <c r="E455" s="29">
        <f t="array" ref="E455">SUMPRODUCT('ファンドデータ(変更不要)'!K455:P455,TRANSPOSE(戦略の決定!$F$13:$F$18))</f>
        <v>4.3728935359672663E-3</v>
      </c>
      <c r="F455" s="183">
        <f t="shared" si="33"/>
        <v>1.8862515078498416</v>
      </c>
      <c r="G455" s="183">
        <f t="shared" si="34"/>
        <v>2.2591977244734798</v>
      </c>
      <c r="H455" s="75">
        <f t="shared" si="35"/>
        <v>2.2591977244734798</v>
      </c>
      <c r="J455"/>
      <c r="K455"/>
      <c r="L455"/>
      <c r="M455"/>
      <c r="N455"/>
      <c r="O455"/>
      <c r="P455"/>
    </row>
    <row r="456" spans="2:16" x14ac:dyDescent="0.15">
      <c r="B456" s="16">
        <v>43007</v>
      </c>
      <c r="C456" s="29">
        <f t="array" ref="C456">SUMPRODUCT('ファンドデータ(変更不要)'!K456:P456,TRANSPOSE(戦略の決定!$D$13:$D$18))</f>
        <v>-1.2276695477649255E-3</v>
      </c>
      <c r="D456" s="29">
        <f t="array" ref="D456">SUMPRODUCT('ファンドデータ(変更不要)'!K456:P456,TRANSPOSE(戦略の決定!$E$13:$E$18))</f>
        <v>-8.521622879936818E-4</v>
      </c>
      <c r="E456" s="29">
        <f t="array" ref="E456">SUMPRODUCT('ファンドデータ(変更不要)'!K456:P456,TRANSPOSE(戦略の決定!$F$13:$F$18))</f>
        <v>-8.521622879936818E-4</v>
      </c>
      <c r="F456" s="183">
        <f t="shared" si="33"/>
        <v>1.8839358143142289</v>
      </c>
      <c r="G456" s="183">
        <f t="shared" si="34"/>
        <v>2.2572725213715623</v>
      </c>
      <c r="H456" s="75">
        <f t="shared" si="35"/>
        <v>2.2572725213715623</v>
      </c>
      <c r="J456"/>
      <c r="K456"/>
      <c r="L456"/>
      <c r="M456"/>
      <c r="N456"/>
      <c r="O456"/>
      <c r="P456"/>
    </row>
    <row r="457" spans="2:16" x14ac:dyDescent="0.15">
      <c r="B457" s="16">
        <v>43014</v>
      </c>
      <c r="C457" s="29">
        <f t="array" ref="C457">SUMPRODUCT('ファンドデータ(変更不要)'!K457:P457,TRANSPOSE(戦略の決定!$D$13:$D$18))</f>
        <v>-2.9233018241821285E-5</v>
      </c>
      <c r="D457" s="29">
        <f t="array" ref="D457">SUMPRODUCT('ファンドデータ(変更不要)'!K457:P457,TRANSPOSE(戦略の決定!$E$13:$E$18))</f>
        <v>-9.0472825160428649E-4</v>
      </c>
      <c r="E457" s="29">
        <f t="array" ref="E457">SUMPRODUCT('ファンドデータ(変更不要)'!K457:P457,TRANSPOSE(戦略の決定!$F$13:$F$18))</f>
        <v>-9.0472825160428649E-4</v>
      </c>
      <c r="F457" s="183">
        <f t="shared" si="33"/>
        <v>1.8838807411842025</v>
      </c>
      <c r="G457" s="183">
        <f t="shared" si="34"/>
        <v>2.2552303031499075</v>
      </c>
      <c r="H457" s="75">
        <f t="shared" si="35"/>
        <v>2.2552303031499075</v>
      </c>
      <c r="J457"/>
      <c r="K457"/>
      <c r="L457"/>
      <c r="M457"/>
      <c r="N457"/>
      <c r="O457"/>
      <c r="P457"/>
    </row>
    <row r="458" spans="2:16" x14ac:dyDescent="0.15">
      <c r="B458" s="16">
        <v>43021</v>
      </c>
      <c r="C458" s="29">
        <f t="array" ref="C458">SUMPRODUCT('ファンドデータ(変更不要)'!K458:P458,TRANSPOSE(戦略の決定!$D$13:$D$18))</f>
        <v>-4.4545457796186833E-4</v>
      </c>
      <c r="D458" s="29">
        <f t="array" ref="D458">SUMPRODUCT('ファンドデータ(変更不要)'!K458:P458,TRANSPOSE(戦略の決定!$E$13:$E$18))</f>
        <v>-4.9568829789195957E-3</v>
      </c>
      <c r="E458" s="29">
        <f t="array" ref="E458">SUMPRODUCT('ファンドデータ(変更不要)'!K458:P458,TRANSPOSE(戦略の決定!$F$13:$F$18))</f>
        <v>-4.9568829789195957E-3</v>
      </c>
      <c r="F458" s="183">
        <f t="shared" si="33"/>
        <v>1.8830415578837079</v>
      </c>
      <c r="G458" s="183">
        <f t="shared" si="34"/>
        <v>2.2440513904466801</v>
      </c>
      <c r="H458" s="75">
        <f t="shared" si="35"/>
        <v>2.2440513904466801</v>
      </c>
      <c r="J458"/>
      <c r="K458"/>
      <c r="L458"/>
      <c r="M458"/>
      <c r="N458"/>
      <c r="O458"/>
      <c r="P458"/>
    </row>
    <row r="459" spans="2:16" x14ac:dyDescent="0.15">
      <c r="B459" s="16">
        <v>43028</v>
      </c>
      <c r="C459" s="29">
        <f t="array" ref="C459">SUMPRODUCT('ファンドデータ(変更不要)'!K459:P459,TRANSPOSE(戦略の決定!$D$13:$D$18))</f>
        <v>6.3132614218504041E-3</v>
      </c>
      <c r="D459" s="29">
        <f t="array" ref="D459">SUMPRODUCT('ファンドデータ(変更不要)'!K459:P459,TRANSPOSE(戦略の決定!$E$13:$E$18))</f>
        <v>7.9530098414532357E-3</v>
      </c>
      <c r="E459" s="29">
        <f t="array" ref="E459">SUMPRODUCT('ファンドデータ(変更不要)'!K459:P459,TRANSPOSE(戦略の決定!$F$13:$F$18))</f>
        <v>7.9530098414532357E-3</v>
      </c>
      <c r="F459" s="183">
        <f t="shared" si="33"/>
        <v>1.8949296915068361</v>
      </c>
      <c r="G459" s="183">
        <f t="shared" si="34"/>
        <v>2.2618983532396295</v>
      </c>
      <c r="H459" s="75">
        <f t="shared" si="35"/>
        <v>2.2618983532396295</v>
      </c>
      <c r="J459"/>
      <c r="K459"/>
      <c r="L459"/>
      <c r="M459"/>
      <c r="N459"/>
      <c r="O459"/>
      <c r="P459"/>
    </row>
    <row r="460" spans="2:16" x14ac:dyDescent="0.15">
      <c r="B460" s="16">
        <v>43035</v>
      </c>
      <c r="C460" s="29">
        <f t="array" ref="C460">SUMPRODUCT('ファンドデータ(変更不要)'!K460:P460,TRANSPOSE(戦略の決定!$D$13:$D$18))</f>
        <v>1.0052501988665583E-3</v>
      </c>
      <c r="D460" s="29">
        <f t="array" ref="D460">SUMPRODUCT('ファンドデータ(変更不要)'!K460:P460,TRANSPOSE(戦略の決定!$E$13:$E$18))</f>
        <v>-1.7041022652786908E-3</v>
      </c>
      <c r="E460" s="29">
        <f t="array" ref="E460">SUMPRODUCT('ファンドデータ(変更不要)'!K460:P460,TRANSPOSE(戦略の決定!$F$13:$F$18))</f>
        <v>-1.7041022652786908E-3</v>
      </c>
      <c r="F460" s="183">
        <f t="shared" si="33"/>
        <v>1.8968345699560616</v>
      </c>
      <c r="G460" s="183">
        <f t="shared" si="34"/>
        <v>2.2580438471320434</v>
      </c>
      <c r="H460" s="75">
        <f t="shared" si="35"/>
        <v>2.2580438471320434</v>
      </c>
      <c r="J460"/>
      <c r="K460"/>
      <c r="L460"/>
      <c r="M460"/>
      <c r="N460"/>
      <c r="O460"/>
      <c r="P460"/>
    </row>
    <row r="461" spans="2:16" x14ac:dyDescent="0.15">
      <c r="B461" s="16">
        <v>43042</v>
      </c>
      <c r="C461" s="29">
        <f t="array" ref="C461">SUMPRODUCT('ファンドデータ(変更不要)'!K461:P461,TRANSPOSE(戦略の決定!$D$13:$D$18))</f>
        <v>4.5589562014053788E-3</v>
      </c>
      <c r="D461" s="29">
        <f t="array" ref="D461">SUMPRODUCT('ファンドデータ(変更不要)'!K461:P461,TRANSPOSE(戦略の決定!$E$13:$E$18))</f>
        <v>2.659201920279968E-3</v>
      </c>
      <c r="E461" s="29">
        <f t="array" ref="E461">SUMPRODUCT('ファンドデータ(変更不要)'!K461:P461,TRANSPOSE(戦略の決定!$F$13:$F$18))</f>
        <v>2.659201920279968E-3</v>
      </c>
      <c r="F461" s="183">
        <f t="shared" si="33"/>
        <v>1.9054821556818031</v>
      </c>
      <c r="G461" s="183">
        <f t="shared" si="34"/>
        <v>2.2640484416664135</v>
      </c>
      <c r="H461" s="75">
        <f t="shared" si="35"/>
        <v>2.2640484416664135</v>
      </c>
      <c r="J461"/>
      <c r="K461"/>
      <c r="L461"/>
      <c r="M461"/>
      <c r="N461"/>
      <c r="O461"/>
      <c r="P461"/>
    </row>
    <row r="462" spans="2:16" x14ac:dyDescent="0.15">
      <c r="B462" s="16">
        <v>43049</v>
      </c>
      <c r="C462" s="29">
        <f t="array" ref="C462">SUMPRODUCT('ファンドデータ(変更不要)'!K462:P462,TRANSPOSE(戦略の決定!$D$13:$D$18))</f>
        <v>-4.6548087065407954E-3</v>
      </c>
      <c r="D462" s="29">
        <f t="array" ref="D462">SUMPRODUCT('ファンドデータ(変更不要)'!K462:P462,TRANSPOSE(戦略の決定!$E$13:$E$18))</f>
        <v>-9.0803042789900958E-3</v>
      </c>
      <c r="E462" s="29">
        <f t="array" ref="E462">SUMPRODUCT('ファンドデータ(変更不要)'!K462:P462,TRANSPOSE(戦略の決定!$F$13:$F$18))</f>
        <v>-9.0803042789900958E-3</v>
      </c>
      <c r="F462" s="183">
        <f t="shared" si="33"/>
        <v>1.8966125007533774</v>
      </c>
      <c r="G462" s="183">
        <f t="shared" si="34"/>
        <v>2.243490192913709</v>
      </c>
      <c r="H462" s="75">
        <f t="shared" si="35"/>
        <v>2.243490192913709</v>
      </c>
      <c r="J462"/>
      <c r="K462"/>
      <c r="L462"/>
      <c r="M462"/>
      <c r="N462"/>
      <c r="O462"/>
      <c r="P462"/>
    </row>
    <row r="463" spans="2:16" x14ac:dyDescent="0.15">
      <c r="B463" s="16">
        <v>43056</v>
      </c>
      <c r="C463" s="29">
        <f t="array" ref="C463">SUMPRODUCT('ファンドデータ(変更不要)'!K463:P463,TRANSPOSE(戦略の決定!$D$13:$D$18))</f>
        <v>5.0896701404463413E-3</v>
      </c>
      <c r="D463" s="29">
        <f t="array" ref="D463">SUMPRODUCT('ファンドデータ(変更不要)'!K463:P463,TRANSPOSE(戦略の決定!$E$13:$E$18))</f>
        <v>1.0994218216272656E-2</v>
      </c>
      <c r="E463" s="29">
        <f t="array" ref="E463">SUMPRODUCT('ファンドデータ(変更不要)'!K463:P463,TRANSPOSE(戦略の決定!$F$13:$F$18))</f>
        <v>1.0994218216272656E-2</v>
      </c>
      <c r="F463" s="183">
        <f t="shared" si="33"/>
        <v>1.9062656327664591</v>
      </c>
      <c r="G463" s="183">
        <f t="shared" si="34"/>
        <v>2.2681556136606695</v>
      </c>
      <c r="H463" s="75">
        <f t="shared" si="35"/>
        <v>2.2681556136606695</v>
      </c>
      <c r="J463"/>
      <c r="K463"/>
      <c r="L463"/>
      <c r="M463"/>
      <c r="N463"/>
      <c r="O463"/>
      <c r="P463"/>
    </row>
    <row r="464" spans="2:16" x14ac:dyDescent="0.15">
      <c r="B464" s="16">
        <v>43063</v>
      </c>
      <c r="C464" s="29">
        <f t="array" ref="C464">SUMPRODUCT('ファンドデータ(変更不要)'!K464:P464,TRANSPOSE(戦略の決定!$D$13:$D$18))</f>
        <v>2.7338606300259141E-3</v>
      </c>
      <c r="D464" s="29">
        <f t="array" ref="D464">SUMPRODUCT('ファンドデータ(変更不要)'!K464:P464,TRANSPOSE(戦略の決定!$E$13:$E$18))</f>
        <v>5.6478598316983732E-3</v>
      </c>
      <c r="E464" s="29">
        <f t="array" ref="E464">SUMPRODUCT('ファンドデータ(変更不要)'!K464:P464,TRANSPOSE(戦略の決定!$F$13:$F$18))</f>
        <v>5.6478598316983732E-3</v>
      </c>
      <c r="F464" s="183">
        <f t="shared" si="33"/>
        <v>1.9114770973302508</v>
      </c>
      <c r="G464" s="183">
        <f t="shared" si="34"/>
        <v>2.2809658386431049</v>
      </c>
      <c r="H464" s="75">
        <f t="shared" si="35"/>
        <v>2.2809658386431049</v>
      </c>
      <c r="J464"/>
      <c r="K464"/>
      <c r="L464"/>
      <c r="M464"/>
      <c r="N464"/>
      <c r="O464"/>
      <c r="P464"/>
    </row>
    <row r="465" spans="2:16" x14ac:dyDescent="0.15">
      <c r="B465" s="16">
        <v>43070</v>
      </c>
      <c r="C465" s="29">
        <f t="array" ref="C465">SUMPRODUCT('ファンドデータ(変更不要)'!K465:P465,TRANSPOSE(戦略の決定!$D$13:$D$18))</f>
        <v>4.3417885436943977E-3</v>
      </c>
      <c r="D465" s="29">
        <f t="array" ref="D465">SUMPRODUCT('ファンドデータ(変更不要)'!K465:P465,TRANSPOSE(戦略の決定!$E$13:$E$18))</f>
        <v>4.2155556599571091E-3</v>
      </c>
      <c r="E465" s="29">
        <f t="array" ref="E465">SUMPRODUCT('ファンドデータ(変更不要)'!K465:P465,TRANSPOSE(戦略の決定!$F$13:$F$18))</f>
        <v>4.2155556599571091E-3</v>
      </c>
      <c r="F465" s="183">
        <f t="shared" si="33"/>
        <v>1.9197763266929737</v>
      </c>
      <c r="G465" s="183">
        <f t="shared" si="34"/>
        <v>2.2905813770943655</v>
      </c>
      <c r="H465" s="75">
        <f t="shared" si="35"/>
        <v>2.2905813770943655</v>
      </c>
      <c r="J465"/>
      <c r="K465"/>
      <c r="L465"/>
      <c r="M465"/>
      <c r="N465"/>
      <c r="O465"/>
      <c r="P465"/>
    </row>
    <row r="466" spans="2:16" x14ac:dyDescent="0.15">
      <c r="B466" s="16">
        <v>43077</v>
      </c>
      <c r="C466" s="29">
        <f t="array" ref="C466">SUMPRODUCT('ファンドデータ(変更不要)'!K466:P466,TRANSPOSE(戦略の決定!$D$13:$D$18))</f>
        <v>7.4437651942076393E-5</v>
      </c>
      <c r="D466" s="29">
        <f t="array" ref="D466">SUMPRODUCT('ファンドデータ(変更不要)'!K466:P466,TRANSPOSE(戦略の決定!$E$13:$E$18))</f>
        <v>-1.2839610078585408E-3</v>
      </c>
      <c r="E466" s="29">
        <f t="array" ref="E466">SUMPRODUCT('ファンドデータ(変更不要)'!K466:P466,TRANSPOSE(戦略の決定!$F$13:$F$18))</f>
        <v>-1.2839610078585408E-3</v>
      </c>
      <c r="F466" s="183">
        <f t="shared" si="33"/>
        <v>1.9199192303349868</v>
      </c>
      <c r="G466" s="183">
        <f t="shared" si="34"/>
        <v>2.2876403599208492</v>
      </c>
      <c r="H466" s="75">
        <f t="shared" si="35"/>
        <v>2.2876403599208492</v>
      </c>
      <c r="J466"/>
      <c r="K466"/>
      <c r="L466"/>
      <c r="M466"/>
      <c r="N466"/>
      <c r="O466"/>
      <c r="P466"/>
    </row>
    <row r="467" spans="2:16" x14ac:dyDescent="0.15">
      <c r="B467" s="16">
        <v>43084</v>
      </c>
      <c r="C467" s="29">
        <f t="array" ref="C467">SUMPRODUCT('ファンドデータ(変更不要)'!K467:P467,TRANSPOSE(戦略の決定!$D$13:$D$18))</f>
        <v>-1.1525176799408957E-4</v>
      </c>
      <c r="D467" s="29">
        <f t="array" ref="D467">SUMPRODUCT('ファンドデータ(変更不要)'!K467:P467,TRANSPOSE(戦略の決定!$E$13:$E$18))</f>
        <v>3.1857931186111618E-3</v>
      </c>
      <c r="E467" s="29">
        <f t="array" ref="E467">SUMPRODUCT('ファンドデータ(変更不要)'!K467:P467,TRANSPOSE(戦略の決定!$F$13:$F$18))</f>
        <v>3.1857931186111618E-3</v>
      </c>
      <c r="F467" s="183">
        <f t="shared" si="33"/>
        <v>1.9196979562492849</v>
      </c>
      <c r="G467" s="183">
        <f t="shared" si="34"/>
        <v>2.2949283088373424</v>
      </c>
      <c r="H467" s="75">
        <f t="shared" si="35"/>
        <v>2.2949283088373424</v>
      </c>
      <c r="J467"/>
      <c r="K467"/>
      <c r="L467"/>
      <c r="M467"/>
      <c r="N467"/>
      <c r="O467"/>
      <c r="P467"/>
    </row>
    <row r="468" spans="2:16" x14ac:dyDescent="0.15">
      <c r="B468" s="16">
        <v>43091</v>
      </c>
      <c r="C468" s="29">
        <f t="array" ref="C468">SUMPRODUCT('ファンドデータ(変更不要)'!K468:P468,TRANSPOSE(戦略の決定!$D$13:$D$18))</f>
        <v>1.5917272186322137E-3</v>
      </c>
      <c r="D468" s="29">
        <f t="array" ref="D468">SUMPRODUCT('ファンドデータ(変更不要)'!K468:P468,TRANSPOSE(戦略の決定!$E$13:$E$18))</f>
        <v>8.3833873972832861E-5</v>
      </c>
      <c r="E468" s="29">
        <f t="array" ref="E468">SUMPRODUCT('ファンドデータ(変更不要)'!K468:P468,TRANSPOSE(戦略の決定!$F$13:$F$18))</f>
        <v>8.3833873972832861E-5</v>
      </c>
      <c r="F468" s="183">
        <f t="shared" si="33"/>
        <v>1.9227535917377996</v>
      </c>
      <c r="G468" s="183">
        <f t="shared" si="34"/>
        <v>2.2951207015679622</v>
      </c>
      <c r="H468" s="75">
        <f t="shared" si="35"/>
        <v>2.2951207015679622</v>
      </c>
      <c r="J468"/>
      <c r="K468"/>
      <c r="L468"/>
      <c r="M468"/>
      <c r="N468"/>
      <c r="O468"/>
      <c r="P468"/>
    </row>
    <row r="469" spans="2:16" x14ac:dyDescent="0.15">
      <c r="B469" s="16">
        <v>43098</v>
      </c>
      <c r="C469" s="29">
        <f t="array" ref="C469">SUMPRODUCT('ファンドデータ(変更不要)'!K469:P469,TRANSPOSE(戦略の決定!$D$13:$D$18))</f>
        <v>1.6195963923090841E-3</v>
      </c>
      <c r="D469" s="29">
        <f t="array" ref="D469">SUMPRODUCT('ファンドデータ(変更不要)'!K469:P469,TRANSPOSE(戦略の決定!$E$13:$E$18))</f>
        <v>3.0494178339723712E-3</v>
      </c>
      <c r="E469" s="29">
        <f t="array" ref="E469">SUMPRODUCT('ファンドデータ(変更不要)'!K469:P469,TRANSPOSE(戦略の決定!$F$13:$F$18))</f>
        <v>3.0494178339723712E-3</v>
      </c>
      <c r="F469" s="183">
        <f t="shared" si="33"/>
        <v>1.9258676765182776</v>
      </c>
      <c r="G469" s="183">
        <f t="shared" si="34"/>
        <v>2.3021194835664427</v>
      </c>
      <c r="H469" s="75">
        <f t="shared" si="35"/>
        <v>2.3021194835664427</v>
      </c>
      <c r="J469"/>
      <c r="K469"/>
      <c r="L469"/>
      <c r="M469"/>
      <c r="N469"/>
      <c r="O469"/>
      <c r="P469"/>
    </row>
    <row r="470" spans="2:16" x14ac:dyDescent="0.15">
      <c r="B470" s="16">
        <v>43105</v>
      </c>
      <c r="C470" s="29">
        <f t="array" ref="C470">SUMPRODUCT('ファンドデータ(変更不要)'!K470:P470,TRANSPOSE(戦略の決定!$D$13:$D$18))</f>
        <v>6.1289654304146624E-3</v>
      </c>
      <c r="D470" s="29">
        <f t="array" ref="D470">SUMPRODUCT('ファンドデータ(変更不要)'!K470:P470,TRANSPOSE(戦略の決定!$E$13:$E$18))</f>
        <v>4.457187460221522E-3</v>
      </c>
      <c r="E470" s="29">
        <f t="array" ref="E470">SUMPRODUCT('ファンドデータ(変更不要)'!K470:P470,TRANSPOSE(戦略の決定!$F$13:$F$18))</f>
        <v>4.457187460221522E-3</v>
      </c>
      <c r="F470" s="183">
        <f t="shared" si="33"/>
        <v>1.937671252931211</v>
      </c>
      <c r="G470" s="183">
        <f t="shared" si="34"/>
        <v>2.3123804616605268</v>
      </c>
      <c r="H470" s="75">
        <f t="shared" si="35"/>
        <v>2.3123804616605268</v>
      </c>
      <c r="J470"/>
      <c r="K470"/>
      <c r="L470"/>
      <c r="M470"/>
      <c r="N470"/>
      <c r="O470"/>
      <c r="P470"/>
    </row>
    <row r="471" spans="2:16" x14ac:dyDescent="0.15">
      <c r="B471" s="16">
        <v>43112</v>
      </c>
      <c r="C471" s="29">
        <f t="array" ref="C471">SUMPRODUCT('ファンドデータ(変更不要)'!K471:P471,TRANSPOSE(戦略の決定!$D$13:$D$18))</f>
        <v>-2.5512187366918083E-3</v>
      </c>
      <c r="D471" s="29">
        <f t="array" ref="D471">SUMPRODUCT('ファンドデータ(変更不要)'!K471:P471,TRANSPOSE(戦略の決定!$E$13:$E$18))</f>
        <v>1.6813691416836451E-3</v>
      </c>
      <c r="E471" s="29">
        <f t="array" ref="E471">SUMPRODUCT('ファンドデータ(変更不要)'!K471:P471,TRANSPOSE(戦略の決定!$F$13:$F$18))</f>
        <v>1.6813691416836451E-3</v>
      </c>
      <c r="F471" s="183">
        <f t="shared" si="33"/>
        <v>1.9327278297251838</v>
      </c>
      <c r="G471" s="183">
        <f t="shared" si="34"/>
        <v>2.316268426812595</v>
      </c>
      <c r="H471" s="75">
        <f t="shared" si="35"/>
        <v>2.316268426812595</v>
      </c>
      <c r="J471"/>
      <c r="K471"/>
      <c r="L471"/>
      <c r="M471"/>
      <c r="N471"/>
      <c r="O471"/>
      <c r="P471"/>
    </row>
    <row r="472" spans="2:16" x14ac:dyDescent="0.15">
      <c r="B472" s="16">
        <v>43119</v>
      </c>
      <c r="C472" s="29">
        <f t="array" ref="C472">SUMPRODUCT('ファンドデータ(変更不要)'!K472:P472,TRANSPOSE(戦略の決定!$D$13:$D$18))</f>
        <v>1.0013148553286083E-2</v>
      </c>
      <c r="D472" s="29">
        <f t="array" ref="D472">SUMPRODUCT('ファンドデータ(変更不要)'!K472:P472,TRANSPOSE(戦略の決定!$E$13:$E$18))</f>
        <v>1.5531490359650454E-2</v>
      </c>
      <c r="E472" s="29">
        <f t="array" ref="E472">SUMPRODUCT('ファンドデータ(変更不要)'!K472:P472,TRANSPOSE(戦略の決定!$F$13:$F$18))</f>
        <v>1.5531490359650454E-2</v>
      </c>
      <c r="F472" s="183">
        <f t="shared" si="33"/>
        <v>1.9520805205972924</v>
      </c>
      <c r="G472" s="183">
        <f t="shared" si="34"/>
        <v>2.3522435275539975</v>
      </c>
      <c r="H472" s="75">
        <f t="shared" si="35"/>
        <v>2.3522435275539975</v>
      </c>
      <c r="J472"/>
      <c r="K472"/>
      <c r="L472"/>
      <c r="M472"/>
      <c r="N472"/>
      <c r="O472"/>
      <c r="P472"/>
    </row>
    <row r="473" spans="2:16" x14ac:dyDescent="0.15">
      <c r="B473" s="16">
        <v>43126</v>
      </c>
      <c r="C473" s="29">
        <f t="array" ref="C473">SUMPRODUCT('ファンドデータ(変更不要)'!K473:P473,TRANSPOSE(戦略の決定!$D$13:$D$18))</f>
        <v>-2.3215056134713173E-4</v>
      </c>
      <c r="D473" s="29">
        <f t="array" ref="D473">SUMPRODUCT('ファンドデータ(変更不要)'!K473:P473,TRANSPOSE(戦略の決定!$E$13:$E$18))</f>
        <v>1.9824275533255522E-3</v>
      </c>
      <c r="E473" s="29">
        <f t="array" ref="E473">SUMPRODUCT('ファンドデータ(変更不要)'!K473:P473,TRANSPOSE(戦略の決定!$F$13:$F$18))</f>
        <v>1.9824275533255522E-3</v>
      </c>
      <c r="F473" s="183">
        <f t="shared" si="33"/>
        <v>1.9516273440086409</v>
      </c>
      <c r="G473" s="183">
        <f t="shared" si="34"/>
        <v>2.3569066799351521</v>
      </c>
      <c r="H473" s="75">
        <f t="shared" si="35"/>
        <v>2.3569066799351521</v>
      </c>
      <c r="J473"/>
      <c r="K473"/>
      <c r="L473"/>
      <c r="M473"/>
      <c r="N473"/>
      <c r="O473"/>
      <c r="P473"/>
    </row>
    <row r="474" spans="2:16" x14ac:dyDescent="0.15">
      <c r="B474" s="16">
        <v>43133</v>
      </c>
      <c r="C474" s="29">
        <f t="array" ref="C474">SUMPRODUCT('ファンドデータ(変更不要)'!K474:P474,TRANSPOSE(戦略の決定!$D$13:$D$18))</f>
        <v>-4.5095865931778778E-3</v>
      </c>
      <c r="D474" s="29">
        <f t="array" ref="D474">SUMPRODUCT('ファンドデータ(変更不要)'!K474:P474,TRANSPOSE(戦略の決定!$E$13:$E$18))</f>
        <v>-4.9492323804383202E-3</v>
      </c>
      <c r="E474" s="29">
        <f t="array" ref="E474">SUMPRODUCT('ファンドデータ(変更不要)'!K474:P474,TRANSPOSE(戦略の決定!$F$13:$F$18))</f>
        <v>-4.9492323804383202E-3</v>
      </c>
      <c r="F474" s="183">
        <f t="shared" si="33"/>
        <v>1.94282631150322</v>
      </c>
      <c r="G474" s="183">
        <f t="shared" si="34"/>
        <v>2.3452418010771456</v>
      </c>
      <c r="H474" s="75">
        <f t="shared" si="35"/>
        <v>2.3452418010771456</v>
      </c>
      <c r="J474"/>
      <c r="K474"/>
      <c r="L474"/>
      <c r="M474"/>
      <c r="N474"/>
      <c r="O474"/>
      <c r="P474"/>
    </row>
    <row r="475" spans="2:16" x14ac:dyDescent="0.15">
      <c r="B475" s="16">
        <v>43140</v>
      </c>
      <c r="C475" s="29">
        <f t="array" ref="C475">SUMPRODUCT('ファンドデータ(変更不要)'!K475:P475,TRANSPOSE(戦略の決定!$D$13:$D$18))</f>
        <v>-2.9154099485158933E-2</v>
      </c>
      <c r="D475" s="29">
        <f t="array" ref="D475">SUMPRODUCT('ファンドデータ(変更不要)'!K475:P475,TRANSPOSE(戦略の決定!$E$13:$E$18))</f>
        <v>-3.7296660057874569E-2</v>
      </c>
      <c r="E475" s="29">
        <f t="array" ref="E475">SUMPRODUCT('ファンドデータ(変更不要)'!K475:P475,TRANSPOSE(戦略の決定!$F$13:$F$18))</f>
        <v>-3.7296660057874569E-2</v>
      </c>
      <c r="F475" s="183">
        <f t="shared" si="33"/>
        <v>1.8861849599352709</v>
      </c>
      <c r="G475" s="183">
        <f t="shared" si="34"/>
        <v>2.2577721148688537</v>
      </c>
      <c r="H475" s="75">
        <f t="shared" si="35"/>
        <v>2.2577721148688537</v>
      </c>
      <c r="J475"/>
      <c r="K475"/>
      <c r="L475"/>
      <c r="M475"/>
      <c r="N475"/>
      <c r="O475"/>
      <c r="P475"/>
    </row>
    <row r="476" spans="2:16" x14ac:dyDescent="0.15">
      <c r="B476" s="16">
        <v>43147</v>
      </c>
      <c r="C476" s="29">
        <f t="array" ref="C476">SUMPRODUCT('ファンドデータ(変更不要)'!K476:P476,TRANSPOSE(戦略の決定!$D$13:$D$18))</f>
        <v>-9.6998034206683195E-4</v>
      </c>
      <c r="D476" s="29">
        <f t="array" ref="D476">SUMPRODUCT('ファンドデータ(変更不要)'!K476:P476,TRANSPOSE(戦略の決定!$E$13:$E$18))</f>
        <v>2.4797148738045982E-4</v>
      </c>
      <c r="E476" s="29">
        <f t="array" ref="E476">SUMPRODUCT('ファンドデータ(変更不要)'!K476:P476,TRANSPOSE(戦略の決定!$F$13:$F$18))</f>
        <v>2.4797148738045982E-4</v>
      </c>
      <c r="F476" s="183">
        <f t="shared" si="33"/>
        <v>1.8843553976026315</v>
      </c>
      <c r="G476" s="183">
        <f t="shared" si="34"/>
        <v>2.2583319779783437</v>
      </c>
      <c r="H476" s="75">
        <f t="shared" si="35"/>
        <v>2.2583319779783437</v>
      </c>
      <c r="J476"/>
      <c r="K476"/>
      <c r="L476"/>
      <c r="M476"/>
      <c r="N476"/>
      <c r="O476"/>
      <c r="P476"/>
    </row>
    <row r="477" spans="2:16" x14ac:dyDescent="0.15">
      <c r="B477" s="16">
        <v>43154</v>
      </c>
      <c r="C477" s="29">
        <f t="array" ref="C477">SUMPRODUCT('ファンドデータ(変更不要)'!K477:P477,TRANSPOSE(戦略の決定!$D$13:$D$18))</f>
        <v>7.0845389321773514E-3</v>
      </c>
      <c r="D477" s="29">
        <f t="array" ref="D477">SUMPRODUCT('ファンドデータ(変更不要)'!K477:P477,TRANSPOSE(戦略の決定!$E$13:$E$18))</f>
        <v>1.1352805818764499E-2</v>
      </c>
      <c r="E477" s="29">
        <f t="array" ref="E477">SUMPRODUCT('ファンドデータ(変更不要)'!K477:P477,TRANSPOSE(戦略の決定!$F$13:$F$18))</f>
        <v>1.1352805818764499E-2</v>
      </c>
      <c r="F477" s="183">
        <f t="shared" si="33"/>
        <v>1.897705186779006</v>
      </c>
      <c r="G477" s="183">
        <f t="shared" si="34"/>
        <v>2.2839703823986381</v>
      </c>
      <c r="H477" s="75">
        <f t="shared" si="35"/>
        <v>2.2839703823986381</v>
      </c>
      <c r="J477"/>
      <c r="K477"/>
      <c r="L477"/>
      <c r="M477"/>
      <c r="N477"/>
      <c r="O477"/>
      <c r="P477"/>
    </row>
    <row r="478" spans="2:16" x14ac:dyDescent="0.15">
      <c r="B478" s="16">
        <v>43161</v>
      </c>
      <c r="C478" s="29">
        <f t="array" ref="C478">SUMPRODUCT('ファンドデータ(変更不要)'!K478:P478,TRANSPOSE(戦略の決定!$D$13:$D$18))</f>
        <v>-9.1195425196411301E-3</v>
      </c>
      <c r="D478" s="29">
        <f t="array" ref="D478">SUMPRODUCT('ファンドデータ(変更不要)'!K478:P478,TRANSPOSE(戦略の決定!$E$13:$E$18))</f>
        <v>-1.0526866494914199E-2</v>
      </c>
      <c r="E478" s="29">
        <f t="array" ref="E478">SUMPRODUCT('ファンドデータ(変更不要)'!K478:P478,TRANSPOSE(戦略の決定!$F$13:$F$18))</f>
        <v>-1.0526866494914199E-2</v>
      </c>
      <c r="F478" s="183">
        <f t="shared" si="33"/>
        <v>1.8803989836384314</v>
      </c>
      <c r="G478" s="183">
        <f t="shared" si="34"/>
        <v>2.2599273311047896</v>
      </c>
      <c r="H478" s="75">
        <f t="shared" si="35"/>
        <v>2.2599273311047896</v>
      </c>
      <c r="J478"/>
      <c r="K478"/>
      <c r="L478"/>
      <c r="M478"/>
      <c r="N478"/>
      <c r="O478"/>
      <c r="P478"/>
    </row>
    <row r="479" spans="2:16" x14ac:dyDescent="0.15">
      <c r="B479" s="16">
        <v>43168</v>
      </c>
      <c r="C479" s="29">
        <f t="array" ref="C479">SUMPRODUCT('ファンドデータ(変更不要)'!K479:P479,TRANSPOSE(戦略の決定!$D$13:$D$18))</f>
        <v>2.6835587692303894E-3</v>
      </c>
      <c r="D479" s="29">
        <f t="array" ref="D479">SUMPRODUCT('ファンドデータ(変更不要)'!K479:P479,TRANSPOSE(戦略の決定!$E$13:$E$18))</f>
        <v>1.2391595029951812E-3</v>
      </c>
      <c r="E479" s="29">
        <f t="array" ref="E479">SUMPRODUCT('ファンドデータ(変更不要)'!K479:P479,TRANSPOSE(戦略の決定!$F$13:$F$18))</f>
        <v>1.2391595029951812E-3</v>
      </c>
      <c r="F479" s="183">
        <f t="shared" si="33"/>
        <v>1.8854451448206262</v>
      </c>
      <c r="G479" s="183">
        <f t="shared" si="34"/>
        <v>2.2627277415332068</v>
      </c>
      <c r="H479" s="75">
        <f t="shared" si="35"/>
        <v>2.2627277415332068</v>
      </c>
      <c r="J479"/>
      <c r="K479"/>
      <c r="L479"/>
      <c r="M479"/>
      <c r="N479"/>
      <c r="O479"/>
      <c r="P479"/>
    </row>
    <row r="480" spans="2:16" x14ac:dyDescent="0.15">
      <c r="B480" s="16">
        <v>43175</v>
      </c>
      <c r="C480" s="29">
        <f t="array" ref="C480">SUMPRODUCT('ファンドデータ(変更不要)'!K480:P480,TRANSPOSE(戦略の決定!$D$13:$D$18))</f>
        <v>5.8980316819700739E-3</v>
      </c>
      <c r="D480" s="29">
        <f t="array" ref="D480">SUMPRODUCT('ファンドデータ(変更不要)'!K480:P480,TRANSPOSE(戦略の決定!$E$13:$E$18))</f>
        <v>9.1638758436611654E-3</v>
      </c>
      <c r="E480" s="29">
        <f t="array" ref="E480">SUMPRODUCT('ファンドデータ(変更不要)'!K480:P480,TRANSPOSE(戦略の決定!$F$13:$F$18))</f>
        <v>9.1638758436611654E-3</v>
      </c>
      <c r="F480" s="183">
        <f t="shared" si="33"/>
        <v>1.8965655600193949</v>
      </c>
      <c r="G480" s="183">
        <f t="shared" si="34"/>
        <v>2.2834630976246251</v>
      </c>
      <c r="H480" s="75">
        <f t="shared" si="35"/>
        <v>2.2834630976246251</v>
      </c>
      <c r="J480"/>
      <c r="K480"/>
      <c r="L480"/>
      <c r="M480"/>
      <c r="N480"/>
      <c r="O480"/>
      <c r="P480"/>
    </row>
    <row r="481" spans="2:16" x14ac:dyDescent="0.15">
      <c r="B481" s="16">
        <v>43182</v>
      </c>
      <c r="C481" s="29">
        <f t="array" ref="C481">SUMPRODUCT('ファンドデータ(変更不要)'!K481:P481,TRANSPOSE(戦略の決定!$D$13:$D$18))</f>
        <v>-1.1986089295684375E-2</v>
      </c>
      <c r="D481" s="29">
        <f t="array" ref="D481">SUMPRODUCT('ファンドデータ(変更不要)'!K481:P481,TRANSPOSE(戦略の決定!$E$13:$E$18))</f>
        <v>-1.3792138663740025E-2</v>
      </c>
      <c r="E481" s="29">
        <f t="array" ref="E481">SUMPRODUCT('ファンドデータ(変更不要)'!K481:P481,TRANSPOSE(戦略の決定!$F$13:$F$18))</f>
        <v>-1.3792138663740025E-2</v>
      </c>
      <c r="F481" s="183">
        <f t="shared" si="33"/>
        <v>1.8738331558618828</v>
      </c>
      <c r="G481" s="183">
        <f t="shared" si="34"/>
        <v>2.251969257948653</v>
      </c>
      <c r="H481" s="75">
        <f t="shared" si="35"/>
        <v>2.251969257948653</v>
      </c>
      <c r="J481"/>
      <c r="K481"/>
      <c r="L481"/>
      <c r="M481"/>
      <c r="N481"/>
      <c r="O481"/>
      <c r="P481"/>
    </row>
    <row r="482" spans="2:16" x14ac:dyDescent="0.15">
      <c r="B482" s="16">
        <v>43189</v>
      </c>
      <c r="C482" s="29">
        <f t="array" ref="C482">SUMPRODUCT('ファンドデータ(変更不要)'!K482:P482,TRANSPOSE(戦略の決定!$D$13:$D$18))</f>
        <v>1.1395593428093131E-2</v>
      </c>
      <c r="D482" s="29">
        <f t="array" ref="D482">SUMPRODUCT('ファンドデータ(変更不要)'!K482:P482,TRANSPOSE(戦略の決定!$E$13:$E$18))</f>
        <v>9.6131447577850748E-3</v>
      </c>
      <c r="E482" s="29">
        <f t="array" ref="E482">SUMPRODUCT('ファンドデータ(変更不要)'!K482:P482,TRANSPOSE(戦略の決定!$F$13:$F$18))</f>
        <v>9.6131447577850748E-3</v>
      </c>
      <c r="F482" s="183">
        <f t="shared" si="33"/>
        <v>1.8951865966581656</v>
      </c>
      <c r="G482" s="183">
        <f t="shared" si="34"/>
        <v>2.2736177644153956</v>
      </c>
      <c r="H482" s="75">
        <f t="shared" si="35"/>
        <v>2.2736177644153956</v>
      </c>
      <c r="J482"/>
      <c r="K482"/>
      <c r="L482"/>
      <c r="M482"/>
      <c r="N482"/>
      <c r="O482"/>
      <c r="P482"/>
    </row>
    <row r="483" spans="2:16" x14ac:dyDescent="0.15">
      <c r="B483" s="16">
        <v>43196</v>
      </c>
      <c r="C483" s="29">
        <f t="array" ref="C483">SUMPRODUCT('ファンドデータ(変更不要)'!K483:P483,TRANSPOSE(戦略の決定!$D$13:$D$18))</f>
        <v>2.2596469396794971E-3</v>
      </c>
      <c r="D483" s="29">
        <f t="array" ref="D483">SUMPRODUCT('ファンドデータ(変更不要)'!K483:P483,TRANSPOSE(戦略の決定!$E$13:$E$18))</f>
        <v>2.6517374654002335E-3</v>
      </c>
      <c r="E483" s="29">
        <f t="array" ref="E483">SUMPRODUCT('ファンドデータ(変更不要)'!K483:P483,TRANSPOSE(戦略の決定!$F$13:$F$18))</f>
        <v>2.6517374654002335E-3</v>
      </c>
      <c r="F483" s="183">
        <f t="shared" si="33"/>
        <v>1.8994690492514257</v>
      </c>
      <c r="G483" s="183">
        <f t="shared" si="34"/>
        <v>2.2796468018232954</v>
      </c>
      <c r="H483" s="75">
        <f t="shared" si="35"/>
        <v>2.2796468018232954</v>
      </c>
      <c r="J483"/>
      <c r="K483"/>
      <c r="L483"/>
      <c r="M483"/>
      <c r="N483"/>
      <c r="O483"/>
      <c r="P483"/>
    </row>
    <row r="484" spans="2:16" x14ac:dyDescent="0.15">
      <c r="B484" s="16">
        <v>43203</v>
      </c>
      <c r="C484" s="29">
        <f t="array" ref="C484">SUMPRODUCT('ファンドデータ(変更不要)'!K484:P484,TRANSPOSE(戦略の決定!$D$13:$D$18))</f>
        <v>5.3122043836401987E-3</v>
      </c>
      <c r="D484" s="29">
        <f t="array" ref="D484">SUMPRODUCT('ファンドデータ(変更不要)'!K484:P484,TRANSPOSE(戦略の決定!$E$13:$E$18))</f>
        <v>6.0114029453472604E-3</v>
      </c>
      <c r="E484" s="29">
        <f t="array" ref="E484">SUMPRODUCT('ファンドデータ(変更不要)'!K484:P484,TRANSPOSE(戦略の決定!$F$13:$F$18))</f>
        <v>6.0114029453472604E-3</v>
      </c>
      <c r="F484" s="183">
        <f t="shared" si="33"/>
        <v>1.9095594170614481</v>
      </c>
      <c r="G484" s="183">
        <f t="shared" si="34"/>
        <v>2.2933506773221275</v>
      </c>
      <c r="H484" s="75">
        <f t="shared" si="35"/>
        <v>2.2933506773221275</v>
      </c>
      <c r="J484"/>
      <c r="K484"/>
      <c r="L484"/>
      <c r="M484"/>
      <c r="N484"/>
      <c r="O484"/>
      <c r="P484"/>
    </row>
    <row r="485" spans="2:16" x14ac:dyDescent="0.15">
      <c r="B485" s="16">
        <v>43210</v>
      </c>
      <c r="C485" s="29">
        <f t="array" ref="C485">SUMPRODUCT('ファンドデータ(変更不要)'!K485:P485,TRANSPOSE(戦略の決定!$D$13:$D$18))</f>
        <v>2.6739837804976357E-3</v>
      </c>
      <c r="D485" s="29">
        <f t="array" ref="D485">SUMPRODUCT('ファンドデータ(変更不要)'!K485:P485,TRANSPOSE(戦略の決定!$E$13:$E$18))</f>
        <v>4.6104794232876035E-3</v>
      </c>
      <c r="E485" s="29">
        <f t="array" ref="E485">SUMPRODUCT('ファンドデータ(変更不要)'!K485:P485,TRANSPOSE(戦略の決定!$F$13:$F$18))</f>
        <v>4.6104794232876035E-3</v>
      </c>
      <c r="F485" s="183">
        <f t="shared" si="33"/>
        <v>1.914665547970567</v>
      </c>
      <c r="G485" s="183">
        <f t="shared" si="34"/>
        <v>2.3039241234303036</v>
      </c>
      <c r="H485" s="75">
        <f t="shared" si="35"/>
        <v>2.3039241234303036</v>
      </c>
      <c r="J485"/>
      <c r="K485"/>
      <c r="L485"/>
      <c r="M485"/>
      <c r="N485"/>
      <c r="O485"/>
      <c r="P485"/>
    </row>
    <row r="486" spans="2:16" x14ac:dyDescent="0.15">
      <c r="B486" s="16">
        <v>43217</v>
      </c>
      <c r="C486" s="29">
        <f t="array" ref="C486">SUMPRODUCT('ファンドデータ(変更不要)'!K486:P486,TRANSPOSE(戦略の決定!$D$13:$D$18))</f>
        <v>6.204591826405377E-3</v>
      </c>
      <c r="D486" s="29">
        <f t="array" ref="D486">SUMPRODUCT('ファンドデータ(変更不要)'!K486:P486,TRANSPOSE(戦略の決定!$E$13:$E$18))</f>
        <v>7.8537733864739584E-3</v>
      </c>
      <c r="E486" s="29">
        <f t="array" ref="E486">SUMPRODUCT('ファンドデータ(変更不要)'!K486:P486,TRANSPOSE(戦略の決定!$F$13:$F$18))</f>
        <v>7.8537733864739584E-3</v>
      </c>
      <c r="F486" s="183">
        <f t="shared" si="33"/>
        <v>1.926545266179805</v>
      </c>
      <c r="G486" s="183">
        <f t="shared" si="34"/>
        <v>2.3220186213953555</v>
      </c>
      <c r="H486" s="75">
        <f t="shared" si="35"/>
        <v>2.3220186213953555</v>
      </c>
      <c r="J486"/>
      <c r="K486"/>
      <c r="L486"/>
      <c r="M486"/>
      <c r="N486"/>
      <c r="O486"/>
      <c r="P486"/>
    </row>
    <row r="487" spans="2:16" x14ac:dyDescent="0.15">
      <c r="B487" s="16">
        <v>43224</v>
      </c>
      <c r="C487" s="29">
        <f t="array" ref="C487">SUMPRODUCT('ファンドデータ(変更不要)'!K487:P487,TRANSPOSE(戦略の決定!$D$13:$D$18))</f>
        <v>-5.2923911402059042E-4</v>
      </c>
      <c r="D487" s="29">
        <f t="array" ref="D487">SUMPRODUCT('ファンドデータ(変更不要)'!K487:P487,TRANSPOSE(戦略の決定!$E$13:$E$18))</f>
        <v>-1.4901238299350763E-3</v>
      </c>
      <c r="E487" s="29">
        <f t="array" ref="E487">SUMPRODUCT('ファンドデータ(変更不要)'!K487:P487,TRANSPOSE(戦略の決定!$F$13:$F$18))</f>
        <v>-1.4901238299350763E-3</v>
      </c>
      <c r="F487" s="183">
        <f t="shared" si="33"/>
        <v>1.9255256630700115</v>
      </c>
      <c r="G487" s="183">
        <f t="shared" si="34"/>
        <v>2.3185585261140611</v>
      </c>
      <c r="H487" s="75">
        <f t="shared" si="35"/>
        <v>2.3185585261140611</v>
      </c>
      <c r="J487"/>
      <c r="K487"/>
      <c r="L487"/>
      <c r="M487"/>
      <c r="N487"/>
      <c r="O487"/>
      <c r="P487"/>
    </row>
    <row r="488" spans="2:16" x14ac:dyDescent="0.15">
      <c r="B488" s="16">
        <v>43231</v>
      </c>
      <c r="C488" s="29">
        <f t="array" ref="C488">SUMPRODUCT('ファンドデータ(変更不要)'!K488:P488,TRANSPOSE(戦略の決定!$D$13:$D$18))</f>
        <v>2.9314110059973134E-3</v>
      </c>
      <c r="D488" s="29">
        <f t="array" ref="D488">SUMPRODUCT('ファンドデータ(変更不要)'!K488:P488,TRANSPOSE(戦略の決定!$E$13:$E$18))</f>
        <v>6.4362918562535856E-3</v>
      </c>
      <c r="E488" s="29">
        <f t="array" ref="E488">SUMPRODUCT('ファンドデータ(変更不要)'!K488:P488,TRANSPOSE(戦略の決定!$F$13:$F$18))</f>
        <v>6.4362918562535856E-3</v>
      </c>
      <c r="F488" s="183">
        <f t="shared" si="33"/>
        <v>1.9311701701910651</v>
      </c>
      <c r="G488" s="183">
        <f t="shared" si="34"/>
        <v>2.3334814454739363</v>
      </c>
      <c r="H488" s="75">
        <f t="shared" si="35"/>
        <v>2.3334814454739363</v>
      </c>
      <c r="J488"/>
      <c r="K488"/>
      <c r="L488"/>
      <c r="M488"/>
      <c r="N488"/>
      <c r="O488"/>
      <c r="P488"/>
    </row>
    <row r="489" spans="2:16" x14ac:dyDescent="0.15">
      <c r="B489" s="16">
        <v>43238</v>
      </c>
      <c r="C489" s="29">
        <f t="array" ref="C489">SUMPRODUCT('ファンドデータ(変更不要)'!K489:P489,TRANSPOSE(戦略の決定!$D$13:$D$18))</f>
        <v>2.1353737029566494E-3</v>
      </c>
      <c r="D489" s="29">
        <f t="array" ref="D489">SUMPRODUCT('ファンドデータ(変更不要)'!K489:P489,TRANSPOSE(戦略の決定!$E$13:$E$18))</f>
        <v>3.4199968470422434E-3</v>
      </c>
      <c r="E489" s="29">
        <f t="array" ref="E489">SUMPRODUCT('ファンドデータ(変更不要)'!K489:P489,TRANSPOSE(戦略の決定!$F$13:$F$18))</f>
        <v>3.4199968470422434E-3</v>
      </c>
      <c r="F489" s="183">
        <f t="shared" si="33"/>
        <v>1.9352939401884253</v>
      </c>
      <c r="G489" s="183">
        <f t="shared" si="34"/>
        <v>2.3414619446600891</v>
      </c>
      <c r="H489" s="75">
        <f t="shared" si="35"/>
        <v>2.3414619446600891</v>
      </c>
      <c r="J489"/>
      <c r="K489"/>
      <c r="L489"/>
      <c r="M489"/>
      <c r="N489"/>
      <c r="O489"/>
      <c r="P489"/>
    </row>
    <row r="490" spans="2:16" x14ac:dyDescent="0.15">
      <c r="B490" s="16">
        <v>43245</v>
      </c>
      <c r="C490" s="29">
        <f t="array" ref="C490">SUMPRODUCT('ファンドデータ(変更不要)'!K490:P490,TRANSPOSE(戦略の決定!$D$13:$D$18))</f>
        <v>-5.6166619194317619E-3</v>
      </c>
      <c r="D490" s="29">
        <f t="array" ref="D490">SUMPRODUCT('ファンドデータ(変更不要)'!K490:P490,TRANSPOSE(戦略の決定!$E$13:$E$18))</f>
        <v>-5.0164398236657842E-3</v>
      </c>
      <c r="E490" s="29">
        <f t="array" ref="E490">SUMPRODUCT('ファンドデータ(変更不要)'!K490:P490,TRANSPOSE(戦略の決定!$F$13:$F$18))</f>
        <v>-5.0164398236657842E-3</v>
      </c>
      <c r="F490" s="183">
        <f t="shared" si="33"/>
        <v>1.9244240484116619</v>
      </c>
      <c r="G490" s="183">
        <f t="shared" si="34"/>
        <v>2.3297161417152985</v>
      </c>
      <c r="H490" s="75">
        <f t="shared" si="35"/>
        <v>2.3297161417152985</v>
      </c>
      <c r="J490"/>
      <c r="K490"/>
      <c r="L490"/>
      <c r="M490"/>
      <c r="N490"/>
      <c r="O490"/>
      <c r="P490"/>
    </row>
    <row r="491" spans="2:16" x14ac:dyDescent="0.15">
      <c r="B491" s="16">
        <v>43252</v>
      </c>
      <c r="C491" s="29">
        <f t="array" ref="C491">SUMPRODUCT('ファンドデータ(変更不要)'!K491:P491,TRANSPOSE(戦略の決定!$D$13:$D$18))</f>
        <v>-5.6895337538821781E-3</v>
      </c>
      <c r="D491" s="29">
        <f t="array" ref="D491">SUMPRODUCT('ファンドデータ(変更不要)'!K491:P491,TRANSPOSE(戦略の決定!$E$13:$E$18))</f>
        <v>-8.0598472394872965E-3</v>
      </c>
      <c r="E491" s="29">
        <f t="array" ref="E491">SUMPRODUCT('ファンドデータ(変更不要)'!K491:P491,TRANSPOSE(戦略の決定!$F$13:$F$18))</f>
        <v>-8.0598472394872965E-3</v>
      </c>
      <c r="F491" s="183">
        <f t="shared" si="33"/>
        <v>1.9134749728314413</v>
      </c>
      <c r="G491" s="183">
        <f t="shared" si="34"/>
        <v>2.3109389855017057</v>
      </c>
      <c r="H491" s="75">
        <f t="shared" si="35"/>
        <v>2.3109389855017057</v>
      </c>
      <c r="J491"/>
      <c r="K491"/>
      <c r="L491"/>
      <c r="M491"/>
      <c r="N491"/>
      <c r="O491"/>
      <c r="P491"/>
    </row>
    <row r="492" spans="2:16" x14ac:dyDescent="0.15">
      <c r="B492" s="16">
        <v>43259</v>
      </c>
      <c r="C492" s="29">
        <f t="array" ref="C492">SUMPRODUCT('ファンドデータ(変更不要)'!K492:P492,TRANSPOSE(戦略の決定!$D$13:$D$18))</f>
        <v>7.7052015527755363E-3</v>
      </c>
      <c r="D492" s="29">
        <f t="array" ref="D492">SUMPRODUCT('ファンドデータ(変更不要)'!K492:P492,TRANSPOSE(戦略の決定!$E$13:$E$18))</f>
        <v>9.8467837200639022E-3</v>
      </c>
      <c r="E492" s="29">
        <f t="array" ref="E492">SUMPRODUCT('ファンドデータ(変更不要)'!K492:P492,TRANSPOSE(戦略の決定!$F$13:$F$18))</f>
        <v>9.8467837200639022E-3</v>
      </c>
      <c r="F492" s="183">
        <f t="shared" si="33"/>
        <v>1.928218683163299</v>
      </c>
      <c r="G492" s="183">
        <f t="shared" si="34"/>
        <v>2.3336943018822049</v>
      </c>
      <c r="H492" s="75">
        <f t="shared" si="35"/>
        <v>2.3336943018822049</v>
      </c>
      <c r="J492"/>
      <c r="K492"/>
      <c r="L492"/>
      <c r="M492"/>
      <c r="N492"/>
      <c r="O492"/>
      <c r="P492"/>
    </row>
    <row r="493" spans="2:16" x14ac:dyDescent="0.15">
      <c r="B493" s="16">
        <v>43266</v>
      </c>
      <c r="C493" s="29">
        <f t="array" ref="C493">SUMPRODUCT('ファンドデータ(変更不要)'!K493:P493,TRANSPOSE(戦略の決定!$D$13:$D$18))</f>
        <v>2.5114722368002615E-3</v>
      </c>
      <c r="D493" s="29">
        <f t="array" ref="D493">SUMPRODUCT('ファンドデータ(変更不要)'!K493:P493,TRANSPOSE(戦略の決定!$E$13:$E$18))</f>
        <v>3.3741248429052313E-3</v>
      </c>
      <c r="E493" s="29">
        <f t="array" ref="E493">SUMPRODUCT('ファンドデータ(変更不要)'!K493:P493,TRANSPOSE(戦略の決定!$F$13:$F$18))</f>
        <v>3.3741248429052313E-3</v>
      </c>
      <c r="F493" s="183">
        <f t="shared" si="33"/>
        <v>1.9330613508525432</v>
      </c>
      <c r="G493" s="183">
        <f t="shared" si="34"/>
        <v>2.3415684778019323</v>
      </c>
      <c r="H493" s="75">
        <f t="shared" si="35"/>
        <v>2.3415684778019323</v>
      </c>
      <c r="J493"/>
      <c r="K493"/>
      <c r="L493"/>
      <c r="M493"/>
      <c r="N493"/>
      <c r="O493"/>
      <c r="P493"/>
    </row>
    <row r="494" spans="2:16" x14ac:dyDescent="0.15">
      <c r="B494" s="16">
        <v>43273</v>
      </c>
      <c r="C494" s="29">
        <f t="array" ref="C494">SUMPRODUCT('ファンドデータ(変更不要)'!K494:P494,TRANSPOSE(戦略の決定!$D$13:$D$18))</f>
        <v>-6.9315278735915275E-4</v>
      </c>
      <c r="D494" s="29">
        <f t="array" ref="D494">SUMPRODUCT('ファンドデータ(変更不要)'!K494:P494,TRANSPOSE(戦略の決定!$E$13:$E$18))</f>
        <v>7.2405120509756856E-4</v>
      </c>
      <c r="E494" s="29">
        <f t="array" ref="E494">SUMPRODUCT('ファンドデータ(変更不要)'!K494:P494,TRANSPOSE(戦略の決定!$F$13:$F$18))</f>
        <v>7.2405120509756856E-4</v>
      </c>
      <c r="F494" s="183">
        <f t="shared" si="33"/>
        <v>1.9317214439890635</v>
      </c>
      <c r="G494" s="183">
        <f t="shared" si="34"/>
        <v>2.3432638932801035</v>
      </c>
      <c r="H494" s="75">
        <f t="shared" si="35"/>
        <v>2.3432638932801035</v>
      </c>
      <c r="J494"/>
      <c r="K494"/>
      <c r="L494"/>
      <c r="M494"/>
      <c r="N494"/>
      <c r="O494"/>
      <c r="P494"/>
    </row>
    <row r="495" spans="2:16" x14ac:dyDescent="0.15">
      <c r="B495" s="16">
        <v>43280</v>
      </c>
      <c r="C495" s="29">
        <f t="array" ref="C495">SUMPRODUCT('ファンドデータ(変更不要)'!K495:P495,TRANSPOSE(戦略の決定!$D$13:$D$18))</f>
        <v>1.4429773906351783E-3</v>
      </c>
      <c r="D495" s="29">
        <f t="array" ref="D495">SUMPRODUCT('ファンドデータ(変更不要)'!K495:P495,TRANSPOSE(戦略の決定!$E$13:$E$18))</f>
        <v>2.5082332792660585E-3</v>
      </c>
      <c r="E495" s="29">
        <f t="array" ref="E495">SUMPRODUCT('ファンドデータ(変更不要)'!K495:P495,TRANSPOSE(戦略の決定!$F$13:$F$18))</f>
        <v>2.5082332792660585E-3</v>
      </c>
      <c r="F495" s="183">
        <f t="shared" si="33"/>
        <v>1.934508874357745</v>
      </c>
      <c r="G495" s="183">
        <f t="shared" si="34"/>
        <v>2.3491413457593313</v>
      </c>
      <c r="H495" s="75">
        <f t="shared" si="35"/>
        <v>2.3491413457593313</v>
      </c>
      <c r="J495"/>
      <c r="K495"/>
      <c r="L495"/>
      <c r="M495"/>
      <c r="N495"/>
      <c r="O495"/>
      <c r="P495"/>
    </row>
    <row r="496" spans="2:16" x14ac:dyDescent="0.15">
      <c r="B496" s="16">
        <v>43287</v>
      </c>
      <c r="C496" s="29">
        <f t="array" ref="C496">SUMPRODUCT('ファンドデータ(変更不要)'!K496:P496,TRANSPOSE(戦略の決定!$D$13:$D$18))</f>
        <v>2.9809368574697966E-3</v>
      </c>
      <c r="D496" s="29">
        <f t="array" ref="D496">SUMPRODUCT('ファンドデータ(変更不要)'!K496:P496,TRANSPOSE(戦略の決定!$E$13:$E$18))</f>
        <v>6.1443630475860201E-3</v>
      </c>
      <c r="E496" s="29">
        <f t="array" ref="E496">SUMPRODUCT('ファンドデータ(変更不要)'!K496:P496,TRANSPOSE(戦略の決定!$F$13:$F$18))</f>
        <v>6.1443630475860201E-3</v>
      </c>
      <c r="F496" s="183">
        <f t="shared" si="33"/>
        <v>1.9402755231624205</v>
      </c>
      <c r="G496" s="183">
        <f t="shared" si="34"/>
        <v>2.3635753230377712</v>
      </c>
      <c r="H496" s="75">
        <f t="shared" si="35"/>
        <v>2.3635753230377712</v>
      </c>
      <c r="J496"/>
      <c r="K496"/>
      <c r="L496"/>
      <c r="M496"/>
      <c r="N496"/>
      <c r="O496"/>
      <c r="P496"/>
    </row>
    <row r="497" spans="2:16" x14ac:dyDescent="0.15">
      <c r="B497" s="16">
        <v>43294</v>
      </c>
      <c r="C497" s="29">
        <f t="array" ref="C497">SUMPRODUCT('ファンドデータ(変更不要)'!K497:P497,TRANSPOSE(戦略の決定!$D$13:$D$18))</f>
        <v>1.112690292621891E-2</v>
      </c>
      <c r="D497" s="29">
        <f t="array" ref="D497">SUMPRODUCT('ファンドデータ(変更不要)'!K497:P497,TRANSPOSE(戦略の決定!$E$13:$E$18))</f>
        <v>1.0593338623222159E-2</v>
      </c>
      <c r="E497" s="29">
        <f t="array" ref="E497">SUMPRODUCT('ファンドデータ(変更不要)'!K497:P497,TRANSPOSE(戦略の決定!$F$13:$F$18))</f>
        <v>1.0593338623222159E-2</v>
      </c>
      <c r="F497" s="183">
        <f t="shared" si="33"/>
        <v>1.9618647805587672</v>
      </c>
      <c r="G497" s="183">
        <f t="shared" si="34"/>
        <v>2.388613476796202</v>
      </c>
      <c r="H497" s="75">
        <f t="shared" si="35"/>
        <v>2.388613476796202</v>
      </c>
      <c r="J497"/>
      <c r="K497"/>
      <c r="L497"/>
      <c r="M497"/>
      <c r="N497"/>
      <c r="O497"/>
      <c r="P497"/>
    </row>
    <row r="498" spans="2:16" x14ac:dyDescent="0.15">
      <c r="B498" s="16">
        <v>43301</v>
      </c>
      <c r="C498" s="29">
        <f t="array" ref="C498">SUMPRODUCT('ファンドデータ(変更不要)'!K498:P498,TRANSPOSE(戦略の決定!$D$13:$D$18))</f>
        <v>1.7091509187565938E-3</v>
      </c>
      <c r="D498" s="29">
        <f t="array" ref="D498">SUMPRODUCT('ファンドデータ(変更不要)'!K498:P498,TRANSPOSE(戦略の決定!$E$13:$E$18))</f>
        <v>2.6961255832874272E-3</v>
      </c>
      <c r="E498" s="29">
        <f t="array" ref="E498">SUMPRODUCT('ファンドデータ(変更不要)'!K498:P498,TRANSPOSE(戦略の決定!$F$13:$F$18))</f>
        <v>2.6961255832874272E-3</v>
      </c>
      <c r="F498" s="183">
        <f t="shared" si="33"/>
        <v>1.9652179035509354</v>
      </c>
      <c r="G498" s="183">
        <f t="shared" si="34"/>
        <v>2.3950534786995772</v>
      </c>
      <c r="H498" s="75">
        <f t="shared" si="35"/>
        <v>2.3950534786995772</v>
      </c>
      <c r="J498"/>
      <c r="K498"/>
      <c r="L498"/>
      <c r="M498"/>
      <c r="N498"/>
      <c r="O498"/>
      <c r="P498"/>
    </row>
    <row r="499" spans="2:16" x14ac:dyDescent="0.15">
      <c r="B499" s="16">
        <v>43308</v>
      </c>
      <c r="C499" s="29">
        <f t="array" ref="C499">SUMPRODUCT('ファンドデータ(変更不要)'!K499:P499,TRANSPOSE(戦略の決定!$D$13:$D$18))</f>
        <v>-1.0108385376592227E-2</v>
      </c>
      <c r="D499" s="29">
        <f t="array" ref="D499">SUMPRODUCT('ファンドデータ(変更不要)'!K499:P499,TRANSPOSE(戦略の決定!$E$13:$E$18))</f>
        <v>-1.0268476115066188E-2</v>
      </c>
      <c r="E499" s="29">
        <f t="array" ref="E499">SUMPRODUCT('ファンドデータ(変更不要)'!K499:P499,TRANSPOSE(戦略の決定!$F$13:$F$18))</f>
        <v>-1.0268476115066188E-2</v>
      </c>
      <c r="F499" s="183">
        <f t="shared" si="33"/>
        <v>1.945352723632864</v>
      </c>
      <c r="G499" s="183">
        <f t="shared" si="34"/>
        <v>2.3704599292592445</v>
      </c>
      <c r="H499" s="75">
        <f t="shared" si="35"/>
        <v>2.3704599292592445</v>
      </c>
      <c r="J499"/>
      <c r="K499"/>
      <c r="L499"/>
      <c r="M499"/>
      <c r="N499"/>
      <c r="O499"/>
      <c r="P499"/>
    </row>
    <row r="500" spans="2:16" x14ac:dyDescent="0.15">
      <c r="B500" s="16">
        <v>43315</v>
      </c>
      <c r="C500" s="29">
        <f t="array" ref="C500">SUMPRODUCT('ファンドデータ(変更不要)'!K500:P500,TRANSPOSE(戦略の決定!$D$13:$D$18))</f>
        <v>-2.7005058717394811E-4</v>
      </c>
      <c r="D500" s="29">
        <f t="array" ref="D500">SUMPRODUCT('ファンドデータ(変更不要)'!K500:P500,TRANSPOSE(戦略の決定!$E$13:$E$18))</f>
        <v>1.7983320856092314E-3</v>
      </c>
      <c r="E500" s="29">
        <f t="array" ref="E500">SUMPRODUCT('ファンドデータ(変更不要)'!K500:P500,TRANSPOSE(戦略の決定!$F$13:$F$18))</f>
        <v>1.7983320856092314E-3</v>
      </c>
      <c r="F500" s="183">
        <f t="shared" si="33"/>
        <v>1.9448273799875864</v>
      </c>
      <c r="G500" s="183">
        <f t="shared" si="34"/>
        <v>2.3747228034076824</v>
      </c>
      <c r="H500" s="75">
        <f t="shared" si="35"/>
        <v>2.3747228034076824</v>
      </c>
      <c r="J500"/>
      <c r="K500"/>
      <c r="L500"/>
      <c r="M500"/>
      <c r="N500"/>
      <c r="O500"/>
      <c r="P500"/>
    </row>
    <row r="501" spans="2:16" x14ac:dyDescent="0.15">
      <c r="B501" s="16">
        <v>43322</v>
      </c>
      <c r="C501" s="29">
        <f t="array" ref="C501">SUMPRODUCT('ファンドデータ(変更不要)'!K501:P501,TRANSPOSE(戦略の決定!$D$13:$D$18))</f>
        <v>-5.60866974811201E-3</v>
      </c>
      <c r="D501" s="29">
        <f t="array" ref="D501">SUMPRODUCT('ファンドデータ(変更不要)'!K501:P501,TRANSPOSE(戦略の決定!$E$13:$E$18))</f>
        <v>-6.6151801525021012E-3</v>
      </c>
      <c r="E501" s="29">
        <f t="array" ref="E501">SUMPRODUCT('ファンドデータ(変更不要)'!K501:P501,TRANSPOSE(戦略の決定!$F$13:$F$18))</f>
        <v>-6.6151801525021012E-3</v>
      </c>
      <c r="F501" s="183">
        <f t="shared" si="33"/>
        <v>1.9339194854961501</v>
      </c>
      <c r="G501" s="183">
        <f t="shared" si="34"/>
        <v>2.3590135842508859</v>
      </c>
      <c r="H501" s="75">
        <f t="shared" si="35"/>
        <v>2.3590135842508859</v>
      </c>
      <c r="J501"/>
      <c r="K501"/>
      <c r="L501"/>
      <c r="M501"/>
      <c r="N501"/>
      <c r="O501"/>
      <c r="P501"/>
    </row>
    <row r="502" spans="2:16" x14ac:dyDescent="0.15">
      <c r="B502" s="16">
        <v>43329</v>
      </c>
      <c r="C502" s="29">
        <f t="array" ref="C502">SUMPRODUCT('ファンドデータ(変更不要)'!K502:P502,TRANSPOSE(戦略の決定!$D$13:$D$18))</f>
        <v>-3.6970282006966834E-3</v>
      </c>
      <c r="D502" s="29">
        <f t="array" ref="D502">SUMPRODUCT('ファンドデータ(変更不要)'!K502:P502,TRANSPOSE(戦略の決定!$E$13:$E$18))</f>
        <v>-5.1977666033167034E-3</v>
      </c>
      <c r="E502" s="29">
        <f t="array" ref="E502">SUMPRODUCT('ファンドデータ(変更不要)'!K502:P502,TRANSPOSE(戦略の決定!$F$13:$F$18))</f>
        <v>-5.1977666033167034E-3</v>
      </c>
      <c r="F502" s="183">
        <f t="shared" si="33"/>
        <v>1.9267697306203939</v>
      </c>
      <c r="G502" s="183">
        <f t="shared" si="34"/>
        <v>2.346751982225896</v>
      </c>
      <c r="H502" s="75">
        <f t="shared" si="35"/>
        <v>2.346751982225896</v>
      </c>
      <c r="J502"/>
      <c r="K502"/>
      <c r="L502"/>
      <c r="M502"/>
      <c r="N502"/>
      <c r="O502"/>
      <c r="P502"/>
    </row>
    <row r="503" spans="2:16" x14ac:dyDescent="0.15">
      <c r="B503" s="16">
        <v>43336</v>
      </c>
      <c r="C503" s="29">
        <f t="array" ref="C503">SUMPRODUCT('ファンドデータ(変更不要)'!K503:P503,TRANSPOSE(戦略の決定!$D$13:$D$18))</f>
        <v>8.7443540892888777E-3</v>
      </c>
      <c r="D503" s="29">
        <f t="array" ref="D503">SUMPRODUCT('ファンドデータ(変更不要)'!K503:P503,TRANSPOSE(戦略の決定!$E$13:$E$18))</f>
        <v>1.0038278895400666E-2</v>
      </c>
      <c r="E503" s="29">
        <f t="array" ref="E503">SUMPRODUCT('ファンドデータ(変更不要)'!K503:P503,TRANSPOSE(戦略の決定!$F$13:$F$18))</f>
        <v>1.0038278895400666E-2</v>
      </c>
      <c r="F503" s="183">
        <f t="shared" si="33"/>
        <v>1.9436180873934623</v>
      </c>
      <c r="G503" s="183">
        <f t="shared" si="34"/>
        <v>2.3703093331218139</v>
      </c>
      <c r="H503" s="75">
        <f t="shared" si="35"/>
        <v>2.3703093331218139</v>
      </c>
      <c r="J503"/>
      <c r="K503"/>
      <c r="L503"/>
      <c r="M503"/>
      <c r="N503"/>
      <c r="O503"/>
      <c r="P503"/>
    </row>
    <row r="504" spans="2:16" x14ac:dyDescent="0.15">
      <c r="B504" s="16">
        <v>43343</v>
      </c>
      <c r="C504" s="29">
        <f t="array" ref="C504">SUMPRODUCT('ファンドデータ(変更不要)'!K504:P504,TRANSPOSE(戦略の決定!$D$13:$D$18))</f>
        <v>1.6631368891319674E-3</v>
      </c>
      <c r="D504" s="29">
        <f t="array" ref="D504">SUMPRODUCT('ファンドデータ(変更不要)'!K504:P504,TRANSPOSE(戦略の決定!$E$13:$E$18))</f>
        <v>2.0771306047651507E-3</v>
      </c>
      <c r="E504" s="29">
        <f t="array" ref="E504">SUMPRODUCT('ファンドデータ(変更不要)'!K504:P504,TRANSPOSE(戦略の決定!$F$13:$F$18))</f>
        <v>2.0771306047651507E-3</v>
      </c>
      <c r="F504" s="183">
        <f t="shared" si="33"/>
        <v>1.9468505903329905</v>
      </c>
      <c r="G504" s="183">
        <f t="shared" si="34"/>
        <v>2.3752327751804017</v>
      </c>
      <c r="H504" s="75">
        <f t="shared" si="35"/>
        <v>2.3752327751804017</v>
      </c>
      <c r="J504"/>
      <c r="K504"/>
      <c r="L504"/>
      <c r="M504"/>
      <c r="N504"/>
      <c r="O504"/>
      <c r="P504"/>
    </row>
    <row r="505" spans="2:16" x14ac:dyDescent="0.15">
      <c r="B505" s="16">
        <v>43350</v>
      </c>
      <c r="C505" s="29">
        <f t="array" ref="C505">SUMPRODUCT('ファンドデータ(変更不要)'!K505:P505,TRANSPOSE(戦略の決定!$D$13:$D$18))</f>
        <v>-6.6690675846732515E-3</v>
      </c>
      <c r="D505" s="29">
        <f t="array" ref="D505">SUMPRODUCT('ファンドデータ(変更不要)'!K505:P505,TRANSPOSE(戦略の決定!$E$13:$E$18))</f>
        <v>-7.1879095530614345E-3</v>
      </c>
      <c r="E505" s="29">
        <f t="array" ref="E505">SUMPRODUCT('ファンドデータ(変更不要)'!K505:P505,TRANSPOSE(戦略の決定!$F$13:$F$18))</f>
        <v>-7.1879095530614345E-3</v>
      </c>
      <c r="F505" s="183">
        <f t="shared" si="33"/>
        <v>1.9338669121687988</v>
      </c>
      <c r="G505" s="183">
        <f t="shared" si="34"/>
        <v>2.3581598168249376</v>
      </c>
      <c r="H505" s="75">
        <f t="shared" si="35"/>
        <v>2.3581598168249376</v>
      </c>
      <c r="J505"/>
      <c r="K505"/>
      <c r="L505"/>
      <c r="M505"/>
      <c r="N505"/>
      <c r="O505"/>
      <c r="P505"/>
    </row>
    <row r="506" spans="2:16" x14ac:dyDescent="0.15">
      <c r="B506" s="16">
        <v>43357</v>
      </c>
      <c r="C506" s="29">
        <f t="array" ref="C506">SUMPRODUCT('ファンドデータ(変更不要)'!K506:P506,TRANSPOSE(戦略の決定!$D$13:$D$18))</f>
        <v>1.0671373114450752E-2</v>
      </c>
      <c r="D506" s="29">
        <f t="array" ref="D506">SUMPRODUCT('ファンドデータ(変更不要)'!K506:P506,TRANSPOSE(戦略の決定!$E$13:$E$18))</f>
        <v>1.0043427267835827E-2</v>
      </c>
      <c r="E506" s="29">
        <f t="array" ref="E506">SUMPRODUCT('ファンドデータ(変更不要)'!K506:P506,TRANSPOSE(戦略の決定!$F$13:$F$18))</f>
        <v>1.0043427267835827E-2</v>
      </c>
      <c r="F506" s="183">
        <f t="shared" si="33"/>
        <v>1.9545039275422429</v>
      </c>
      <c r="G506" s="183">
        <f t="shared" si="34"/>
        <v>2.3818438234311516</v>
      </c>
      <c r="H506" s="75">
        <f t="shared" si="35"/>
        <v>2.3818438234311516</v>
      </c>
      <c r="J506"/>
      <c r="K506"/>
      <c r="L506"/>
      <c r="M506"/>
      <c r="N506"/>
      <c r="O506"/>
      <c r="P506"/>
    </row>
    <row r="507" spans="2:16" x14ac:dyDescent="0.15">
      <c r="B507" s="16">
        <v>43364</v>
      </c>
      <c r="C507" s="29">
        <f t="array" ref="C507">SUMPRODUCT('ファンドデータ(変更不要)'!K507:P507,TRANSPOSE(戦略の決定!$D$13:$D$18))</f>
        <v>4.74019081764223E-3</v>
      </c>
      <c r="D507" s="29">
        <f t="array" ref="D507">SUMPRODUCT('ファンドデータ(変更不要)'!K507:P507,TRANSPOSE(戦略の決定!$E$13:$E$18))</f>
        <v>3.4859233000856561E-3</v>
      </c>
      <c r="E507" s="29">
        <f t="array" ref="E507">SUMPRODUCT('ファンドデータ(変更不要)'!K507:P507,TRANSPOSE(戦略の決定!$F$13:$F$18))</f>
        <v>3.4859233000856561E-3</v>
      </c>
      <c r="F507" s="183">
        <f t="shared" si="33"/>
        <v>1.9637686491126245</v>
      </c>
      <c r="G507" s="183">
        <f t="shared" si="34"/>
        <v>2.3901467483124152</v>
      </c>
      <c r="H507" s="75">
        <f t="shared" si="35"/>
        <v>2.3901467483124152</v>
      </c>
      <c r="J507"/>
      <c r="K507"/>
      <c r="L507"/>
      <c r="M507"/>
      <c r="N507"/>
      <c r="O507"/>
      <c r="P507"/>
    </row>
    <row r="508" spans="2:16" x14ac:dyDescent="0.15">
      <c r="B508" s="16">
        <v>43371</v>
      </c>
      <c r="C508" s="29">
        <f t="array" ref="C508">SUMPRODUCT('ファンドデータ(変更不要)'!K508:P508,TRANSPOSE(戦略の決定!$D$13:$D$18))</f>
        <v>6.3315799890389926E-3</v>
      </c>
      <c r="D508" s="29">
        <f t="array" ref="D508">SUMPRODUCT('ファンドデータ(変更不要)'!K508:P508,TRANSPOSE(戦略の決定!$E$13:$E$18))</f>
        <v>8.5040931886900331E-3</v>
      </c>
      <c r="E508" s="29">
        <f t="array" ref="E508">SUMPRODUCT('ファンドデータ(変更不要)'!K508:P508,TRANSPOSE(戦略の決定!$F$13:$F$18))</f>
        <v>8.5040931886900331E-3</v>
      </c>
      <c r="F508" s="183">
        <f t="shared" si="33"/>
        <v>1.976202407394448</v>
      </c>
      <c r="G508" s="183">
        <f t="shared" si="34"/>
        <v>2.4104727789947082</v>
      </c>
      <c r="H508" s="75">
        <f t="shared" si="35"/>
        <v>2.4104727789947082</v>
      </c>
      <c r="J508"/>
      <c r="K508"/>
      <c r="L508"/>
      <c r="M508"/>
      <c r="N508"/>
      <c r="O508"/>
      <c r="P508"/>
    </row>
    <row r="509" spans="2:16" x14ac:dyDescent="0.15">
      <c r="B509" s="16">
        <v>43378</v>
      </c>
      <c r="C509" s="29">
        <f t="array" ref="C509">SUMPRODUCT('ファンドデータ(変更不要)'!K509:P509,TRANSPOSE(戦略の決定!$D$13:$D$18))</f>
        <v>-8.0131022010358367E-3</v>
      </c>
      <c r="D509" s="29">
        <f t="array" ref="D509">SUMPRODUCT('ファンドデータ(変更不要)'!K509:P509,TRANSPOSE(戦略の決定!$E$13:$E$18))</f>
        <v>-9.7477902069398048E-3</v>
      </c>
      <c r="E509" s="29">
        <f t="array" ref="E509">SUMPRODUCT('ファンドデータ(変更不要)'!K509:P509,TRANSPOSE(戦略の決定!$F$13:$F$18))</f>
        <v>-9.7477902069398048E-3</v>
      </c>
      <c r="F509" s="183">
        <f t="shared" si="33"/>
        <v>1.9603668955340632</v>
      </c>
      <c r="G509" s="183">
        <f t="shared" si="34"/>
        <v>2.3869759960455288</v>
      </c>
      <c r="H509" s="75">
        <f t="shared" si="35"/>
        <v>2.3869759960455288</v>
      </c>
      <c r="J509"/>
      <c r="K509"/>
      <c r="L509"/>
      <c r="M509"/>
      <c r="N509"/>
      <c r="O509"/>
      <c r="P509"/>
    </row>
    <row r="510" spans="2:16" x14ac:dyDescent="0.15">
      <c r="B510" s="16">
        <v>43385</v>
      </c>
      <c r="C510" s="29">
        <f t="array" ref="C510">SUMPRODUCT('ファンドデータ(変更不要)'!K510:P510,TRANSPOSE(戦略の決定!$D$13:$D$18))</f>
        <v>-1.3182372123239219E-2</v>
      </c>
      <c r="D510" s="29">
        <f t="array" ref="D510">SUMPRODUCT('ファンドデータ(変更不要)'!K510:P510,TRANSPOSE(戦略の決定!$E$13:$E$18))</f>
        <v>-1.5341492339711993E-2</v>
      </c>
      <c r="E510" s="29">
        <f t="array" ref="E510">SUMPRODUCT('ファンドデータ(変更不要)'!K510:P510,TRANSPOSE(戦略の決定!$F$13:$F$18))</f>
        <v>-1.5341492339711993E-2</v>
      </c>
      <c r="F510" s="183">
        <f t="shared" si="33"/>
        <v>1.9345246096190538</v>
      </c>
      <c r="G510" s="183">
        <f t="shared" si="34"/>
        <v>2.3503562220871199</v>
      </c>
      <c r="H510" s="75">
        <f t="shared" si="35"/>
        <v>2.3503562220871199</v>
      </c>
      <c r="J510"/>
      <c r="K510"/>
      <c r="L510"/>
      <c r="M510"/>
      <c r="N510"/>
      <c r="O510"/>
      <c r="P510"/>
    </row>
    <row r="511" spans="2:16" x14ac:dyDescent="0.15">
      <c r="B511" s="16">
        <v>43392</v>
      </c>
      <c r="C511" s="29">
        <f t="array" ref="C511">SUMPRODUCT('ファンドデータ(変更不要)'!K511:P511,TRANSPOSE(戦略の決定!$D$13:$D$18))</f>
        <v>3.0568240768811075E-4</v>
      </c>
      <c r="D511" s="29">
        <f t="array" ref="D511">SUMPRODUCT('ファンドデータ(変更不要)'!K511:P511,TRANSPOSE(戦略の決定!$E$13:$E$18))</f>
        <v>3.311902904459567E-3</v>
      </c>
      <c r="E511" s="29">
        <f t="array" ref="E511">SUMPRODUCT('ファンドデータ(変更不要)'!K511:P511,TRANSPOSE(戦略の決定!$F$13:$F$18))</f>
        <v>3.311902904459567E-3</v>
      </c>
      <c r="F511" s="183">
        <f t="shared" si="33"/>
        <v>1.9351159597594541</v>
      </c>
      <c r="G511" s="183">
        <f t="shared" si="34"/>
        <v>2.3581403736855648</v>
      </c>
      <c r="H511" s="75">
        <f t="shared" si="35"/>
        <v>2.3581403736855648</v>
      </c>
      <c r="J511"/>
      <c r="K511"/>
      <c r="L511"/>
      <c r="M511"/>
      <c r="N511"/>
      <c r="O511"/>
      <c r="P511"/>
    </row>
    <row r="512" spans="2:16" x14ac:dyDescent="0.15">
      <c r="B512" s="16">
        <v>43399</v>
      </c>
      <c r="C512" s="29">
        <f t="array" ref="C512">SUMPRODUCT('ファンドデータ(変更不要)'!K512:P512,TRANSPOSE(戦略の決定!$D$13:$D$18))</f>
        <v>-7.2493255198634423E-3</v>
      </c>
      <c r="D512" s="29">
        <f t="array" ref="D512">SUMPRODUCT('ファンドデータ(変更不要)'!K512:P512,TRANSPOSE(戦略の決定!$E$13:$E$18))</f>
        <v>-5.9886640512373029E-3</v>
      </c>
      <c r="E512" s="29">
        <f t="array" ref="E512">SUMPRODUCT('ファンドデータ(変更不要)'!K512:P512,TRANSPOSE(戦略の決定!$F$13:$F$18))</f>
        <v>-5.9886640512373029E-3</v>
      </c>
      <c r="F512" s="183">
        <f t="shared" si="33"/>
        <v>1.9210876742484748</v>
      </c>
      <c r="G512" s="183">
        <f t="shared" si="34"/>
        <v>2.3440182632019027</v>
      </c>
      <c r="H512" s="75">
        <f t="shared" si="35"/>
        <v>2.3440182632019027</v>
      </c>
      <c r="J512"/>
      <c r="K512"/>
      <c r="L512"/>
      <c r="M512"/>
      <c r="N512"/>
      <c r="O512"/>
      <c r="P512"/>
    </row>
    <row r="513" spans="2:16" x14ac:dyDescent="0.15">
      <c r="B513" s="16">
        <v>43406</v>
      </c>
      <c r="C513" s="29">
        <f t="array" ref="C513">SUMPRODUCT('ファンドデータ(変更不要)'!K513:P513,TRANSPOSE(戦略の決定!$D$13:$D$18))</f>
        <v>8.6968424143213721E-3</v>
      </c>
      <c r="D513" s="29">
        <f t="array" ref="D513">SUMPRODUCT('ファンドデータ(変更不要)'!K513:P513,TRANSPOSE(戦略の決定!$E$13:$E$18))</f>
        <v>7.1657393623758498E-3</v>
      </c>
      <c r="E513" s="29">
        <f t="array" ref="E513">SUMPRODUCT('ファンドデータ(変更不要)'!K513:P513,TRANSPOSE(戦略の決定!$F$13:$F$18))</f>
        <v>7.1657393623758498E-3</v>
      </c>
      <c r="F513" s="183">
        <f t="shared" si="33"/>
        <v>1.9377950710155092</v>
      </c>
      <c r="G513" s="183">
        <f t="shared" si="34"/>
        <v>2.3608148871366565</v>
      </c>
      <c r="H513" s="75">
        <f t="shared" si="35"/>
        <v>2.3608148871366565</v>
      </c>
      <c r="J513"/>
      <c r="K513"/>
      <c r="L513"/>
      <c r="M513"/>
      <c r="N513"/>
      <c r="O513"/>
      <c r="P513"/>
    </row>
    <row r="514" spans="2:16" x14ac:dyDescent="0.15">
      <c r="B514" s="16">
        <v>43413</v>
      </c>
      <c r="C514" s="29">
        <f t="array" ref="C514">SUMPRODUCT('ファンドデータ(変更不要)'!K514:P514,TRANSPOSE(戦略の決定!$D$13:$D$18))</f>
        <v>4.967563505966539E-3</v>
      </c>
      <c r="D514" s="29">
        <f t="array" ref="D514">SUMPRODUCT('ファンドデータ(変更不要)'!K514:P514,TRANSPOSE(戦略の決定!$E$13:$E$18))</f>
        <v>8.5176360885710917E-3</v>
      </c>
      <c r="E514" s="29">
        <f t="array" ref="E514">SUMPRODUCT('ファンドデータ(変更不要)'!K514:P514,TRANSPOSE(戦略の決定!$F$13:$F$18))</f>
        <v>8.5176360885710917E-3</v>
      </c>
      <c r="F514" s="183">
        <f t="shared" si="33"/>
        <v>1.9474211910923276</v>
      </c>
      <c r="G514" s="183">
        <f t="shared" si="34"/>
        <v>2.3809234492177676</v>
      </c>
      <c r="H514" s="75">
        <f t="shared" si="35"/>
        <v>2.3809234492177676</v>
      </c>
      <c r="J514"/>
      <c r="K514"/>
      <c r="L514"/>
      <c r="M514"/>
      <c r="N514"/>
      <c r="O514"/>
      <c r="P514"/>
    </row>
    <row r="515" spans="2:16" x14ac:dyDescent="0.15">
      <c r="B515" s="16">
        <v>43420</v>
      </c>
      <c r="C515" s="29">
        <f t="array" ref="C515">SUMPRODUCT('ファンドデータ(変更不要)'!K515:P515,TRANSPOSE(戦略の決定!$D$13:$D$18))</f>
        <v>-1.2780207254481368E-3</v>
      </c>
      <c r="D515" s="29">
        <f t="array" ref="D515">SUMPRODUCT('ファンドデータ(変更不要)'!K515:P515,TRANSPOSE(戦略の決定!$E$13:$E$18))</f>
        <v>6.223922876491399E-4</v>
      </c>
      <c r="E515" s="29">
        <f t="array" ref="E515">SUMPRODUCT('ファンドデータ(変更不要)'!K515:P515,TRANSPOSE(戦略の決定!$F$13:$F$18))</f>
        <v>6.223922876491399E-4</v>
      </c>
      <c r="F515" s="183">
        <f t="shared" si="33"/>
        <v>1.9449323464489348</v>
      </c>
      <c r="G515" s="183">
        <f t="shared" si="34"/>
        <v>2.3824053176100439</v>
      </c>
      <c r="H515" s="75">
        <f t="shared" si="35"/>
        <v>2.3824053176100439</v>
      </c>
      <c r="J515"/>
      <c r="K515"/>
      <c r="L515"/>
      <c r="M515"/>
      <c r="N515"/>
      <c r="O515"/>
      <c r="P515"/>
    </row>
    <row r="516" spans="2:16" x14ac:dyDescent="0.15">
      <c r="B516" s="16">
        <v>43427</v>
      </c>
      <c r="C516" s="29">
        <f t="array" ref="C516">SUMPRODUCT('ファンドデータ(変更不要)'!K516:P516,TRANSPOSE(戦略の決定!$D$13:$D$18))</f>
        <v>-8.934892106689503E-4</v>
      </c>
      <c r="D516" s="29">
        <f t="array" ref="D516">SUMPRODUCT('ファンドデータ(変更不要)'!K516:P516,TRANSPOSE(戦略の決定!$E$13:$E$18))</f>
        <v>-2.4864511647354932E-3</v>
      </c>
      <c r="E516" s="29">
        <f t="array" ref="E516">SUMPRODUCT('ファンドデータ(変更不要)'!K516:P516,TRANSPOSE(戦略の決定!$F$13:$F$18))</f>
        <v>-2.4864511647354932E-3</v>
      </c>
      <c r="F516" s="183">
        <f t="shared" si="33"/>
        <v>1.9431945703819018</v>
      </c>
      <c r="G516" s="183">
        <f t="shared" si="34"/>
        <v>2.3764815831332005</v>
      </c>
      <c r="H516" s="75">
        <f t="shared" si="35"/>
        <v>2.3764815831332005</v>
      </c>
      <c r="J516"/>
      <c r="K516"/>
      <c r="L516"/>
      <c r="M516"/>
      <c r="N516"/>
      <c r="O516"/>
      <c r="P516"/>
    </row>
    <row r="517" spans="2:16" x14ac:dyDescent="0.15">
      <c r="B517" s="16">
        <v>43434</v>
      </c>
      <c r="C517" s="29">
        <f t="array" ref="C517">SUMPRODUCT('ファンドデータ(変更不要)'!K517:P517,TRANSPOSE(戦略の決定!$D$13:$D$18))</f>
        <v>1.0679940064834435E-2</v>
      </c>
      <c r="D517" s="29">
        <f t="array" ref="D517">SUMPRODUCT('ファンドデータ(変更不要)'!K517:P517,TRANSPOSE(戦略の決定!$E$13:$E$18))</f>
        <v>1.2926828910280949E-2</v>
      </c>
      <c r="E517" s="29">
        <f t="array" ref="E517">SUMPRODUCT('ファンドデータ(変更不要)'!K517:P517,TRANSPOSE(戦略の決定!$F$13:$F$18))</f>
        <v>1.2926828910280949E-2</v>
      </c>
      <c r="F517" s="183">
        <f t="shared" ref="F517:F580" si="36">F516*(1+C517)</f>
        <v>1.9639477719278924</v>
      </c>
      <c r="G517" s="183">
        <f t="shared" ref="G517:G580" si="37">G516*(1+D517)</f>
        <v>2.4072019539667968</v>
      </c>
      <c r="H517" s="75">
        <f t="shared" ref="H517:H580" si="38">H516*(1+E517)</f>
        <v>2.4072019539667968</v>
      </c>
      <c r="J517"/>
      <c r="K517"/>
      <c r="L517"/>
      <c r="M517"/>
      <c r="N517"/>
      <c r="O517"/>
      <c r="P517"/>
    </row>
    <row r="518" spans="2:16" x14ac:dyDescent="0.15">
      <c r="B518" s="16">
        <v>43441</v>
      </c>
      <c r="C518" s="29">
        <f t="array" ref="C518">SUMPRODUCT('ファンドデータ(変更不要)'!K518:P518,TRANSPOSE(戦略の決定!$D$13:$D$18))</f>
        <v>-3.1911082137072908E-3</v>
      </c>
      <c r="D518" s="29">
        <f t="array" ref="D518">SUMPRODUCT('ファンドデータ(変更不要)'!K518:P518,TRANSPOSE(戦略の決定!$E$13:$E$18))</f>
        <v>-2.6291639939040583E-3</v>
      </c>
      <c r="E518" s="29">
        <f t="array" ref="E518">SUMPRODUCT('ファンドデータ(変更不要)'!K518:P518,TRANSPOSE(戦略の決定!$F$13:$F$18))</f>
        <v>-2.6291639939040583E-3</v>
      </c>
      <c r="F518" s="183">
        <f t="shared" si="36"/>
        <v>1.9576806020616011</v>
      </c>
      <c r="G518" s="183">
        <f t="shared" si="37"/>
        <v>2.4008730252633721</v>
      </c>
      <c r="H518" s="75">
        <f t="shared" si="38"/>
        <v>2.4008730252633721</v>
      </c>
      <c r="J518"/>
      <c r="K518"/>
      <c r="L518"/>
      <c r="M518"/>
      <c r="N518"/>
      <c r="O518"/>
      <c r="P518"/>
    </row>
    <row r="519" spans="2:16" x14ac:dyDescent="0.15">
      <c r="B519" s="16">
        <v>43448</v>
      </c>
      <c r="C519" s="29">
        <f t="array" ref="C519">SUMPRODUCT('ファンドデータ(変更不要)'!K519:P519,TRANSPOSE(戦略の決定!$D$13:$D$18))</f>
        <v>5.779190278687688E-4</v>
      </c>
      <c r="D519" s="29">
        <f t="array" ref="D519">SUMPRODUCT('ファンドデータ(変更不要)'!K519:P519,TRANSPOSE(戦略の決定!$E$13:$E$18))</f>
        <v>5.9799180658690423E-4</v>
      </c>
      <c r="E519" s="29">
        <f t="array" ref="E519">SUMPRODUCT('ファンドデータ(変更不要)'!K519:P519,TRANSPOSE(戦略の決定!$F$13:$F$18))</f>
        <v>5.9799180658690423E-4</v>
      </c>
      <c r="F519" s="183">
        <f t="shared" si="36"/>
        <v>1.9588119829320221</v>
      </c>
      <c r="G519" s="183">
        <f t="shared" si="37"/>
        <v>2.402308727661135</v>
      </c>
      <c r="H519" s="75">
        <f t="shared" si="38"/>
        <v>2.402308727661135</v>
      </c>
      <c r="J519"/>
      <c r="K519"/>
      <c r="L519"/>
      <c r="M519"/>
      <c r="N519"/>
      <c r="O519"/>
      <c r="P519"/>
    </row>
    <row r="520" spans="2:16" x14ac:dyDescent="0.15">
      <c r="B520" s="16">
        <v>43455</v>
      </c>
      <c r="C520" s="29">
        <f t="array" ref="C520">SUMPRODUCT('ファンドデータ(変更不要)'!K520:P520,TRANSPOSE(戦略の決定!$D$13:$D$18))</f>
        <v>-2.1420767351698698E-2</v>
      </c>
      <c r="D520" s="29">
        <f t="array" ref="D520">SUMPRODUCT('ファンドデータ(変更不要)'!K520:P520,TRANSPOSE(戦略の決定!$E$13:$E$18))</f>
        <v>-2.9690201950280187E-2</v>
      </c>
      <c r="E520" s="29">
        <f t="array" ref="E520">SUMPRODUCT('ファンドデータ(変更不要)'!K520:P520,TRANSPOSE(戦略の決定!$F$13:$F$18))</f>
        <v>-2.9690201950280187E-2</v>
      </c>
      <c r="F520" s="183">
        <f t="shared" si="36"/>
        <v>1.9168527271599156</v>
      </c>
      <c r="G520" s="183">
        <f t="shared" si="37"/>
        <v>2.3309836963899553</v>
      </c>
      <c r="H520" s="75">
        <f t="shared" si="38"/>
        <v>2.3309836963899553</v>
      </c>
      <c r="J520"/>
      <c r="K520"/>
      <c r="L520"/>
      <c r="M520"/>
      <c r="N520"/>
      <c r="O520"/>
      <c r="P520"/>
    </row>
    <row r="521" spans="2:16" x14ac:dyDescent="0.15">
      <c r="B521" s="16">
        <v>43462</v>
      </c>
      <c r="C521" s="29">
        <f t="array" ref="C521">SUMPRODUCT('ファンドデータ(変更不要)'!K521:P521,TRANSPOSE(戦略の決定!$D$13:$D$18))</f>
        <v>2.7684303364908939E-3</v>
      </c>
      <c r="D521" s="29">
        <f t="array" ref="D521">SUMPRODUCT('ファンドデータ(変更不要)'!K521:P521,TRANSPOSE(戦略の決定!$E$13:$E$18))</f>
        <v>5.4016374080868941E-3</v>
      </c>
      <c r="E521" s="29">
        <f t="array" ref="E521">SUMPRODUCT('ファンドデータ(変更不要)'!K521:P521,TRANSPOSE(戦略の決定!$F$13:$F$18))</f>
        <v>5.4016374080868941E-3</v>
      </c>
      <c r="F521" s="183">
        <f t="shared" si="36"/>
        <v>1.9221594004003706</v>
      </c>
      <c r="G521" s="183">
        <f t="shared" si="37"/>
        <v>2.3435748251220163</v>
      </c>
      <c r="H521" s="75">
        <f t="shared" si="38"/>
        <v>2.3435748251220163</v>
      </c>
      <c r="J521"/>
      <c r="K521"/>
      <c r="L521"/>
      <c r="M521"/>
      <c r="N521"/>
      <c r="O521"/>
      <c r="P521"/>
    </row>
    <row r="522" spans="2:16" x14ac:dyDescent="0.15">
      <c r="B522" s="16">
        <v>43469</v>
      </c>
      <c r="C522" s="29">
        <f t="array" ref="C522">SUMPRODUCT('ファンドデータ(変更不要)'!K522:P522,TRANSPOSE(戦略の決定!$D$13:$D$18))</f>
        <v>-1.4353162899123993E-2</v>
      </c>
      <c r="D522" s="29">
        <f t="array" ref="D522">SUMPRODUCT('ファンドデータ(変更不要)'!K522:P522,TRANSPOSE(戦略の決定!$E$13:$E$18))</f>
        <v>-1.7921798670910549E-2</v>
      </c>
      <c r="E522" s="29">
        <f t="array" ref="E522">SUMPRODUCT('ファンドデータ(変更不要)'!K522:P522,TRANSPOSE(戦略の決定!$F$13:$F$18))</f>
        <v>-1.7921798670910549E-2</v>
      </c>
      <c r="F522" s="183">
        <f t="shared" si="36"/>
        <v>1.8945703334083415</v>
      </c>
      <c r="G522" s="183">
        <f t="shared" si="37"/>
        <v>2.3015737489359651</v>
      </c>
      <c r="H522" s="75">
        <f t="shared" si="38"/>
        <v>2.3015737489359651</v>
      </c>
      <c r="J522"/>
      <c r="K522"/>
      <c r="L522"/>
      <c r="M522"/>
      <c r="N522"/>
      <c r="O522"/>
      <c r="P522"/>
    </row>
    <row r="523" spans="2:16" x14ac:dyDescent="0.15">
      <c r="B523" s="16">
        <v>43476</v>
      </c>
      <c r="C523" s="29">
        <f t="array" ref="C523">SUMPRODUCT('ファンドデータ(変更不要)'!K523:P523,TRANSPOSE(戦略の決定!$D$13:$D$18))</f>
        <v>1.771547991235679E-2</v>
      </c>
      <c r="D523" s="29">
        <f t="array" ref="D523">SUMPRODUCT('ファンドデータ(変更不要)'!K523:P523,TRANSPOSE(戦略の決定!$E$13:$E$18))</f>
        <v>2.7114464100766105E-2</v>
      </c>
      <c r="E523" s="29">
        <f t="array" ref="E523">SUMPRODUCT('ファンドデータ(変更不要)'!K523:P523,TRANSPOSE(戦略の決定!$F$13:$F$18))</f>
        <v>2.7114464100766105E-2</v>
      </c>
      <c r="F523" s="183">
        <f t="shared" si="36"/>
        <v>1.9281335560923842</v>
      </c>
      <c r="G523" s="183">
        <f t="shared" si="37"/>
        <v>2.3639796877267552</v>
      </c>
      <c r="H523" s="75">
        <f t="shared" si="38"/>
        <v>2.3639796877267552</v>
      </c>
      <c r="J523"/>
      <c r="K523"/>
      <c r="L523"/>
      <c r="M523"/>
      <c r="N523"/>
      <c r="O523"/>
      <c r="P523"/>
    </row>
    <row r="524" spans="2:16" x14ac:dyDescent="0.15">
      <c r="B524" s="16">
        <v>43483</v>
      </c>
      <c r="C524" s="29">
        <f t="array" ref="C524">SUMPRODUCT('ファンドデータ(変更不要)'!K524:P524,TRANSPOSE(戦略の決定!$D$13:$D$18))</f>
        <v>5.1638330145671006E-3</v>
      </c>
      <c r="D524" s="29">
        <f t="array" ref="D524">SUMPRODUCT('ファンドデータ(変更不要)'!K524:P524,TRANSPOSE(戦略の決定!$E$13:$E$18))</f>
        <v>5.7260669816518424E-3</v>
      </c>
      <c r="E524" s="29">
        <f t="array" ref="E524">SUMPRODUCT('ファンドデータ(変更不要)'!K524:P524,TRANSPOSE(戦略の決定!$F$13:$F$18))</f>
        <v>5.7260669816518424E-3</v>
      </c>
      <c r="F524" s="183">
        <f t="shared" si="36"/>
        <v>1.9380901158058288</v>
      </c>
      <c r="G524" s="183">
        <f t="shared" si="37"/>
        <v>2.3775159937619432</v>
      </c>
      <c r="H524" s="75">
        <f t="shared" si="38"/>
        <v>2.3775159937619432</v>
      </c>
      <c r="J524"/>
      <c r="K524"/>
      <c r="L524"/>
      <c r="M524"/>
      <c r="N524"/>
      <c r="O524"/>
      <c r="P524"/>
    </row>
    <row r="525" spans="2:16" x14ac:dyDescent="0.15">
      <c r="B525" s="16">
        <v>43490</v>
      </c>
      <c r="C525" s="29">
        <f t="array" ref="C525">SUMPRODUCT('ファンドデータ(変更不要)'!K525:P525,TRANSPOSE(戦略の決定!$D$13:$D$18))</f>
        <v>4.8999967621630993E-3</v>
      </c>
      <c r="D525" s="29">
        <f t="array" ref="D525">SUMPRODUCT('ファンドデータ(変更不要)'!K525:P525,TRANSPOSE(戦略の決定!$E$13:$E$18))</f>
        <v>6.2185845278511379E-3</v>
      </c>
      <c r="E525" s="29">
        <f t="array" ref="E525">SUMPRODUCT('ファンドデータ(変更不要)'!K525:P525,TRANSPOSE(戦略の決定!$F$13:$F$18))</f>
        <v>6.2185845278511379E-3</v>
      </c>
      <c r="F525" s="183">
        <f t="shared" si="36"/>
        <v>1.9475867510980576</v>
      </c>
      <c r="G525" s="183">
        <f t="shared" si="37"/>
        <v>2.3923007779354699</v>
      </c>
      <c r="H525" s="75">
        <f t="shared" si="38"/>
        <v>2.3923007779354699</v>
      </c>
      <c r="J525"/>
      <c r="K525"/>
      <c r="L525"/>
      <c r="M525"/>
      <c r="N525"/>
      <c r="O525"/>
      <c r="P525"/>
    </row>
    <row r="526" spans="2:16" x14ac:dyDescent="0.15">
      <c r="B526" s="16">
        <v>43497</v>
      </c>
      <c r="C526" s="29">
        <f t="array" ref="C526">SUMPRODUCT('ファンドデータ(変更不要)'!K526:P526,TRANSPOSE(戦略の決定!$D$13:$D$18))</f>
        <v>6.5762814353214002E-3</v>
      </c>
      <c r="D526" s="29">
        <f t="array" ref="D526">SUMPRODUCT('ファンドデータ(変更不要)'!K526:P526,TRANSPOSE(戦略の決定!$E$13:$E$18))</f>
        <v>1.0577944800873595E-2</v>
      </c>
      <c r="E526" s="29">
        <f t="array" ref="E526">SUMPRODUCT('ファンドデータ(変更不要)'!K526:P526,TRANSPOSE(戦略の決定!$F$13:$F$18))</f>
        <v>1.0577944800873595E-2</v>
      </c>
      <c r="F526" s="183">
        <f t="shared" si="36"/>
        <v>1.9603946296929817</v>
      </c>
      <c r="G526" s="183">
        <f t="shared" si="37"/>
        <v>2.4176064035115581</v>
      </c>
      <c r="H526" s="75">
        <f t="shared" si="38"/>
        <v>2.4176064035115581</v>
      </c>
      <c r="J526"/>
      <c r="K526"/>
      <c r="L526"/>
      <c r="M526"/>
      <c r="N526"/>
      <c r="O526"/>
      <c r="P526"/>
    </row>
    <row r="527" spans="2:16" x14ac:dyDescent="0.15">
      <c r="B527" s="16">
        <v>43504</v>
      </c>
      <c r="C527" s="29">
        <f t="array" ref="C527">SUMPRODUCT('ファンドデータ(変更不要)'!K527:P527,TRANSPOSE(戦略の決定!$D$13:$D$18))</f>
        <v>-3.2720134900879852E-3</v>
      </c>
      <c r="D527" s="29">
        <f t="array" ref="D527">SUMPRODUCT('ファンドデータ(変更不要)'!K527:P527,TRANSPOSE(戦略の決定!$E$13:$E$18))</f>
        <v>-2.5883188641152117E-3</v>
      </c>
      <c r="E527" s="29">
        <f t="array" ref="E527">SUMPRODUCT('ファンドデータ(変更不要)'!K527:P527,TRANSPOSE(戦略の決定!$F$13:$F$18))</f>
        <v>-2.5883188641152117E-3</v>
      </c>
      <c r="F527" s="183">
        <f t="shared" si="36"/>
        <v>1.9539801920187303</v>
      </c>
      <c r="G527" s="183">
        <f t="shared" si="37"/>
        <v>2.4113488672513435</v>
      </c>
      <c r="H527" s="75">
        <f t="shared" si="38"/>
        <v>2.4113488672513435</v>
      </c>
      <c r="J527"/>
      <c r="K527"/>
      <c r="L527"/>
      <c r="M527"/>
      <c r="N527"/>
      <c r="O527"/>
      <c r="P527"/>
    </row>
    <row r="528" spans="2:16" x14ac:dyDescent="0.15">
      <c r="B528" s="16">
        <v>43511</v>
      </c>
      <c r="C528" s="29">
        <f t="array" ref="C528">SUMPRODUCT('ファンドデータ(変更不要)'!K528:P528,TRANSPOSE(戦略の決定!$D$13:$D$18))</f>
        <v>4.6649473605861807E-3</v>
      </c>
      <c r="D528" s="29">
        <f t="array" ref="D528">SUMPRODUCT('ファンドデータ(変更不要)'!K528:P528,TRANSPOSE(戦略の決定!$E$13:$E$18))</f>
        <v>3.7738654507514643E-3</v>
      </c>
      <c r="E528" s="29">
        <f t="array" ref="E528">SUMPRODUCT('ファンドデータ(変更不要)'!K528:P528,TRANSPOSE(戦略の決定!$F$13:$F$18))</f>
        <v>3.7738654507514643E-3</v>
      </c>
      <c r="F528" s="183">
        <f t="shared" si="36"/>
        <v>1.9630954067581259</v>
      </c>
      <c r="G528" s="183">
        <f t="shared" si="37"/>
        <v>2.420448973431172</v>
      </c>
      <c r="H528" s="75">
        <f t="shared" si="38"/>
        <v>2.420448973431172</v>
      </c>
      <c r="J528"/>
      <c r="K528"/>
      <c r="L528"/>
      <c r="M528"/>
      <c r="N528"/>
      <c r="O528"/>
      <c r="P528"/>
    </row>
    <row r="529" spans="2:16" x14ac:dyDescent="0.15">
      <c r="B529" s="16">
        <v>43518</v>
      </c>
      <c r="C529" s="29">
        <f t="array" ref="C529">SUMPRODUCT('ファンドデータ(変更不要)'!K529:P529,TRANSPOSE(戦略の決定!$D$13:$D$18))</f>
        <v>7.5607893296625751E-3</v>
      </c>
      <c r="D529" s="29">
        <f t="array" ref="D529">SUMPRODUCT('ファンドデータ(変更不要)'!K529:P529,TRANSPOSE(戦略の決定!$E$13:$E$18))</f>
        <v>8.5867307775630355E-3</v>
      </c>
      <c r="E529" s="29">
        <f t="array" ref="E529">SUMPRODUCT('ファンドデータ(変更不要)'!K529:P529,TRANSPOSE(戦略の決定!$F$13:$F$18))</f>
        <v>8.5867307775630355E-3</v>
      </c>
      <c r="F529" s="183">
        <f t="shared" si="36"/>
        <v>1.9779379575626523</v>
      </c>
      <c r="G529" s="183">
        <f t="shared" si="37"/>
        <v>2.4412327171268546</v>
      </c>
      <c r="H529" s="75">
        <f t="shared" si="38"/>
        <v>2.4412327171268546</v>
      </c>
      <c r="J529"/>
      <c r="K529"/>
      <c r="L529"/>
      <c r="M529"/>
      <c r="N529"/>
      <c r="O529"/>
      <c r="P529"/>
    </row>
    <row r="530" spans="2:16" x14ac:dyDescent="0.15">
      <c r="B530" s="16">
        <v>43525</v>
      </c>
      <c r="C530" s="29">
        <f t="array" ref="C530">SUMPRODUCT('ファンドデータ(変更不要)'!K530:P530,TRANSPOSE(戦略の決定!$D$13:$D$18))</f>
        <v>2.7569411107179215E-3</v>
      </c>
      <c r="D530" s="29">
        <f t="array" ref="D530">SUMPRODUCT('ファンドデータ(変更不要)'!K530:P530,TRANSPOSE(戦略の決定!$E$13:$E$18))</f>
        <v>3.086185084433599E-3</v>
      </c>
      <c r="E530" s="29">
        <f t="array" ref="E530">SUMPRODUCT('ファンドデータ(変更不要)'!K530:P530,TRANSPOSE(戦略の決定!$F$13:$F$18))</f>
        <v>3.086185084433599E-3</v>
      </c>
      <c r="F530" s="183">
        <f t="shared" si="36"/>
        <v>1.9833910160323065</v>
      </c>
      <c r="G530" s="183">
        <f t="shared" si="37"/>
        <v>2.4487668131260829</v>
      </c>
      <c r="H530" s="75">
        <f t="shared" si="38"/>
        <v>2.4487668131260829</v>
      </c>
      <c r="J530"/>
      <c r="K530"/>
      <c r="L530"/>
      <c r="M530"/>
      <c r="N530"/>
      <c r="O530"/>
      <c r="P530"/>
    </row>
    <row r="531" spans="2:16" x14ac:dyDescent="0.15">
      <c r="B531" s="16">
        <v>43532</v>
      </c>
      <c r="C531" s="29">
        <f t="array" ref="C531">SUMPRODUCT('ファンドデータ(変更不要)'!K531:P531,TRANSPOSE(戦略の決定!$D$13:$D$18))</f>
        <v>-3.5987335081895523E-3</v>
      </c>
      <c r="D531" s="29">
        <f t="array" ref="D531">SUMPRODUCT('ファンドデータ(変更不要)'!K531:P531,TRANSPOSE(戦略の決定!$E$13:$E$18))</f>
        <v>-3.4060478392961731E-3</v>
      </c>
      <c r="E531" s="29">
        <f t="array" ref="E531">SUMPRODUCT('ファンドデータ(変更不要)'!K531:P531,TRANSPOSE(戦略の決定!$F$13:$F$18))</f>
        <v>-3.4060478392961731E-3</v>
      </c>
      <c r="F531" s="183">
        <f t="shared" si="36"/>
        <v>1.976253320323069</v>
      </c>
      <c r="G531" s="183">
        <f t="shared" si="37"/>
        <v>2.4404261962132945</v>
      </c>
      <c r="H531" s="75">
        <f t="shared" si="38"/>
        <v>2.4404261962132945</v>
      </c>
      <c r="J531"/>
      <c r="K531"/>
      <c r="L531"/>
      <c r="M531"/>
      <c r="N531"/>
      <c r="O531"/>
      <c r="P531"/>
    </row>
    <row r="532" spans="2:16" x14ac:dyDescent="0.15">
      <c r="B532" s="16">
        <v>43539</v>
      </c>
      <c r="C532" s="29">
        <f t="array" ref="C532">SUMPRODUCT('ファンドデータ(変更不要)'!K532:P532,TRANSPOSE(戦略の決定!$D$13:$D$18))</f>
        <v>1.1548166823655039E-2</v>
      </c>
      <c r="D532" s="29">
        <f t="array" ref="D532">SUMPRODUCT('ファンドデータ(変更不要)'!K532:P532,TRANSPOSE(戦略の決定!$E$13:$E$18))</f>
        <v>1.607291653951794E-2</v>
      </c>
      <c r="E532" s="29">
        <f t="array" ref="E532">SUMPRODUCT('ファンドデータ(変更不要)'!K532:P532,TRANSPOSE(戦略の決定!$F$13:$F$18))</f>
        <v>1.607291653951794E-2</v>
      </c>
      <c r="F532" s="183">
        <f t="shared" si="36"/>
        <v>1.9990754233519619</v>
      </c>
      <c r="G532" s="183">
        <f t="shared" si="37"/>
        <v>2.4796509627858838</v>
      </c>
      <c r="H532" s="75">
        <f t="shared" si="38"/>
        <v>2.4796509627858838</v>
      </c>
      <c r="J532"/>
      <c r="K532"/>
      <c r="L532"/>
      <c r="M532"/>
      <c r="N532"/>
      <c r="O532"/>
      <c r="P532"/>
    </row>
    <row r="533" spans="2:16" x14ac:dyDescent="0.15">
      <c r="B533" s="16">
        <v>43546</v>
      </c>
      <c r="C533" s="29">
        <f t="array" ref="C533">SUMPRODUCT('ファンドデータ(変更不要)'!K533:P533,TRANSPOSE(戦略の決定!$D$13:$D$18))</f>
        <v>3.8711821066753707E-3</v>
      </c>
      <c r="D533" s="29">
        <f t="array" ref="D533">SUMPRODUCT('ファンドデータ(変更不要)'!K533:P533,TRANSPOSE(戦略の決定!$E$13:$E$18))</f>
        <v>5.3281206016756308E-3</v>
      </c>
      <c r="E533" s="29">
        <f t="array" ref="E533">SUMPRODUCT('ファンドデータ(変更不要)'!K533:P533,TRANSPOSE(戦略の決定!$F$13:$F$18))</f>
        <v>5.3281206016756308E-3</v>
      </c>
      <c r="F533" s="183">
        <f t="shared" si="36"/>
        <v>2.0068142083607365</v>
      </c>
      <c r="G533" s="183">
        <f t="shared" si="37"/>
        <v>2.492862842165668</v>
      </c>
      <c r="H533" s="75">
        <f t="shared" si="38"/>
        <v>2.492862842165668</v>
      </c>
      <c r="J533"/>
      <c r="K533"/>
      <c r="L533"/>
      <c r="M533"/>
      <c r="N533"/>
      <c r="O533"/>
      <c r="P533"/>
    </row>
    <row r="534" spans="2:16" x14ac:dyDescent="0.15">
      <c r="B534" s="16">
        <v>43553</v>
      </c>
      <c r="C534" s="29">
        <f t="array" ref="C534">SUMPRODUCT('ファンドデータ(変更不要)'!K534:P534,TRANSPOSE(戦略の決定!$D$13:$D$18))</f>
        <v>1.1345289743164E-3</v>
      </c>
      <c r="D534" s="29">
        <f t="array" ref="D534">SUMPRODUCT('ファンドデータ(変更不要)'!K534:P534,TRANSPOSE(戦略の決定!$E$13:$E$18))</f>
        <v>1.8072162745283165E-3</v>
      </c>
      <c r="E534" s="29">
        <f t="array" ref="E534">SUMPRODUCT('ファンドデータ(変更不要)'!K534:P534,TRANSPOSE(戦略の決定!$F$13:$F$18))</f>
        <v>1.8072162745283165E-3</v>
      </c>
      <c r="F534" s="183">
        <f t="shared" si="36"/>
        <v>2.0090909972261914</v>
      </c>
      <c r="G534" s="183">
        <f t="shared" si="37"/>
        <v>2.4973679844641969</v>
      </c>
      <c r="H534" s="75">
        <f t="shared" si="38"/>
        <v>2.4973679844641969</v>
      </c>
      <c r="J534"/>
      <c r="K534"/>
      <c r="L534"/>
      <c r="M534"/>
      <c r="N534"/>
      <c r="O534"/>
      <c r="P534"/>
    </row>
    <row r="535" spans="2:16" x14ac:dyDescent="0.15">
      <c r="B535" s="16">
        <v>43560</v>
      </c>
      <c r="C535" s="29">
        <f t="array" ref="C535">SUMPRODUCT('ファンドデータ(変更不要)'!K535:P535,TRANSPOSE(戦略の決定!$D$13:$D$18))</f>
        <v>8.9101407555594689E-4</v>
      </c>
      <c r="D535" s="29">
        <f t="array" ref="D535">SUMPRODUCT('ファンドデータ(変更不要)'!K535:P535,TRANSPOSE(戦略の決定!$E$13:$E$18))</f>
        <v>-9.1263499584625805E-4</v>
      </c>
      <c r="E535" s="29">
        <f t="array" ref="E535">SUMPRODUCT('ファンドデータ(変更不要)'!K535:P535,TRANSPOSE(戦略の決定!$F$13:$F$18))</f>
        <v>-9.1263499584625805E-4</v>
      </c>
      <c r="F535" s="183">
        <f t="shared" si="36"/>
        <v>2.0108811255837931</v>
      </c>
      <c r="G535" s="183">
        <f t="shared" si="37"/>
        <v>2.4950887990440687</v>
      </c>
      <c r="H535" s="75">
        <f t="shared" si="38"/>
        <v>2.4950887990440687</v>
      </c>
      <c r="J535"/>
      <c r="K535"/>
      <c r="L535"/>
      <c r="M535"/>
      <c r="N535"/>
      <c r="O535"/>
      <c r="P535"/>
    </row>
    <row r="536" spans="2:16" x14ac:dyDescent="0.15">
      <c r="B536" s="16">
        <v>43567</v>
      </c>
      <c r="C536" s="29">
        <f t="array" ref="C536">SUMPRODUCT('ファンドデータ(変更不要)'!K536:P536,TRANSPOSE(戦略の決定!$D$13:$D$18))</f>
        <v>1.5436738768944268E-3</v>
      </c>
      <c r="D536" s="29">
        <f t="array" ref="D536">SUMPRODUCT('ファンドデータ(変更不要)'!K536:P536,TRANSPOSE(戦略の決定!$E$13:$E$18))</f>
        <v>5.7686961603827512E-4</v>
      </c>
      <c r="E536" s="29">
        <f t="array" ref="E536">SUMPRODUCT('ファンドデータ(変更不要)'!K536:P536,TRANSPOSE(戦略の決定!$F$13:$F$18))</f>
        <v>5.7686961603827512E-4</v>
      </c>
      <c r="F536" s="183">
        <f t="shared" si="36"/>
        <v>2.0139852702468968</v>
      </c>
      <c r="G536" s="183">
        <f t="shared" si="37"/>
        <v>2.4965281399615544</v>
      </c>
      <c r="H536" s="75">
        <f t="shared" si="38"/>
        <v>2.4965281399615544</v>
      </c>
      <c r="J536"/>
      <c r="K536"/>
      <c r="L536"/>
      <c r="M536"/>
      <c r="N536"/>
      <c r="O536"/>
      <c r="P536"/>
    </row>
    <row r="537" spans="2:16" x14ac:dyDescent="0.15">
      <c r="B537" s="16">
        <v>43574</v>
      </c>
      <c r="C537" s="29">
        <f t="array" ref="C537">SUMPRODUCT('ファンドデータ(変更不要)'!K537:P537,TRANSPOSE(戦略の決定!$D$13:$D$18))</f>
        <v>6.5880741608380822E-4</v>
      </c>
      <c r="D537" s="29">
        <f t="array" ref="D537">SUMPRODUCT('ファンドデータ(変更不要)'!K537:P537,TRANSPOSE(戦略の決定!$E$13:$E$18))</f>
        <v>1.34977107249108E-3</v>
      </c>
      <c r="E537" s="29">
        <f t="array" ref="E537">SUMPRODUCT('ファンドデータ(変更不要)'!K537:P537,TRANSPOSE(戦略の決定!$F$13:$F$18))</f>
        <v>1.34977107249108E-3</v>
      </c>
      <c r="F537" s="183">
        <f t="shared" si="36"/>
        <v>2.0153120986788191</v>
      </c>
      <c r="G537" s="183">
        <f t="shared" si="37"/>
        <v>2.4998978814265342</v>
      </c>
      <c r="H537" s="75">
        <f t="shared" si="38"/>
        <v>2.4998978814265342</v>
      </c>
      <c r="J537"/>
      <c r="K537"/>
      <c r="L537"/>
      <c r="M537"/>
      <c r="N537"/>
      <c r="O537"/>
      <c r="P537"/>
    </row>
    <row r="538" spans="2:16" x14ac:dyDescent="0.15">
      <c r="B538" s="16">
        <v>43581</v>
      </c>
      <c r="C538" s="29">
        <f t="array" ref="C538">SUMPRODUCT('ファンドデータ(変更不要)'!K538:P538,TRANSPOSE(戦略の決定!$D$13:$D$18))</f>
        <v>6.8039696617500415E-4</v>
      </c>
      <c r="D538" s="29">
        <f t="array" ref="D538">SUMPRODUCT('ファンドデータ(変更不要)'!K538:P538,TRANSPOSE(戦略の決定!$E$13:$E$18))</f>
        <v>1.8318317808498246E-3</v>
      </c>
      <c r="E538" s="29">
        <f t="array" ref="E538">SUMPRODUCT('ファンドデータ(変更不要)'!K538:P538,TRANSPOSE(戦略の決定!$F$13:$F$18))</f>
        <v>1.8318317808498246E-3</v>
      </c>
      <c r="F538" s="183">
        <f t="shared" si="36"/>
        <v>2.016683310916656</v>
      </c>
      <c r="G538" s="183">
        <f t="shared" si="37"/>
        <v>2.5044772738146106</v>
      </c>
      <c r="H538" s="75">
        <f t="shared" si="38"/>
        <v>2.5044772738146106</v>
      </c>
      <c r="J538"/>
      <c r="K538"/>
      <c r="L538"/>
      <c r="M538"/>
      <c r="N538"/>
      <c r="O538"/>
      <c r="P538"/>
    </row>
    <row r="539" spans="2:16" x14ac:dyDescent="0.15">
      <c r="B539" s="16">
        <v>43588</v>
      </c>
      <c r="C539" s="29">
        <f t="array" ref="C539">SUMPRODUCT('ファンドデータ(変更不要)'!K539:P539,TRANSPOSE(戦略の決定!$D$13:$D$18))</f>
        <v>0</v>
      </c>
      <c r="D539" s="29">
        <f t="array" ref="D539">SUMPRODUCT('ファンドデータ(変更不要)'!K539:P539,TRANSPOSE(戦略の決定!$E$13:$E$18))</f>
        <v>0</v>
      </c>
      <c r="E539" s="29">
        <f t="array" ref="E539">SUMPRODUCT('ファンドデータ(変更不要)'!K539:P539,TRANSPOSE(戦略の決定!$F$13:$F$18))</f>
        <v>0</v>
      </c>
      <c r="F539" s="183">
        <f t="shared" si="36"/>
        <v>2.016683310916656</v>
      </c>
      <c r="G539" s="183">
        <f t="shared" si="37"/>
        <v>2.5044772738146106</v>
      </c>
      <c r="H539" s="75">
        <f t="shared" si="38"/>
        <v>2.5044772738146106</v>
      </c>
      <c r="J539"/>
      <c r="K539"/>
      <c r="L539"/>
      <c r="M539"/>
      <c r="N539"/>
      <c r="O539"/>
      <c r="P539"/>
    </row>
    <row r="540" spans="2:16" x14ac:dyDescent="0.15">
      <c r="B540" s="16">
        <v>43595</v>
      </c>
      <c r="C540" s="29">
        <f t="array" ref="C540">SUMPRODUCT('ファンドデータ(変更不要)'!K540:P540,TRANSPOSE(戦略の決定!$D$13:$D$18))</f>
        <v>-8.9705141551394314E-3</v>
      </c>
      <c r="D540" s="29">
        <f t="array" ref="D540">SUMPRODUCT('ファンドデータ(変更不要)'!K540:P540,TRANSPOSE(戦略の決定!$E$13:$E$18))</f>
        <v>-8.5074676966279718E-3</v>
      </c>
      <c r="E540" s="29">
        <f t="array" ref="E540">SUMPRODUCT('ファンドデータ(変更不要)'!K540:P540,TRANSPOSE(戦略の決定!$F$13:$F$18))</f>
        <v>-8.5074676966279718E-3</v>
      </c>
      <c r="F540" s="183">
        <f t="shared" si="36"/>
        <v>1.9985926247296448</v>
      </c>
      <c r="G540" s="183">
        <f t="shared" si="37"/>
        <v>2.4831705143106939</v>
      </c>
      <c r="H540" s="75">
        <f t="shared" si="38"/>
        <v>2.4831705143106939</v>
      </c>
      <c r="J540"/>
      <c r="K540"/>
      <c r="L540"/>
      <c r="M540"/>
      <c r="N540"/>
      <c r="O540"/>
      <c r="P540"/>
    </row>
    <row r="541" spans="2:16" x14ac:dyDescent="0.15">
      <c r="B541" s="16">
        <v>43602</v>
      </c>
      <c r="C541" s="29">
        <f t="array" ref="C541">SUMPRODUCT('ファンドデータ(変更不要)'!K541:P541,TRANSPOSE(戦略の決定!$D$13:$D$18))</f>
        <v>4.869586178680582E-3</v>
      </c>
      <c r="D541" s="29">
        <f t="array" ref="D541">SUMPRODUCT('ファンドデータ(変更不要)'!K541:P541,TRANSPOSE(戦略の決定!$E$13:$E$18))</f>
        <v>9.1854336449342204E-3</v>
      </c>
      <c r="E541" s="29">
        <f t="array" ref="E541">SUMPRODUCT('ファンドデータ(変更不要)'!K541:P541,TRANSPOSE(戦略の決定!$F$13:$F$18))</f>
        <v>9.1854336449342204E-3</v>
      </c>
      <c r="F541" s="183">
        <f t="shared" si="36"/>
        <v>2.0083249437518411</v>
      </c>
      <c r="G541" s="183">
        <f t="shared" si="37"/>
        <v>2.5059795122989517</v>
      </c>
      <c r="H541" s="75">
        <f t="shared" si="38"/>
        <v>2.5059795122989517</v>
      </c>
      <c r="J541"/>
      <c r="K541"/>
      <c r="L541"/>
      <c r="M541"/>
      <c r="N541"/>
      <c r="O541"/>
      <c r="P541"/>
    </row>
    <row r="542" spans="2:16" x14ac:dyDescent="0.15">
      <c r="B542" s="16">
        <v>43609</v>
      </c>
      <c r="C542" s="29">
        <f t="array" ref="C542">SUMPRODUCT('ファンドデータ(変更不要)'!K542:P542,TRANSPOSE(戦略の決定!$D$13:$D$18))</f>
        <v>1.8739717938485632E-3</v>
      </c>
      <c r="D542" s="29">
        <f t="array" ref="D542">SUMPRODUCT('ファンドデータ(変更不要)'!K542:P542,TRANSPOSE(戦略の決定!$E$13:$E$18))</f>
        <v>2.6686581849457518E-3</v>
      </c>
      <c r="E542" s="29">
        <f t="array" ref="E542">SUMPRODUCT('ファンドデータ(変更不要)'!K542:P542,TRANSPOSE(戦略の決定!$F$13:$F$18))</f>
        <v>2.6686581849457518E-3</v>
      </c>
      <c r="F542" s="183">
        <f t="shared" si="36"/>
        <v>2.0120884880493146</v>
      </c>
      <c r="G542" s="183">
        <f t="shared" si="37"/>
        <v>2.5126671150357547</v>
      </c>
      <c r="H542" s="75">
        <f t="shared" si="38"/>
        <v>2.5126671150357547</v>
      </c>
      <c r="J542"/>
      <c r="K542"/>
      <c r="L542"/>
      <c r="M542"/>
      <c r="N542"/>
      <c r="O542"/>
      <c r="P542"/>
    </row>
    <row r="543" spans="2:16" x14ac:dyDescent="0.15">
      <c r="B543" s="16">
        <v>43616</v>
      </c>
      <c r="C543" s="29">
        <f t="array" ref="C543">SUMPRODUCT('ファンドデータ(変更不要)'!K543:P543,TRANSPOSE(戦略の決定!$D$13:$D$18))</f>
        <v>-5.8313013520467222E-3</v>
      </c>
      <c r="D543" s="29">
        <f t="array" ref="D543">SUMPRODUCT('ファンドデータ(変更不要)'!K543:P543,TRANSPOSE(戦略の決定!$E$13:$E$18))</f>
        <v>-7.9260115816316527E-3</v>
      </c>
      <c r="E543" s="29">
        <f t="array" ref="E543">SUMPRODUCT('ファンドデータ(変更不要)'!K543:P543,TRANSPOSE(戦略の決定!$F$13:$F$18))</f>
        <v>-7.9260115816316527E-3</v>
      </c>
      <c r="F543" s="183">
        <f t="shared" si="36"/>
        <v>2.000355393728515</v>
      </c>
      <c r="G543" s="183">
        <f t="shared" si="37"/>
        <v>2.4927516863811965</v>
      </c>
      <c r="H543" s="75">
        <f t="shared" si="38"/>
        <v>2.4927516863811965</v>
      </c>
      <c r="J543"/>
      <c r="K543"/>
      <c r="L543"/>
      <c r="M543"/>
      <c r="N543"/>
      <c r="O543"/>
      <c r="P543"/>
    </row>
    <row r="544" spans="2:16" x14ac:dyDescent="0.15">
      <c r="B544" s="16">
        <v>43623</v>
      </c>
      <c r="C544" s="29">
        <f t="array" ref="C544">SUMPRODUCT('ファンドデータ(変更不要)'!K544:P544,TRANSPOSE(戦略の決定!$D$13:$D$18))</f>
        <v>5.5915384787481055E-3</v>
      </c>
      <c r="D544" s="29">
        <f t="array" ref="D544">SUMPRODUCT('ファンドデータ(変更不要)'!K544:P544,TRANSPOSE(戦略の決定!$E$13:$E$18))</f>
        <v>5.6758000252223112E-3</v>
      </c>
      <c r="E544" s="29">
        <f t="array" ref="E544">SUMPRODUCT('ファンドデータ(変更不要)'!K544:P544,TRANSPOSE(戦略の決定!$F$13:$F$18))</f>
        <v>5.6758000252223112E-3</v>
      </c>
      <c r="F544" s="183">
        <f t="shared" si="36"/>
        <v>2.0115404578837195</v>
      </c>
      <c r="G544" s="183">
        <f t="shared" si="37"/>
        <v>2.5069000464656321</v>
      </c>
      <c r="H544" s="75">
        <f t="shared" si="38"/>
        <v>2.5069000464656321</v>
      </c>
      <c r="J544"/>
      <c r="K544"/>
      <c r="L544"/>
      <c r="M544"/>
      <c r="N544"/>
      <c r="O544"/>
      <c r="P544"/>
    </row>
    <row r="545" spans="2:16" x14ac:dyDescent="0.15">
      <c r="B545" s="16">
        <v>43630</v>
      </c>
      <c r="C545" s="29">
        <f t="array" ref="C545">SUMPRODUCT('ファンドデータ(変更不要)'!K545:P545,TRANSPOSE(戦略の決定!$D$13:$D$18))</f>
        <v>5.2343817568866417E-3</v>
      </c>
      <c r="D545" s="29">
        <f t="array" ref="D545">SUMPRODUCT('ファンドデータ(変更不要)'!K545:P545,TRANSPOSE(戦略の決定!$E$13:$E$18))</f>
        <v>7.199203442861732E-3</v>
      </c>
      <c r="E545" s="29">
        <f t="array" ref="E545">SUMPRODUCT('ファンドデータ(変更不要)'!K545:P545,TRANSPOSE(戦略の決定!$F$13:$F$18))</f>
        <v>7.199203442861732E-3</v>
      </c>
      <c r="F545" s="183">
        <f t="shared" si="36"/>
        <v>2.0220696285597057</v>
      </c>
      <c r="G545" s="183">
        <f t="shared" si="37"/>
        <v>2.5249477299110574</v>
      </c>
      <c r="H545" s="75">
        <f t="shared" si="38"/>
        <v>2.5249477299110574</v>
      </c>
      <c r="J545"/>
      <c r="K545"/>
      <c r="L545"/>
      <c r="M545"/>
      <c r="N545"/>
      <c r="O545"/>
      <c r="P545"/>
    </row>
    <row r="546" spans="2:16" x14ac:dyDescent="0.15">
      <c r="B546" s="16">
        <v>43637</v>
      </c>
      <c r="C546" s="29">
        <f t="array" ref="C546">SUMPRODUCT('ファンドデータ(変更不要)'!K546:P546,TRANSPOSE(戦略の決定!$D$13:$D$18))</f>
        <v>2.7743069097602795E-3</v>
      </c>
      <c r="D546" s="29">
        <f t="array" ref="D546">SUMPRODUCT('ファンドデータ(変更不要)'!K546:P546,TRANSPOSE(戦略の決定!$E$13:$E$18))</f>
        <v>3.0291465388328971E-3</v>
      </c>
      <c r="E546" s="29">
        <f t="array" ref="E546">SUMPRODUCT('ファンドデータ(変更不要)'!K546:P546,TRANSPOSE(戦略の決定!$F$13:$F$18))</f>
        <v>3.0291465388328971E-3</v>
      </c>
      <c r="F546" s="183">
        <f t="shared" si="36"/>
        <v>2.0276794703022354</v>
      </c>
      <c r="G546" s="183">
        <f t="shared" si="37"/>
        <v>2.5325961665878514</v>
      </c>
      <c r="H546" s="75">
        <f t="shared" si="38"/>
        <v>2.5325961665878514</v>
      </c>
      <c r="J546"/>
      <c r="K546"/>
      <c r="L546"/>
      <c r="M546"/>
      <c r="N546"/>
      <c r="O546"/>
      <c r="P546"/>
    </row>
    <row r="547" spans="2:16" x14ac:dyDescent="0.15">
      <c r="B547" s="16">
        <v>43644</v>
      </c>
      <c r="C547" s="29">
        <f t="array" ref="C547">SUMPRODUCT('ファンドデータ(変更不要)'!K547:P547,TRANSPOSE(戦略の決定!$D$13:$D$18))</f>
        <v>9.2655696538078577E-4</v>
      </c>
      <c r="D547" s="29">
        <f t="array" ref="D547">SUMPRODUCT('ファンドデータ(変更不要)'!K547:P547,TRANSPOSE(戦略の決定!$E$13:$E$18))</f>
        <v>3.8717122871241615E-4</v>
      </c>
      <c r="E547" s="29">
        <f t="array" ref="E547">SUMPRODUCT('ファンドデータ(変更不要)'!K547:P547,TRANSPOSE(戦略の決定!$F$13:$F$18))</f>
        <v>3.8717122871241615E-4</v>
      </c>
      <c r="F547" s="183">
        <f t="shared" si="36"/>
        <v>2.0295582308390032</v>
      </c>
      <c r="G547" s="183">
        <f t="shared" si="37"/>
        <v>2.5335767149575017</v>
      </c>
      <c r="H547" s="75">
        <f t="shared" si="38"/>
        <v>2.5335767149575017</v>
      </c>
      <c r="J547"/>
      <c r="K547"/>
      <c r="L547"/>
      <c r="M547"/>
      <c r="N547"/>
      <c r="O547"/>
      <c r="P547"/>
    </row>
    <row r="548" spans="2:16" x14ac:dyDescent="0.15">
      <c r="B548" s="16">
        <v>43651</v>
      </c>
      <c r="C548" s="29">
        <f t="array" ref="C548">SUMPRODUCT('ファンドデータ(変更不要)'!K548:P548,TRANSPOSE(戦略の決定!$D$13:$D$18))</f>
        <v>1.1836551653429353E-2</v>
      </c>
      <c r="D548" s="29">
        <f t="array" ref="D548">SUMPRODUCT('ファンドデータ(変更不要)'!K548:P548,TRANSPOSE(戦略の決定!$E$13:$E$18))</f>
        <v>1.6433448462046397E-2</v>
      </c>
      <c r="E548" s="29">
        <f t="array" ref="E548">SUMPRODUCT('ファンドデータ(変更不要)'!K548:P548,TRANSPOSE(戦略の決定!$F$13:$F$18))</f>
        <v>1.6433448462046397E-2</v>
      </c>
      <c r="F548" s="183">
        <f t="shared" si="36"/>
        <v>2.0535812016719719</v>
      </c>
      <c r="G548" s="183">
        <f t="shared" si="37"/>
        <v>2.5752121173273963</v>
      </c>
      <c r="H548" s="75">
        <f t="shared" si="38"/>
        <v>2.5752121173273963</v>
      </c>
      <c r="J548"/>
      <c r="K548"/>
      <c r="L548"/>
      <c r="M548"/>
      <c r="N548"/>
      <c r="O548"/>
      <c r="P548"/>
    </row>
    <row r="549" spans="2:16" x14ac:dyDescent="0.15">
      <c r="B549" s="16">
        <v>43658</v>
      </c>
      <c r="C549" s="29">
        <f t="array" ref="C549">SUMPRODUCT('ファンドデータ(変更不要)'!K549:P549,TRANSPOSE(戦略の決定!$D$13:$D$18))</f>
        <v>-2.0050400074125866E-3</v>
      </c>
      <c r="D549" s="29">
        <f t="array" ref="D549">SUMPRODUCT('ファンドデータ(変更不要)'!K549:P549,TRANSPOSE(戦略の決定!$E$13:$E$18))</f>
        <v>4.0401380124649986E-4</v>
      </c>
      <c r="E549" s="29">
        <f t="array" ref="E549">SUMPRODUCT('ファンドデータ(変更不要)'!K549:P549,TRANSPOSE(戦略の決定!$F$13:$F$18))</f>
        <v>4.0401380124649986E-4</v>
      </c>
      <c r="F549" s="183">
        <f t="shared" si="36"/>
        <v>2.0494636892041491</v>
      </c>
      <c r="G549" s="183">
        <f t="shared" si="37"/>
        <v>2.5762525385639337</v>
      </c>
      <c r="H549" s="75">
        <f t="shared" si="38"/>
        <v>2.5762525385639337</v>
      </c>
      <c r="J549"/>
      <c r="K549"/>
      <c r="L549"/>
      <c r="M549"/>
      <c r="N549"/>
      <c r="O549"/>
      <c r="P549"/>
    </row>
    <row r="550" spans="2:16" x14ac:dyDescent="0.15">
      <c r="B550" s="16">
        <v>43665</v>
      </c>
      <c r="C550" s="29">
        <f t="array" ref="C550">SUMPRODUCT('ファンドデータ(変更不要)'!K550:P550,TRANSPOSE(戦略の決定!$D$13:$D$18))</f>
        <v>3.4370949834809379E-4</v>
      </c>
      <c r="D550" s="29">
        <f t="array" ref="D550">SUMPRODUCT('ファンドデータ(変更不要)'!K550:P550,TRANSPOSE(戦略の決定!$E$13:$E$18))</f>
        <v>1.9335628391519361E-3</v>
      </c>
      <c r="E550" s="29">
        <f t="array" ref="E550">SUMPRODUCT('ファンドデータ(変更不要)'!K550:P550,TRANSPOSE(戦略の決定!$F$13:$F$18))</f>
        <v>1.9335628391519361E-3</v>
      </c>
      <c r="F550" s="183">
        <f t="shared" si="36"/>
        <v>2.0501681093406479</v>
      </c>
      <c r="G550" s="183">
        <f t="shared" si="37"/>
        <v>2.5812338847367715</v>
      </c>
      <c r="H550" s="75">
        <f t="shared" si="38"/>
        <v>2.5812338847367715</v>
      </c>
      <c r="J550"/>
      <c r="K550"/>
      <c r="L550"/>
      <c r="M550"/>
      <c r="N550"/>
      <c r="O550"/>
      <c r="P550"/>
    </row>
    <row r="551" spans="2:16" x14ac:dyDescent="0.15">
      <c r="B551" s="16">
        <v>43672</v>
      </c>
      <c r="C551" s="29">
        <f t="array" ref="C551">SUMPRODUCT('ファンドデータ(変更不要)'!K551:P551,TRANSPOSE(戦略の決定!$D$13:$D$18))</f>
        <v>4.2639903555232537E-3</v>
      </c>
      <c r="D551" s="29">
        <f t="array" ref="D551">SUMPRODUCT('ファンドデータ(変更不要)'!K551:P551,TRANSPOSE(戦略の決定!$E$13:$E$18))</f>
        <v>4.5088903316434512E-3</v>
      </c>
      <c r="E551" s="29">
        <f t="array" ref="E551">SUMPRODUCT('ファンドデータ(変更不要)'!K551:P551,TRANSPOSE(戦略の決定!$F$13:$F$18))</f>
        <v>4.5088903316434512E-3</v>
      </c>
      <c r="F551" s="183">
        <f t="shared" si="36"/>
        <v>2.0589100063860779</v>
      </c>
      <c r="G551" s="183">
        <f t="shared" si="37"/>
        <v>2.5928723852433717</v>
      </c>
      <c r="H551" s="75">
        <f t="shared" si="38"/>
        <v>2.5928723852433717</v>
      </c>
      <c r="J551"/>
      <c r="K551"/>
      <c r="L551"/>
      <c r="M551"/>
      <c r="N551"/>
      <c r="O551"/>
      <c r="P551"/>
    </row>
    <row r="552" spans="2:16" x14ac:dyDescent="0.15">
      <c r="B552" s="16">
        <v>43679</v>
      </c>
      <c r="C552" s="29">
        <f t="array" ref="C552">SUMPRODUCT('ファンドデータ(変更不要)'!K552:P552,TRANSPOSE(戦略の決定!$D$13:$D$18))</f>
        <v>-6.3255895557347772E-3</v>
      </c>
      <c r="D552" s="29">
        <f t="array" ref="D552">SUMPRODUCT('ファンドデータ(変更不要)'!K552:P552,TRANSPOSE(戦略の決定!$E$13:$E$18))</f>
        <v>-6.1021182024194008E-3</v>
      </c>
      <c r="E552" s="29">
        <f t="array" ref="E552">SUMPRODUCT('ファンドデータ(変更不要)'!K552:P552,TRANSPOSE(戦略の決定!$F$13:$F$18))</f>
        <v>-6.1021182024194008E-3</v>
      </c>
      <c r="F552" s="183">
        <f t="shared" si="36"/>
        <v>2.0458861867534841</v>
      </c>
      <c r="G552" s="183">
        <f t="shared" si="37"/>
        <v>2.5770503714648276</v>
      </c>
      <c r="H552" s="75">
        <f t="shared" si="38"/>
        <v>2.5770503714648276</v>
      </c>
      <c r="J552"/>
      <c r="K552"/>
      <c r="L552"/>
      <c r="M552"/>
      <c r="N552"/>
      <c r="O552"/>
      <c r="P552"/>
    </row>
    <row r="553" spans="2:16" x14ac:dyDescent="0.15">
      <c r="B553" s="16">
        <v>43686</v>
      </c>
      <c r="C553" s="29">
        <f t="array" ref="C553">SUMPRODUCT('ファンドデータ(変更不要)'!K553:P553,TRANSPOSE(戦略の決定!$D$13:$D$18))</f>
        <v>7.6037271816476533E-4</v>
      </c>
      <c r="D553" s="29">
        <f t="array" ref="D553">SUMPRODUCT('ファンドデータ(変更不要)'!K553:P553,TRANSPOSE(戦略の決定!$E$13:$E$18))</f>
        <v>2.1695789221078501E-4</v>
      </c>
      <c r="E553" s="29">
        <f t="array" ref="E553">SUMPRODUCT('ファンドデータ(変更不要)'!K553:P553,TRANSPOSE(戦略の決定!$F$13:$F$18))</f>
        <v>2.1695789221078501E-4</v>
      </c>
      <c r="F553" s="183">
        <f t="shared" si="36"/>
        <v>2.0474418227943616</v>
      </c>
      <c r="G553" s="183">
        <f t="shared" si="37"/>
        <v>2.5776094828815417</v>
      </c>
      <c r="H553" s="75">
        <f t="shared" si="38"/>
        <v>2.5776094828815417</v>
      </c>
      <c r="J553"/>
      <c r="K553"/>
      <c r="L553"/>
      <c r="M553"/>
      <c r="N553"/>
      <c r="O553"/>
      <c r="P553"/>
    </row>
    <row r="554" spans="2:16" x14ac:dyDescent="0.15">
      <c r="B554" s="16">
        <v>43693</v>
      </c>
      <c r="C554" s="29">
        <f t="array" ref="C554">SUMPRODUCT('ファンドデータ(変更不要)'!K554:P554,TRANSPOSE(戦略の決定!$D$13:$D$18))</f>
        <v>5.824651515818075E-3</v>
      </c>
      <c r="D554" s="29">
        <f t="array" ref="D554">SUMPRODUCT('ファンドデータ(変更不要)'!K554:P554,TRANSPOSE(戦略の決定!$E$13:$E$18))</f>
        <v>8.0072581741661604E-3</v>
      </c>
      <c r="E554" s="29">
        <f t="array" ref="E554">SUMPRODUCT('ファンドデータ(変更不要)'!K554:P554,TRANSPOSE(戦略の決定!$F$13:$F$18))</f>
        <v>8.0072581741661604E-3</v>
      </c>
      <c r="F554" s="183">
        <f t="shared" si="36"/>
        <v>2.0593674579110499</v>
      </c>
      <c r="G554" s="183">
        <f t="shared" si="37"/>
        <v>2.5982490674831529</v>
      </c>
      <c r="H554" s="75">
        <f t="shared" si="38"/>
        <v>2.5982490674831529</v>
      </c>
      <c r="J554"/>
      <c r="K554"/>
      <c r="L554"/>
      <c r="M554"/>
      <c r="N554"/>
      <c r="O554"/>
      <c r="P554"/>
    </row>
    <row r="555" spans="2:16" x14ac:dyDescent="0.15">
      <c r="B555" s="16">
        <v>43700</v>
      </c>
      <c r="C555" s="29">
        <f t="array" ref="C555">SUMPRODUCT('ファンドデータ(変更不要)'!K555:P555,TRANSPOSE(戦略の決定!$D$13:$D$18))</f>
        <v>3.4226674332336277E-3</v>
      </c>
      <c r="D555" s="29">
        <f t="array" ref="D555">SUMPRODUCT('ファンドデータ(変更不要)'!K555:P555,TRANSPOSE(戦略の決定!$E$13:$E$18))</f>
        <v>5.9908151898040163E-3</v>
      </c>
      <c r="E555" s="29">
        <f t="array" ref="E555">SUMPRODUCT('ファンドデータ(変更不要)'!K555:P555,TRANSPOSE(戦略の決定!$F$13:$F$18))</f>
        <v>5.9908151898040163E-3</v>
      </c>
      <c r="F555" s="183">
        <f t="shared" si="36"/>
        <v>2.0664159878423032</v>
      </c>
      <c r="G555" s="183">
        <f t="shared" si="37"/>
        <v>2.6138146974635252</v>
      </c>
      <c r="H555" s="75">
        <f t="shared" si="38"/>
        <v>2.6138146974635252</v>
      </c>
      <c r="J555"/>
      <c r="K555"/>
      <c r="L555"/>
      <c r="M555"/>
      <c r="N555"/>
      <c r="O555"/>
      <c r="P555"/>
    </row>
    <row r="556" spans="2:16" x14ac:dyDescent="0.15">
      <c r="B556" s="16">
        <v>43707</v>
      </c>
      <c r="C556" s="29">
        <f t="array" ref="C556">SUMPRODUCT('ファンドデータ(変更不要)'!K556:P556,TRANSPOSE(戦略の決定!$D$13:$D$18))</f>
        <v>3.6436117375418815E-3</v>
      </c>
      <c r="D556" s="29">
        <f t="array" ref="D556">SUMPRODUCT('ファンドデータ(変更不要)'!K556:P556,TRANSPOSE(戦略の決定!$E$13:$E$18))</f>
        <v>3.5224658714097905E-3</v>
      </c>
      <c r="E556" s="29">
        <f t="array" ref="E556">SUMPRODUCT('ファンドデータ(変更不要)'!K556:P556,TRANSPOSE(戦略の決定!$F$13:$F$18))</f>
        <v>3.5224658714097905E-3</v>
      </c>
      <c r="F556" s="183">
        <f t="shared" si="36"/>
        <v>2.0739452053902494</v>
      </c>
      <c r="G556" s="183">
        <f t="shared" si="37"/>
        <v>2.6230217705295296</v>
      </c>
      <c r="H556" s="75">
        <f t="shared" si="38"/>
        <v>2.6230217705295296</v>
      </c>
      <c r="J556"/>
      <c r="K556"/>
      <c r="L556"/>
      <c r="M556"/>
      <c r="N556"/>
      <c r="O556"/>
      <c r="P556"/>
    </row>
    <row r="557" spans="2:16" x14ac:dyDescent="0.15">
      <c r="B557" s="16">
        <v>43714</v>
      </c>
      <c r="C557" s="29">
        <f t="array" ref="C557">SUMPRODUCT('ファンドデータ(変更不要)'!K557:P557,TRANSPOSE(戦略の決定!$D$13:$D$18))</f>
        <v>6.7593512521473449E-3</v>
      </c>
      <c r="D557" s="29">
        <f t="array" ref="D557">SUMPRODUCT('ファンドデータ(変更不要)'!K557:P557,TRANSPOSE(戦略の決定!$E$13:$E$18))</f>
        <v>1.1181109774501076E-2</v>
      </c>
      <c r="E557" s="29">
        <f t="array" ref="E557">SUMPRODUCT('ファンドデータ(変更不要)'!K557:P557,TRANSPOSE(戦略の決定!$F$13:$F$18))</f>
        <v>1.1181109774501076E-2</v>
      </c>
      <c r="F557" s="183">
        <f t="shared" si="36"/>
        <v>2.087963729511189</v>
      </c>
      <c r="G557" s="183">
        <f t="shared" si="37"/>
        <v>2.6523500648867264</v>
      </c>
      <c r="H557" s="75">
        <f t="shared" si="38"/>
        <v>2.6523500648867264</v>
      </c>
      <c r="J557"/>
      <c r="K557"/>
      <c r="L557"/>
      <c r="M557"/>
      <c r="N557"/>
      <c r="O557"/>
      <c r="P557"/>
    </row>
    <row r="558" spans="2:16" x14ac:dyDescent="0.15">
      <c r="B558" s="16">
        <v>43721</v>
      </c>
      <c r="C558" s="29">
        <f t="array" ref="C558">SUMPRODUCT('ファンドデータ(変更不要)'!K558:P558,TRANSPOSE(戦略の決定!$D$13:$D$18))</f>
        <v>4.4043961686318616E-3</v>
      </c>
      <c r="D558" s="29">
        <f t="array" ref="D558">SUMPRODUCT('ファンドデータ(変更不要)'!K558:P558,TRANSPOSE(戦略の決定!$E$13:$E$18))</f>
        <v>4.9206601615364408E-3</v>
      </c>
      <c r="E558" s="29">
        <f t="array" ref="E558">SUMPRODUCT('ファンドデータ(変更不要)'!K558:P558,TRANSPOSE(戦略の決定!$F$13:$F$18))</f>
        <v>4.9206601615364408E-3</v>
      </c>
      <c r="F558" s="183">
        <f t="shared" si="36"/>
        <v>2.0971599489616901</v>
      </c>
      <c r="G558" s="183">
        <f t="shared" si="37"/>
        <v>2.6654013781854631</v>
      </c>
      <c r="H558" s="75">
        <f t="shared" si="38"/>
        <v>2.6654013781854631</v>
      </c>
      <c r="J558"/>
      <c r="K558"/>
      <c r="L558"/>
      <c r="M558"/>
      <c r="N558"/>
      <c r="O558"/>
      <c r="P558"/>
    </row>
    <row r="559" spans="2:16" x14ac:dyDescent="0.15">
      <c r="B559" s="16">
        <v>43728</v>
      </c>
      <c r="C559" s="29">
        <f t="array" ref="C559">SUMPRODUCT('ファンドデータ(変更不要)'!K559:P559,TRANSPOSE(戦略の決定!$D$13:$D$18))</f>
        <v>1.9204858113407914E-3</v>
      </c>
      <c r="D559" s="29">
        <f t="array" ref="D559">SUMPRODUCT('ファンドデータ(変更不要)'!K559:P559,TRANSPOSE(戦略の決定!$E$13:$E$18))</f>
        <v>2.0902675576187305E-3</v>
      </c>
      <c r="E559" s="29">
        <f t="array" ref="E559">SUMPRODUCT('ファンドデータ(変更不要)'!K559:P559,TRANSPOSE(戦略の決定!$F$13:$F$18))</f>
        <v>2.0902675576187305E-3</v>
      </c>
      <c r="F559" s="183">
        <f t="shared" si="36"/>
        <v>2.1011875148877834</v>
      </c>
      <c r="G559" s="183">
        <f t="shared" si="37"/>
        <v>2.6709727802143162</v>
      </c>
      <c r="H559" s="75">
        <f t="shared" si="38"/>
        <v>2.6709727802143162</v>
      </c>
      <c r="J559"/>
      <c r="K559"/>
      <c r="L559"/>
      <c r="M559"/>
      <c r="N559"/>
      <c r="O559"/>
      <c r="P559"/>
    </row>
    <row r="560" spans="2:16" x14ac:dyDescent="0.15">
      <c r="B560" s="16">
        <v>43735</v>
      </c>
      <c r="C560" s="29">
        <f t="array" ref="C560">SUMPRODUCT('ファンドデータ(変更不要)'!K560:P560,TRANSPOSE(戦略の決定!$D$13:$D$18))</f>
        <v>4.2564700461214583E-3</v>
      </c>
      <c r="D560" s="29">
        <f t="array" ref="D560">SUMPRODUCT('ファンドデータ(変更不要)'!K560:P560,TRANSPOSE(戦略の決定!$E$13:$E$18))</f>
        <v>7.3432333322370593E-3</v>
      </c>
      <c r="E560" s="29">
        <f t="array" ref="E560">SUMPRODUCT('ファンドデータ(変更不要)'!K560:P560,TRANSPOSE(戦略の決定!$F$13:$F$18))</f>
        <v>7.3432333322370593E-3</v>
      </c>
      <c r="F560" s="183">
        <f t="shared" si="36"/>
        <v>2.1101311566061876</v>
      </c>
      <c r="G560" s="183">
        <f t="shared" si="37"/>
        <v>2.6905863565634838</v>
      </c>
      <c r="H560" s="75">
        <f t="shared" si="38"/>
        <v>2.6905863565634838</v>
      </c>
      <c r="J560"/>
      <c r="K560"/>
      <c r="L560"/>
      <c r="M560"/>
      <c r="N560"/>
      <c r="O560"/>
      <c r="P560"/>
    </row>
    <row r="561" spans="2:16" x14ac:dyDescent="0.15">
      <c r="B561" s="16">
        <v>43742</v>
      </c>
      <c r="C561" s="29">
        <f t="array" ref="C561">SUMPRODUCT('ファンドデータ(変更不要)'!K561:P561,TRANSPOSE(戦略の決定!$D$13:$D$18))</f>
        <v>-2.9321354956220553E-3</v>
      </c>
      <c r="D561" s="29">
        <f t="array" ref="D561">SUMPRODUCT('ファンドデータ(変更不要)'!K561:P561,TRANSPOSE(戦略の決定!$E$13:$E$18))</f>
        <v>-1.8585988602713723E-3</v>
      </c>
      <c r="E561" s="29">
        <f t="array" ref="E561">SUMPRODUCT('ファンドデータ(変更不要)'!K561:P561,TRANSPOSE(戦略の決定!$F$13:$F$18))</f>
        <v>-1.8585988602713723E-3</v>
      </c>
      <c r="F561" s="183">
        <f t="shared" si="36"/>
        <v>2.1039439661414843</v>
      </c>
      <c r="G561" s="183">
        <f t="shared" si="37"/>
        <v>2.6855856358277133</v>
      </c>
      <c r="H561" s="75">
        <f t="shared" si="38"/>
        <v>2.6855856358277133</v>
      </c>
      <c r="J561"/>
      <c r="K561"/>
      <c r="L561"/>
      <c r="M561"/>
      <c r="N561"/>
      <c r="O561"/>
      <c r="P561"/>
    </row>
    <row r="562" spans="2:16" x14ac:dyDescent="0.15">
      <c r="B562" s="16">
        <v>43749</v>
      </c>
      <c r="C562" s="29">
        <f t="array" ref="C562">SUMPRODUCT('ファンドデータ(変更不要)'!K562:P562,TRANSPOSE(戦略の決定!$D$13:$D$18))</f>
        <v>6.5541194166809768E-3</v>
      </c>
      <c r="D562" s="29">
        <f t="array" ref="D562">SUMPRODUCT('ファンドデータ(変更不要)'!K562:P562,TRANSPOSE(戦略の決定!$E$13:$E$18))</f>
        <v>9.4558336060568057E-3</v>
      </c>
      <c r="E562" s="29">
        <f t="array" ref="E562">SUMPRODUCT('ファンドデータ(変更不要)'!K562:P562,TRANSPOSE(戦略の決定!$F$13:$F$18))</f>
        <v>9.4558336060568057E-3</v>
      </c>
      <c r="F562" s="183">
        <f t="shared" si="36"/>
        <v>2.1177334661415808</v>
      </c>
      <c r="G562" s="183">
        <f t="shared" si="37"/>
        <v>2.7109800867349163</v>
      </c>
      <c r="H562" s="75">
        <f t="shared" si="38"/>
        <v>2.7109800867349163</v>
      </c>
      <c r="J562"/>
      <c r="K562"/>
      <c r="L562"/>
      <c r="M562"/>
      <c r="N562"/>
      <c r="O562"/>
      <c r="P562"/>
    </row>
    <row r="563" spans="2:16" x14ac:dyDescent="0.15">
      <c r="B563" s="16">
        <v>43756</v>
      </c>
      <c r="C563" s="29">
        <f t="array" ref="C563">SUMPRODUCT('ファンドデータ(変更不要)'!K563:P563,TRANSPOSE(戦略の決定!$D$13:$D$18))</f>
        <v>7.0478947927327673E-3</v>
      </c>
      <c r="D563" s="29">
        <f t="array" ref="D563">SUMPRODUCT('ファンドデータ(変更不要)'!K563:P563,TRANSPOSE(戦略の決定!$E$13:$E$18))</f>
        <v>7.6270479724798099E-3</v>
      </c>
      <c r="E563" s="29">
        <f t="array" ref="E563">SUMPRODUCT('ファンドデータ(変更不要)'!K563:P563,TRANSPOSE(戦略の決定!$F$13:$F$18))</f>
        <v>7.6270479724798099E-3</v>
      </c>
      <c r="F563" s="183">
        <f t="shared" si="36"/>
        <v>2.132659028809996</v>
      </c>
      <c r="G563" s="183">
        <f t="shared" si="37"/>
        <v>2.7316568619088808</v>
      </c>
      <c r="H563" s="75">
        <f t="shared" si="38"/>
        <v>2.7316568619088808</v>
      </c>
      <c r="J563"/>
      <c r="K563"/>
      <c r="L563"/>
      <c r="M563"/>
      <c r="N563"/>
      <c r="O563"/>
      <c r="P563"/>
    </row>
    <row r="564" spans="2:16" x14ac:dyDescent="0.15">
      <c r="B564" s="16">
        <v>43763</v>
      </c>
      <c r="C564" s="29">
        <f t="array" ref="C564">SUMPRODUCT('ファンドデータ(変更不要)'!K564:P564,TRANSPOSE(戦略の決定!$D$13:$D$18))</f>
        <v>2.721618012499085E-3</v>
      </c>
      <c r="D564" s="29">
        <f t="array" ref="D564">SUMPRODUCT('ファンドデータ(変更不要)'!K564:P564,TRANSPOSE(戦略の決定!$E$13:$E$18))</f>
        <v>3.0877614667169455E-3</v>
      </c>
      <c r="E564" s="29">
        <f t="array" ref="E564">SUMPRODUCT('ファンドデータ(変更不要)'!K564:P564,TRANSPOSE(戦略の決定!$F$13:$F$18))</f>
        <v>3.0877614667169455E-3</v>
      </c>
      <c r="F564" s="183">
        <f t="shared" si="36"/>
        <v>2.1384633120373242</v>
      </c>
      <c r="G564" s="183">
        <f t="shared" si="37"/>
        <v>2.7400915667073757</v>
      </c>
      <c r="H564" s="75">
        <f t="shared" si="38"/>
        <v>2.7400915667073757</v>
      </c>
      <c r="J564"/>
      <c r="K564"/>
      <c r="L564"/>
      <c r="M564"/>
      <c r="N564"/>
      <c r="O564"/>
      <c r="P564"/>
    </row>
    <row r="565" spans="2:16" x14ac:dyDescent="0.15">
      <c r="B565" s="16">
        <v>43770</v>
      </c>
      <c r="C565" s="29">
        <f t="array" ref="C565">SUMPRODUCT('ファンドデータ(変更不要)'!K565:P565,TRANSPOSE(戦略の決定!$D$13:$D$18))</f>
        <v>2.4887047049289017E-3</v>
      </c>
      <c r="D565" s="29">
        <f t="array" ref="D565">SUMPRODUCT('ファンドデータ(変更不要)'!K565:P565,TRANSPOSE(戦略の決定!$E$13:$E$18))</f>
        <v>3.1354515275142814E-3</v>
      </c>
      <c r="E565" s="29">
        <f t="array" ref="E565">SUMPRODUCT('ファンドデータ(変更不要)'!K565:P565,TRANSPOSE(戦略の決定!$F$13:$F$18))</f>
        <v>3.1354515275142814E-3</v>
      </c>
      <c r="F565" s="183">
        <f t="shared" si="36"/>
        <v>2.1437853157433095</v>
      </c>
      <c r="G565" s="183">
        <f t="shared" si="37"/>
        <v>2.7486829909957375</v>
      </c>
      <c r="H565" s="75">
        <f t="shared" si="38"/>
        <v>2.7486829909957375</v>
      </c>
      <c r="J565"/>
      <c r="K565"/>
      <c r="L565"/>
      <c r="M565"/>
      <c r="N565"/>
      <c r="O565"/>
      <c r="P565"/>
    </row>
    <row r="566" spans="2:16" x14ac:dyDescent="0.15">
      <c r="B566" s="16">
        <v>43777</v>
      </c>
      <c r="C566" s="29">
        <f t="array" ref="C566">SUMPRODUCT('ファンドデータ(変更不要)'!K566:P566,TRANSPOSE(戦略の決定!$D$13:$D$18))</f>
        <v>-8.6439287249521456E-3</v>
      </c>
      <c r="D566" s="29">
        <f t="array" ref="D566">SUMPRODUCT('ファンドデータ(変更不要)'!K566:P566,TRANSPOSE(戦略の決定!$E$13:$E$18))</f>
        <v>-1.3057064578511957E-2</v>
      </c>
      <c r="E566" s="29">
        <f t="array" ref="E566">SUMPRODUCT('ファンドデータ(変更不要)'!K566:P566,TRANSPOSE(戦略の決定!$F$13:$F$18))</f>
        <v>-1.3057064578511957E-2</v>
      </c>
      <c r="F566" s="183">
        <f t="shared" si="36"/>
        <v>2.1252545882724254</v>
      </c>
      <c r="G566" s="183">
        <f t="shared" si="37"/>
        <v>2.7127932596764488</v>
      </c>
      <c r="H566" s="75">
        <f t="shared" si="38"/>
        <v>2.7127932596764488</v>
      </c>
      <c r="J566"/>
      <c r="K566"/>
      <c r="L566"/>
      <c r="M566"/>
      <c r="N566"/>
      <c r="O566"/>
      <c r="P566"/>
    </row>
    <row r="567" spans="2:16" x14ac:dyDescent="0.15">
      <c r="B567" s="16">
        <v>43784</v>
      </c>
      <c r="C567" s="29">
        <f t="array" ref="C567">SUMPRODUCT('ファンドデータ(変更不要)'!K567:P567,TRANSPOSE(戦略の決定!$D$13:$D$18))</f>
        <v>-4.9725541402784465E-3</v>
      </c>
      <c r="D567" s="29">
        <f t="array" ref="D567">SUMPRODUCT('ファンドデータ(変更不要)'!K567:P567,TRANSPOSE(戦略の決定!$E$13:$E$18))</f>
        <v>-7.7548507564788689E-3</v>
      </c>
      <c r="E567" s="29">
        <f t="array" ref="E567">SUMPRODUCT('ファンドデータ(変更不要)'!K567:P567,TRANSPOSE(戦略の決定!$F$13:$F$18))</f>
        <v>-7.7548507564788689E-3</v>
      </c>
      <c r="F567" s="183">
        <f t="shared" si="36"/>
        <v>2.1146866447703658</v>
      </c>
      <c r="G567" s="183">
        <f t="shared" si="37"/>
        <v>2.6917559528144763</v>
      </c>
      <c r="H567" s="75">
        <f t="shared" si="38"/>
        <v>2.6917559528144763</v>
      </c>
      <c r="J567"/>
      <c r="K567"/>
      <c r="L567"/>
      <c r="M567"/>
      <c r="N567"/>
      <c r="O567"/>
      <c r="P567"/>
    </row>
    <row r="568" spans="2:16" x14ac:dyDescent="0.15">
      <c r="B568" s="16">
        <v>43791</v>
      </c>
      <c r="C568" s="29">
        <f t="array" ref="C568">SUMPRODUCT('ファンドデータ(変更不要)'!K568:P568,TRANSPOSE(戦略の決定!$D$13:$D$18))</f>
        <v>7.9638132983541488E-3</v>
      </c>
      <c r="D568" s="29">
        <f t="array" ref="D568">SUMPRODUCT('ファンドデータ(変更不要)'!K568:P568,TRANSPOSE(戦略の決定!$E$13:$E$18))</f>
        <v>1.4503599665310724E-2</v>
      </c>
      <c r="E568" s="29">
        <f t="array" ref="E568">SUMPRODUCT('ファンドデータ(変更不要)'!K568:P568,TRANSPOSE(戦略の決定!$F$13:$F$18))</f>
        <v>1.4503599665310724E-2</v>
      </c>
      <c r="F568" s="183">
        <f t="shared" si="36"/>
        <v>2.13152761439384</v>
      </c>
      <c r="G568" s="183">
        <f t="shared" si="37"/>
        <v>2.7307961035508144</v>
      </c>
      <c r="H568" s="75">
        <f t="shared" si="38"/>
        <v>2.7307961035508144</v>
      </c>
      <c r="J568"/>
      <c r="K568"/>
      <c r="L568"/>
      <c r="M568"/>
      <c r="N568"/>
      <c r="O568"/>
      <c r="P568"/>
    </row>
    <row r="569" spans="2:16" x14ac:dyDescent="0.15">
      <c r="B569" s="16">
        <v>43798</v>
      </c>
      <c r="C569" s="29">
        <f t="array" ref="C569">SUMPRODUCT('ファンドデータ(変更不要)'!K569:P569,TRANSPOSE(戦略の決定!$D$13:$D$18))</f>
        <v>6.5335884670750834E-3</v>
      </c>
      <c r="D569" s="29">
        <f t="array" ref="D569">SUMPRODUCT('ファンドデータ(変更不要)'!K569:P569,TRANSPOSE(戦略の決定!$E$13:$E$18))</f>
        <v>8.7235114336206079E-3</v>
      </c>
      <c r="E569" s="29">
        <f t="array" ref="E569">SUMPRODUCT('ファンドデータ(変更不要)'!K569:P569,TRANSPOSE(戦略の決定!$F$13:$F$18))</f>
        <v>8.7235114336206079E-3</v>
      </c>
      <c r="F569" s="183">
        <f t="shared" si="36"/>
        <v>2.1454541386324957</v>
      </c>
      <c r="G569" s="183">
        <f t="shared" si="37"/>
        <v>2.7546182345830266</v>
      </c>
      <c r="H569" s="75">
        <f t="shared" si="38"/>
        <v>2.7546182345830266</v>
      </c>
      <c r="J569"/>
      <c r="K569"/>
      <c r="L569"/>
      <c r="M569"/>
      <c r="N569"/>
      <c r="O569"/>
      <c r="P569"/>
    </row>
    <row r="570" spans="2:16" x14ac:dyDescent="0.15">
      <c r="B570" s="16">
        <v>43805</v>
      </c>
      <c r="C570" s="29">
        <f t="array" ref="C570">SUMPRODUCT('ファンドデータ(変更不要)'!K570:P570,TRANSPOSE(戦略の決定!$D$13:$D$18))</f>
        <v>-8.0002090820807496E-3</v>
      </c>
      <c r="D570" s="29">
        <f t="array" ref="D570">SUMPRODUCT('ファンドデータ(変更不要)'!K570:P570,TRANSPOSE(戦略の決定!$E$13:$E$18))</f>
        <v>-1.2164702243393798E-2</v>
      </c>
      <c r="E570" s="29">
        <f t="array" ref="E570">SUMPRODUCT('ファンドデータ(変更不要)'!K570:P570,TRANSPOSE(戦略の決定!$F$13:$F$18))</f>
        <v>-1.2164702243393798E-2</v>
      </c>
      <c r="F570" s="183">
        <f t="shared" si="36"/>
        <v>2.1282900569474204</v>
      </c>
      <c r="G570" s="183">
        <f t="shared" si="37"/>
        <v>2.7211091239651011</v>
      </c>
      <c r="H570" s="75">
        <f t="shared" si="38"/>
        <v>2.7211091239651011</v>
      </c>
      <c r="J570"/>
      <c r="K570"/>
      <c r="L570"/>
      <c r="M570"/>
      <c r="N570"/>
      <c r="O570"/>
      <c r="P570"/>
    </row>
    <row r="571" spans="2:16" x14ac:dyDescent="0.15">
      <c r="B571" s="16">
        <v>43812</v>
      </c>
      <c r="C571" s="29">
        <f t="array" ref="C571">SUMPRODUCT('ファンドデータ(変更不要)'!K571:P571,TRANSPOSE(戦略の決定!$D$13:$D$18))</f>
        <v>7.8675097771965666E-4</v>
      </c>
      <c r="D571" s="29">
        <f t="array" ref="D571">SUMPRODUCT('ファンドデータ(変更不要)'!K571:P571,TRANSPOSE(戦略の決定!$E$13:$E$18))</f>
        <v>-5.0105891184042215E-3</v>
      </c>
      <c r="E571" s="29">
        <f t="array" ref="E571">SUMPRODUCT('ファンドデータ(変更不要)'!K571:P571,TRANSPOSE(戦略の決定!$F$13:$F$18))</f>
        <v>-5.0105891184042215E-3</v>
      </c>
      <c r="F571" s="183">
        <f t="shared" si="36"/>
        <v>2.1299644912305951</v>
      </c>
      <c r="G571" s="183">
        <f t="shared" si="37"/>
        <v>2.707474764198571</v>
      </c>
      <c r="H571" s="75">
        <f t="shared" si="38"/>
        <v>2.707474764198571</v>
      </c>
      <c r="J571"/>
      <c r="K571"/>
      <c r="L571"/>
      <c r="M571"/>
      <c r="N571"/>
      <c r="O571"/>
      <c r="P571"/>
    </row>
    <row r="572" spans="2:16" x14ac:dyDescent="0.15">
      <c r="B572" s="16">
        <v>43819</v>
      </c>
      <c r="C572" s="29">
        <f t="array" ref="C572">SUMPRODUCT('ファンドデータ(変更不要)'!K572:P572,TRANSPOSE(戦略の決定!$D$13:$D$18))</f>
        <v>-4.435978871492002E-3</v>
      </c>
      <c r="D572" s="29">
        <f t="array" ref="D572">SUMPRODUCT('ファンドデータ(変更不要)'!K572:P572,TRANSPOSE(戦略の決定!$E$13:$E$18))</f>
        <v>-3.6863796237343541E-3</v>
      </c>
      <c r="E572" s="29">
        <f t="array" ref="E572">SUMPRODUCT('ファンドデータ(変更不要)'!K572:P572,TRANSPOSE(戦略の決定!$F$13:$F$18))</f>
        <v>-3.6863796237343541E-3</v>
      </c>
      <c r="F572" s="183">
        <f t="shared" si="36"/>
        <v>2.1205160137504677</v>
      </c>
      <c r="G572" s="183">
        <f t="shared" si="37"/>
        <v>2.6974939843960546</v>
      </c>
      <c r="H572" s="75">
        <f t="shared" si="38"/>
        <v>2.6974939843960546</v>
      </c>
      <c r="J572"/>
      <c r="K572"/>
      <c r="L572"/>
      <c r="M572"/>
      <c r="N572"/>
      <c r="O572"/>
      <c r="P572"/>
    </row>
    <row r="573" spans="2:16" x14ac:dyDescent="0.15">
      <c r="B573" s="16">
        <v>43826</v>
      </c>
      <c r="C573" s="29">
        <f t="array" ref="C573">SUMPRODUCT('ファンドデータ(変更不要)'!K573:P573,TRANSPOSE(戦略の決定!$D$13:$D$18))</f>
        <v>7.862797257701358E-3</v>
      </c>
      <c r="D573" s="29">
        <f t="array" ref="D573">SUMPRODUCT('ファンドデータ(変更不要)'!K573:P573,TRANSPOSE(戦略の決定!$E$13:$E$18))</f>
        <v>1.2823369355086121E-2</v>
      </c>
      <c r="E573" s="29">
        <f t="array" ref="E573">SUMPRODUCT('ファンドデータ(変更不要)'!K573:P573,TRANSPOSE(戦略の決定!$F$13:$F$18))</f>
        <v>1.2823369355086121E-2</v>
      </c>
      <c r="F573" s="183">
        <f t="shared" si="36"/>
        <v>2.1371892012482969</v>
      </c>
      <c r="G573" s="183">
        <f t="shared" si="37"/>
        <v>2.7320849460910881</v>
      </c>
      <c r="H573" s="75">
        <f t="shared" si="38"/>
        <v>2.7320849460910881</v>
      </c>
      <c r="J573"/>
      <c r="K573"/>
      <c r="L573"/>
      <c r="M573"/>
      <c r="N573"/>
      <c r="O573"/>
      <c r="P573"/>
    </row>
    <row r="574" spans="2:16" x14ac:dyDescent="0.15">
      <c r="B574" s="16">
        <v>43833</v>
      </c>
      <c r="C574" s="29">
        <f t="array" ref="C574">SUMPRODUCT('ファンドデータ(変更不要)'!K574:P574,TRANSPOSE(戦略の決定!$D$13:$D$18))</f>
        <v>7.5299986524513126E-4</v>
      </c>
      <c r="D574" s="29">
        <f t="array" ref="D574">SUMPRODUCT('ファンドデータ(変更不要)'!K574:P574,TRANSPOSE(戦略の決定!$E$13:$E$18))</f>
        <v>8.8022506999681119E-4</v>
      </c>
      <c r="E574" s="29">
        <f t="array" ref="E574">SUMPRODUCT('ファンドデータ(変更不要)'!K574:P574,TRANSPOSE(戦略の決定!$F$13:$F$18))</f>
        <v>8.8022506999681119E-4</v>
      </c>
      <c r="F574" s="183">
        <f t="shared" si="36"/>
        <v>2.1387985044288405</v>
      </c>
      <c r="G574" s="183">
        <f t="shared" si="37"/>
        <v>2.7344897957539986</v>
      </c>
      <c r="H574" s="75">
        <f t="shared" si="38"/>
        <v>2.7344897957539986</v>
      </c>
      <c r="J574"/>
      <c r="K574"/>
      <c r="L574"/>
      <c r="M574"/>
      <c r="N574"/>
      <c r="O574"/>
      <c r="P574"/>
    </row>
    <row r="575" spans="2:16" x14ac:dyDescent="0.15">
      <c r="B575" s="16">
        <v>43840</v>
      </c>
      <c r="C575" s="29">
        <f t="array" ref="C575">SUMPRODUCT('ファンドデータ(変更不要)'!K575:P575,TRANSPOSE(戦略の決定!$D$13:$D$18))</f>
        <v>-1.978779525105499E-3</v>
      </c>
      <c r="D575" s="29">
        <f t="array" ref="D575">SUMPRODUCT('ファンドデータ(変更不要)'!K575:P575,TRANSPOSE(戦略の決定!$E$13:$E$18))</f>
        <v>-2.6286960168185923E-3</v>
      </c>
      <c r="E575" s="29">
        <f t="array" ref="E575">SUMPRODUCT('ファンドデータ(変更不要)'!K575:P575,TRANSPOSE(戦略の決定!$F$13:$F$18))</f>
        <v>-2.6286960168185923E-3</v>
      </c>
      <c r="F575" s="183">
        <f t="shared" si="36"/>
        <v>2.1345662937399505</v>
      </c>
      <c r="G575" s="183">
        <f t="shared" si="37"/>
        <v>2.7273016533198691</v>
      </c>
      <c r="H575" s="75">
        <f t="shared" si="38"/>
        <v>2.7273016533198691</v>
      </c>
      <c r="J575"/>
      <c r="K575"/>
      <c r="L575"/>
      <c r="M575"/>
      <c r="N575"/>
      <c r="O575"/>
      <c r="P575"/>
    </row>
    <row r="576" spans="2:16" x14ac:dyDescent="0.15">
      <c r="B576" s="16">
        <v>43847</v>
      </c>
      <c r="C576" s="29">
        <f t="array" ref="C576">SUMPRODUCT('ファンドデータ(変更不要)'!K576:P576,TRANSPOSE(戦略の決定!$D$13:$D$18))</f>
        <v>7.9645419658764226E-3</v>
      </c>
      <c r="D576" s="29">
        <f t="array" ref="D576">SUMPRODUCT('ファンドデータ(変更不要)'!K576:P576,TRANSPOSE(戦略の決定!$E$13:$E$18))</f>
        <v>1.0941125109991167E-2</v>
      </c>
      <c r="E576" s="29">
        <f t="array" ref="E576">SUMPRODUCT('ファンドデータ(変更不要)'!K576:P576,TRANSPOSE(戦略の決定!$F$13:$F$18))</f>
        <v>1.0941125109991167E-2</v>
      </c>
      <c r="F576" s="183">
        <f t="shared" si="36"/>
        <v>2.1515671365653879</v>
      </c>
      <c r="G576" s="183">
        <f t="shared" si="37"/>
        <v>2.7571414019215275</v>
      </c>
      <c r="H576" s="75">
        <f t="shared" si="38"/>
        <v>2.7571414019215275</v>
      </c>
      <c r="J576"/>
      <c r="K576"/>
      <c r="L576"/>
      <c r="M576"/>
      <c r="N576"/>
      <c r="O576"/>
      <c r="P576"/>
    </row>
    <row r="577" spans="2:16" x14ac:dyDescent="0.15">
      <c r="B577" s="16">
        <v>43854</v>
      </c>
      <c r="C577" s="29">
        <f t="array" ref="C577">SUMPRODUCT('ファンドデータ(変更不要)'!K577:P577,TRANSPOSE(戦略の決定!$D$13:$D$18))</f>
        <v>2.689620456840756E-3</v>
      </c>
      <c r="D577" s="29">
        <f t="array" ref="D577">SUMPRODUCT('ファンドデータ(変更不要)'!K577:P577,TRANSPOSE(戦略の決定!$E$13:$E$18))</f>
        <v>5.7628803693753243E-3</v>
      </c>
      <c r="E577" s="29">
        <f t="array" ref="E577">SUMPRODUCT('ファンドデータ(変更不要)'!K577:P577,TRANSPOSE(戦略の決定!$F$13:$F$18))</f>
        <v>5.7628803693753243E-3</v>
      </c>
      <c r="F577" s="183">
        <f t="shared" si="36"/>
        <v>2.1573540355501604</v>
      </c>
      <c r="G577" s="183">
        <f t="shared" si="37"/>
        <v>2.7730304779822528</v>
      </c>
      <c r="H577" s="75">
        <f t="shared" si="38"/>
        <v>2.7730304779822528</v>
      </c>
      <c r="J577"/>
      <c r="K577"/>
      <c r="L577"/>
      <c r="M577"/>
      <c r="N577"/>
      <c r="O577"/>
      <c r="P577"/>
    </row>
    <row r="578" spans="2:16" x14ac:dyDescent="0.15">
      <c r="B578" s="16">
        <v>43861</v>
      </c>
      <c r="C578" s="29">
        <f t="array" ref="C578">SUMPRODUCT('ファンドデータ(変更不要)'!K578:P578,TRANSPOSE(戦略の決定!$D$13:$D$18))</f>
        <v>1.467922281195513E-3</v>
      </c>
      <c r="D578" s="29">
        <f t="array" ref="D578">SUMPRODUCT('ファンドデータ(変更不要)'!K578:P578,TRANSPOSE(戦略の決定!$E$13:$E$18))</f>
        <v>3.8577423320410777E-3</v>
      </c>
      <c r="E578" s="29">
        <f t="array" ref="E578">SUMPRODUCT('ファンドデータ(変更不要)'!K578:P578,TRANSPOSE(戦略の決定!$F$13:$F$18))</f>
        <v>3.8577423320410777E-3</v>
      </c>
      <c r="F578" s="183">
        <f t="shared" si="36"/>
        <v>2.1605208636073714</v>
      </c>
      <c r="G578" s="183">
        <f t="shared" si="37"/>
        <v>2.7837281150452053</v>
      </c>
      <c r="H578" s="75">
        <f t="shared" si="38"/>
        <v>2.7837281150452053</v>
      </c>
      <c r="J578"/>
      <c r="K578"/>
      <c r="L578"/>
      <c r="M578"/>
      <c r="N578"/>
      <c r="O578"/>
      <c r="P578"/>
    </row>
    <row r="579" spans="2:16" x14ac:dyDescent="0.15">
      <c r="B579" s="16">
        <v>43868</v>
      </c>
      <c r="C579" s="29">
        <f t="array" ref="C579">SUMPRODUCT('ファンドデータ(変更不要)'!K579:P579,TRANSPOSE(戦略の決定!$D$13:$D$18))</f>
        <v>3.6217300843323424E-3</v>
      </c>
      <c r="D579" s="29">
        <f t="array" ref="D579">SUMPRODUCT('ファンドデータ(変更不要)'!K579:P579,TRANSPOSE(戦略の決定!$E$13:$E$18))</f>
        <v>3.9208150638101796E-3</v>
      </c>
      <c r="E579" s="29">
        <f t="array" ref="E579">SUMPRODUCT('ファンドデータ(変更不要)'!K579:P579,TRANSPOSE(戦略の決定!$F$13:$F$18))</f>
        <v>3.9208150638101796E-3</v>
      </c>
      <c r="F579" s="183">
        <f t="shared" si="36"/>
        <v>2.168345687016926</v>
      </c>
      <c r="G579" s="183">
        <f t="shared" si="37"/>
        <v>2.7946425981722265</v>
      </c>
      <c r="H579" s="75">
        <f t="shared" si="38"/>
        <v>2.7946425981722265</v>
      </c>
      <c r="J579"/>
      <c r="K579"/>
      <c r="L579"/>
      <c r="M579"/>
      <c r="N579"/>
      <c r="O579"/>
      <c r="P579"/>
    </row>
    <row r="580" spans="2:16" x14ac:dyDescent="0.15">
      <c r="B580" s="16">
        <v>43875</v>
      </c>
      <c r="C580" s="29">
        <f t="array" ref="C580">SUMPRODUCT('ファンドデータ(変更不要)'!K580:P580,TRANSPOSE(戦略の決定!$D$13:$D$18))</f>
        <v>1.1293492932029129E-3</v>
      </c>
      <c r="D580" s="29">
        <f t="array" ref="D580">SUMPRODUCT('ファンドデータ(変更不要)'!K580:P580,TRANSPOSE(戦略の決定!$E$13:$E$18))</f>
        <v>4.1708113810058579E-3</v>
      </c>
      <c r="E580" s="29">
        <f t="array" ref="E580">SUMPRODUCT('ファンドデータ(変更不要)'!K580:P580,TRANSPOSE(戦略の決定!$F$13:$F$18))</f>
        <v>4.1708113810058579E-3</v>
      </c>
      <c r="F580" s="183">
        <f t="shared" si="36"/>
        <v>2.1707945066859784</v>
      </c>
      <c r="G580" s="183">
        <f t="shared" si="37"/>
        <v>2.8062985253265271</v>
      </c>
      <c r="H580" s="75">
        <f t="shared" si="38"/>
        <v>2.8062985253265271</v>
      </c>
      <c r="J580"/>
      <c r="K580"/>
      <c r="L580"/>
      <c r="M580"/>
      <c r="N580"/>
      <c r="O580"/>
      <c r="P580"/>
    </row>
    <row r="581" spans="2:16" x14ac:dyDescent="0.15">
      <c r="B581" s="16">
        <v>43882</v>
      </c>
      <c r="C581" s="29">
        <f t="array" ref="C581">SUMPRODUCT('ファンドデータ(変更不要)'!K581:P581,TRANSPOSE(戦略の決定!$D$13:$D$18))</f>
        <v>9.1361527142848533E-3</v>
      </c>
      <c r="D581" s="29">
        <f t="array" ref="D581">SUMPRODUCT('ファンドデータ(変更不要)'!K581:P581,TRANSPOSE(戦略の決定!$E$13:$E$18))</f>
        <v>1.1535355590717826E-2</v>
      </c>
      <c r="E581" s="29">
        <f t="array" ref="E581">SUMPRODUCT('ファンドデータ(変更不要)'!K581:P581,TRANSPOSE(戦略の決定!$F$13:$F$18))</f>
        <v>1.1535355590717826E-2</v>
      </c>
      <c r="F581" s="183">
        <f t="shared" ref="F581:F616" si="39">F580*(1+C581)</f>
        <v>2.190627216810392</v>
      </c>
      <c r="G581" s="183">
        <f t="shared" ref="G581:G616" si="40">G580*(1+D581)</f>
        <v>2.8386701767098756</v>
      </c>
      <c r="H581" s="75">
        <f t="shared" ref="H581:H616" si="41">H580*(1+E581)</f>
        <v>2.8386701767098756</v>
      </c>
      <c r="J581"/>
      <c r="K581"/>
      <c r="L581"/>
      <c r="M581"/>
      <c r="N581"/>
      <c r="O581"/>
      <c r="P581"/>
    </row>
    <row r="582" spans="2:16" x14ac:dyDescent="0.15">
      <c r="B582" s="16">
        <v>43889</v>
      </c>
      <c r="C582" s="29">
        <f t="array" ref="C582">SUMPRODUCT('ファンドデータ(変更不要)'!K582:P582,TRANSPOSE(戦略の決定!$D$13:$D$18))</f>
        <v>-4.0887882468307768E-2</v>
      </c>
      <c r="D582" s="29">
        <f t="array" ref="D582">SUMPRODUCT('ファンドデータ(変更不要)'!K582:P582,TRANSPOSE(戦略の決定!$E$13:$E$18))</f>
        <v>-6.3907695264798794E-2</v>
      </c>
      <c r="E582" s="29">
        <f t="array" ref="E582">SUMPRODUCT('ファンドデータ(変更不要)'!K582:P582,TRANSPOSE(戦略の決定!$F$13:$F$18))</f>
        <v>-6.3907695264798794E-2</v>
      </c>
      <c r="F582" s="183">
        <f t="shared" si="39"/>
        <v>2.1010571086375727</v>
      </c>
      <c r="G582" s="183">
        <f t="shared" si="40"/>
        <v>2.6572573080994286</v>
      </c>
      <c r="H582" s="75">
        <f t="shared" si="41"/>
        <v>2.6572573080994286</v>
      </c>
      <c r="J582"/>
      <c r="K582"/>
      <c r="L582"/>
      <c r="M582"/>
      <c r="N582"/>
      <c r="O582"/>
      <c r="P582"/>
    </row>
    <row r="583" spans="2:16" x14ac:dyDescent="0.15">
      <c r="B583" s="16">
        <v>43896</v>
      </c>
      <c r="C583" s="29">
        <f t="array" ref="C583">SUMPRODUCT('ファンドデータ(変更不要)'!K583:P583,TRANSPOSE(戦略の決定!$D$13:$D$18))</f>
        <v>-2.7988388570248674E-3</v>
      </c>
      <c r="D583" s="29">
        <f t="array" ref="D583">SUMPRODUCT('ファンドデータ(変更不要)'!K583:P583,TRANSPOSE(戦略の決定!$E$13:$E$18))</f>
        <v>-3.062936142703707E-5</v>
      </c>
      <c r="E583" s="29">
        <f t="array" ref="E583">SUMPRODUCT('ファンドデータ(変更不要)'!K583:P583,TRANSPOSE(戦略の決定!$F$13:$F$18))</f>
        <v>-3.062936142703707E-5</v>
      </c>
      <c r="F583" s="183">
        <f t="shared" si="39"/>
        <v>2.0951765883610896</v>
      </c>
      <c r="G583" s="183">
        <f t="shared" si="40"/>
        <v>2.6571759180049344</v>
      </c>
      <c r="H583" s="75">
        <f t="shared" si="41"/>
        <v>2.6571759180049344</v>
      </c>
      <c r="J583"/>
      <c r="K583"/>
      <c r="L583"/>
      <c r="M583"/>
      <c r="N583"/>
      <c r="O583"/>
      <c r="P583"/>
    </row>
    <row r="584" spans="2:16" x14ac:dyDescent="0.15">
      <c r="B584" s="16">
        <v>43903</v>
      </c>
      <c r="C584" s="29">
        <f t="array" ref="C584">SUMPRODUCT('ファンドデータ(変更不要)'!K584:P584,TRANSPOSE(戦略の決定!$D$13:$D$18))</f>
        <v>-8.9056286241135013E-2</v>
      </c>
      <c r="D584" s="29">
        <f t="array" ref="D584">SUMPRODUCT('ファンドデータ(変更不要)'!K584:P584,TRANSPOSE(戦略の決定!$E$13:$E$18))</f>
        <v>-0.13433689356166861</v>
      </c>
      <c r="E584" s="29">
        <f t="array" ref="E584">SUMPRODUCT('ファンドデータ(変更不要)'!K584:P584,TRANSPOSE(戦略の決定!$F$13:$F$18))</f>
        <v>-0.13433689356166861</v>
      </c>
      <c r="F584" s="183">
        <f t="shared" si="39"/>
        <v>1.9085879423822796</v>
      </c>
      <c r="G584" s="183">
        <f t="shared" si="40"/>
        <v>2.3002191595332762</v>
      </c>
      <c r="H584" s="75">
        <f t="shared" si="41"/>
        <v>2.3002191595332762</v>
      </c>
      <c r="J584"/>
      <c r="K584"/>
      <c r="L584"/>
      <c r="M584"/>
      <c r="N584"/>
      <c r="O584"/>
      <c r="P584"/>
    </row>
    <row r="585" spans="2:16" x14ac:dyDescent="0.15">
      <c r="B585" s="16">
        <v>43910</v>
      </c>
      <c r="C585" s="29">
        <f t="array" ref="C585">SUMPRODUCT('ファンドデータ(変更不要)'!K585:P585,TRANSPOSE(戦略の決定!$D$13:$D$18))</f>
        <v>-7.9400874897309334E-2</v>
      </c>
      <c r="D585" s="29">
        <f t="array" ref="D585">SUMPRODUCT('ファンドデータ(変更不要)'!K585:P585,TRANSPOSE(戦略の決定!$E$13:$E$18))</f>
        <v>-0.12969406788786739</v>
      </c>
      <c r="E585" s="29">
        <f t="array" ref="E585">SUMPRODUCT('ファンドデータ(変更不要)'!K585:P585,TRANSPOSE(戦略の決定!$F$13:$F$18))</f>
        <v>-0.12969406788786739</v>
      </c>
      <c r="F585" s="183">
        <f t="shared" si="39"/>
        <v>1.7570443899386712</v>
      </c>
      <c r="G585" s="183">
        <f t="shared" si="40"/>
        <v>2.0018943796997943</v>
      </c>
      <c r="H585" s="75">
        <f t="shared" si="41"/>
        <v>2.0018943796997943</v>
      </c>
      <c r="J585"/>
      <c r="K585"/>
      <c r="L585"/>
      <c r="M585"/>
      <c r="N585"/>
      <c r="O585"/>
      <c r="P585"/>
    </row>
    <row r="586" spans="2:16" x14ac:dyDescent="0.15">
      <c r="B586" s="16">
        <v>43917</v>
      </c>
      <c r="C586" s="29">
        <f t="array" ref="C586">SUMPRODUCT('ファンドデータ(変更不要)'!K586:P586,TRANSPOSE(戦略の決定!$D$13:$D$18))</f>
        <v>0.1181510038782589</v>
      </c>
      <c r="D586" s="29">
        <f t="array" ref="D586">SUMPRODUCT('ファンドデータ(変更不要)'!K586:P586,TRANSPOSE(戦略の決定!$E$13:$E$18))</f>
        <v>0.17907199753862085</v>
      </c>
      <c r="E586" s="29">
        <f t="array" ref="E586">SUMPRODUCT('ファンドデータ(変更不要)'!K586:P586,TRANSPOSE(戦略の決定!$F$13:$F$18))</f>
        <v>0.17907199753862085</v>
      </c>
      <c r="F586" s="183">
        <f t="shared" si="39"/>
        <v>1.9646409484685883</v>
      </c>
      <c r="G586" s="183">
        <f t="shared" si="40"/>
        <v>2.3603776051339747</v>
      </c>
      <c r="H586" s="75">
        <f t="shared" si="41"/>
        <v>2.3603776051339747</v>
      </c>
      <c r="J586"/>
      <c r="K586"/>
      <c r="L586"/>
      <c r="M586"/>
      <c r="N586"/>
      <c r="O586"/>
      <c r="P586"/>
    </row>
    <row r="587" spans="2:16" x14ac:dyDescent="0.15">
      <c r="B587" s="16">
        <v>43924</v>
      </c>
      <c r="C587" s="29">
        <f t="array" ref="C587">SUMPRODUCT('ファンドデータ(変更不要)'!K587:P587,TRANSPOSE(戦略の決定!$D$13:$D$18))</f>
        <v>-2.7519720947471852E-2</v>
      </c>
      <c r="D587" s="29">
        <f t="array" ref="D587">SUMPRODUCT('ファンドデータ(変更不要)'!K587:P587,TRANSPOSE(戦略の決定!$E$13:$E$18))</f>
        <v>-3.8529911473665107E-2</v>
      </c>
      <c r="E587" s="29">
        <f t="array" ref="E587">SUMPRODUCT('ファンドデータ(変更不要)'!K587:P587,TRANSPOSE(戦略の決定!$F$13:$F$18))</f>
        <v>-3.8529911473665107E-2</v>
      </c>
      <c r="F587" s="183">
        <f t="shared" si="39"/>
        <v>1.9105745778047563</v>
      </c>
      <c r="G587" s="183">
        <f t="shared" si="40"/>
        <v>2.269432464963741</v>
      </c>
      <c r="H587" s="75">
        <f t="shared" si="41"/>
        <v>2.269432464963741</v>
      </c>
      <c r="J587"/>
      <c r="K587"/>
      <c r="L587"/>
      <c r="M587"/>
      <c r="N587"/>
      <c r="O587"/>
      <c r="P587"/>
    </row>
    <row r="588" spans="2:16" x14ac:dyDescent="0.15">
      <c r="B588" s="16">
        <v>43931</v>
      </c>
      <c r="C588" s="29">
        <f t="array" ref="C588">SUMPRODUCT('ファンドデータ(変更不要)'!K588:P588,TRANSPOSE(戦略の決定!$D$13:$D$18))</f>
        <v>3.4653965551777473E-2</v>
      </c>
      <c r="D588" s="29">
        <f t="array" ref="D588">SUMPRODUCT('ファンドデータ(変更不要)'!K588:P588,TRANSPOSE(戦略の決定!$E$13:$E$18))</f>
        <v>5.1201287461302897E-2</v>
      </c>
      <c r="E588" s="29">
        <f t="array" ref="E588">SUMPRODUCT('ファンドデータ(変更不要)'!K588:P588,TRANSPOSE(戦略の決定!$F$13:$F$18))</f>
        <v>5.1201287461302897E-2</v>
      </c>
      <c r="F588" s="183">
        <f t="shared" si="39"/>
        <v>1.9767835634081041</v>
      </c>
      <c r="G588" s="183">
        <f t="shared" si="40"/>
        <v>2.3856303289763625</v>
      </c>
      <c r="H588" s="75">
        <f t="shared" si="41"/>
        <v>2.3856303289763625</v>
      </c>
      <c r="J588"/>
      <c r="K588"/>
      <c r="L588"/>
      <c r="M588"/>
      <c r="N588"/>
      <c r="O588"/>
      <c r="P588"/>
    </row>
    <row r="589" spans="2:16" x14ac:dyDescent="0.15">
      <c r="B589" s="16">
        <v>43938</v>
      </c>
      <c r="C589" s="29">
        <f t="array" ref="C589">SUMPRODUCT('ファンドデータ(変更不要)'!K589:P589,TRANSPOSE(戦略の決定!$D$13:$D$18))</f>
        <v>3.6624484864023663E-3</v>
      </c>
      <c r="D589" s="29">
        <f t="array" ref="D589">SUMPRODUCT('ファンドデータ(変更不要)'!K589:P589,TRANSPOSE(戦略の決定!$E$13:$E$18))</f>
        <v>5.2774304856248004E-3</v>
      </c>
      <c r="E589" s="29">
        <f t="array" ref="E589">SUMPRODUCT('ファンドデータ(変更不要)'!K589:P589,TRANSPOSE(戦略の決定!$F$13:$F$18))</f>
        <v>5.2774304856248004E-3</v>
      </c>
      <c r="F589" s="183">
        <f t="shared" si="39"/>
        <v>1.9840234313778531</v>
      </c>
      <c r="G589" s="183">
        <f t="shared" si="40"/>
        <v>2.3982203272019338</v>
      </c>
      <c r="H589" s="75">
        <f t="shared" si="41"/>
        <v>2.3982203272019338</v>
      </c>
      <c r="J589"/>
      <c r="K589"/>
      <c r="L589"/>
      <c r="M589"/>
      <c r="N589"/>
      <c r="O589"/>
      <c r="P589"/>
    </row>
    <row r="590" spans="2:16" x14ac:dyDescent="0.15">
      <c r="B590" s="16">
        <v>43945</v>
      </c>
      <c r="C590" s="29">
        <f t="array" ref="C590">SUMPRODUCT('ファンドデータ(変更不要)'!K590:P590,TRANSPOSE(戦略の決定!$D$13:$D$18))</f>
        <v>-7.4584598872667503E-3</v>
      </c>
      <c r="D590" s="29">
        <f t="array" ref="D590">SUMPRODUCT('ファンドデータ(変更不要)'!K590:P590,TRANSPOSE(戦略の決定!$E$13:$E$18))</f>
        <v>-8.1177104750692654E-3</v>
      </c>
      <c r="E590" s="29">
        <f t="array" ref="E590">SUMPRODUCT('ファンドデータ(変更不要)'!K590:P590,TRANSPOSE(戦略の決定!$F$13:$F$18))</f>
        <v>-8.1177104750692654E-3</v>
      </c>
      <c r="F590" s="183">
        <f t="shared" si="39"/>
        <v>1.969225672199524</v>
      </c>
      <c r="G590" s="183">
        <f t="shared" si="40"/>
        <v>2.3787522689302825</v>
      </c>
      <c r="H590" s="75">
        <f t="shared" si="41"/>
        <v>2.3787522689302825</v>
      </c>
      <c r="J590"/>
      <c r="K590"/>
      <c r="L590"/>
      <c r="M590"/>
      <c r="N590"/>
      <c r="O590"/>
      <c r="P590"/>
    </row>
    <row r="591" spans="2:16" x14ac:dyDescent="0.15">
      <c r="B591" s="16">
        <v>43952</v>
      </c>
      <c r="C591" s="29">
        <f t="array" ref="C591">SUMPRODUCT('ファンドデータ(変更不要)'!K591:P591,TRANSPOSE(戦略の決定!$D$13:$D$18))</f>
        <v>9.606302414402584E-3</v>
      </c>
      <c r="D591" s="29">
        <f t="array" ref="D591">SUMPRODUCT('ファンドデータ(変更不要)'!K591:P591,TRANSPOSE(戦略の決定!$E$13:$E$18))</f>
        <v>1.337854255711954E-2</v>
      </c>
      <c r="E591" s="29">
        <f t="array" ref="E591">SUMPRODUCT('ファンドデータ(変更不要)'!K591:P591,TRANSPOSE(戦略の決定!$F$13:$F$18))</f>
        <v>1.337854255711954E-2</v>
      </c>
      <c r="F591" s="183">
        <f t="shared" si="39"/>
        <v>1.9881426495288781</v>
      </c>
      <c r="G591" s="183">
        <f t="shared" si="40"/>
        <v>2.410576507393011</v>
      </c>
      <c r="H591" s="75">
        <f t="shared" si="41"/>
        <v>2.410576507393011</v>
      </c>
      <c r="J591"/>
      <c r="K591"/>
      <c r="L591"/>
      <c r="M591"/>
      <c r="N591"/>
      <c r="O591"/>
      <c r="P591"/>
    </row>
    <row r="592" spans="2:16" x14ac:dyDescent="0.15">
      <c r="B592" s="16">
        <v>43959</v>
      </c>
      <c r="C592" s="29">
        <f t="array" ref="C592">SUMPRODUCT('ファンドデータ(変更不要)'!K592:P592,TRANSPOSE(戦略の決定!$D$13:$D$18))</f>
        <v>9.6428467886894801E-3</v>
      </c>
      <c r="D592" s="29">
        <f t="array" ref="D592">SUMPRODUCT('ファンドデータ(変更不要)'!K592:P592,TRANSPOSE(戦略の決定!$E$13:$E$18))</f>
        <v>1.7922064385731452E-2</v>
      </c>
      <c r="E592" s="29">
        <f t="array" ref="E592">SUMPRODUCT('ファンドデータ(変更不要)'!K592:P592,TRANSPOSE(戦略の決定!$F$13:$F$18))</f>
        <v>1.7922064385731452E-2</v>
      </c>
      <c r="F592" s="183">
        <f t="shared" si="39"/>
        <v>2.0073140044923443</v>
      </c>
      <c r="G592" s="183">
        <f t="shared" si="40"/>
        <v>2.4537790147652401</v>
      </c>
      <c r="H592" s="75">
        <f t="shared" si="41"/>
        <v>2.4537790147652401</v>
      </c>
      <c r="J592"/>
      <c r="K592"/>
      <c r="L592"/>
      <c r="M592"/>
      <c r="N592"/>
      <c r="O592"/>
      <c r="P592"/>
    </row>
    <row r="593" spans="2:16" x14ac:dyDescent="0.15">
      <c r="B593" s="16">
        <v>43966</v>
      </c>
      <c r="C593" s="29">
        <f t="array" ref="C593">SUMPRODUCT('ファンドデータ(変更不要)'!K593:P593,TRANSPOSE(戦略の決定!$D$13:$D$18))</f>
        <v>-1.3249304164078154E-2</v>
      </c>
      <c r="D593" s="29">
        <f t="array" ref="D593">SUMPRODUCT('ファンドデータ(変更不要)'!K593:P593,TRANSPOSE(戦略の決定!$E$13:$E$18))</f>
        <v>-2.5590890289987463E-2</v>
      </c>
      <c r="E593" s="29">
        <f t="array" ref="E593">SUMPRODUCT('ファンドデータ(変更不要)'!K593:P593,TRANSPOSE(戦略の決定!$F$13:$F$18))</f>
        <v>-2.5590890289987463E-2</v>
      </c>
      <c r="F593" s="183">
        <f t="shared" si="39"/>
        <v>1.9807184906940116</v>
      </c>
      <c r="G593" s="183">
        <f t="shared" si="40"/>
        <v>2.3909846252025093</v>
      </c>
      <c r="H593" s="75">
        <f t="shared" si="41"/>
        <v>2.3909846252025093</v>
      </c>
      <c r="J593"/>
      <c r="K593"/>
      <c r="L593"/>
      <c r="M593"/>
      <c r="N593"/>
      <c r="O593"/>
      <c r="P593"/>
    </row>
    <row r="594" spans="2:16" x14ac:dyDescent="0.15">
      <c r="B594" s="16">
        <v>43973</v>
      </c>
      <c r="C594" s="29">
        <f t="array" ref="C594">SUMPRODUCT('ファンドデータ(変更不要)'!K594:P594,TRANSPOSE(戦略の決定!$D$13:$D$18))</f>
        <v>1.7819738984344684E-2</v>
      </c>
      <c r="D594" s="29">
        <f t="array" ref="D594">SUMPRODUCT('ファンドデータ(変更不要)'!K594:P594,TRANSPOSE(戦略の決定!$E$13:$E$18))</f>
        <v>2.7993416913593222E-2</v>
      </c>
      <c r="E594" s="29">
        <f t="array" ref="E594">SUMPRODUCT('ファンドデータ(変更不要)'!K594:P594,TRANSPOSE(戦略の決定!$F$13:$F$18))</f>
        <v>2.7993416913593222E-2</v>
      </c>
      <c r="F594" s="183">
        <f t="shared" si="39"/>
        <v>2.0160143771996442</v>
      </c>
      <c r="G594" s="183">
        <f t="shared" si="40"/>
        <v>2.4579164546497942</v>
      </c>
      <c r="H594" s="75">
        <f t="shared" si="41"/>
        <v>2.4579164546497942</v>
      </c>
      <c r="J594"/>
      <c r="K594"/>
      <c r="L594"/>
      <c r="M594"/>
      <c r="N594"/>
      <c r="O594"/>
      <c r="P594"/>
    </row>
    <row r="595" spans="2:16" x14ac:dyDescent="0.15">
      <c r="B595" s="16">
        <v>43980</v>
      </c>
      <c r="C595" s="29">
        <f t="array" ref="C595">SUMPRODUCT('ファンドデータ(変更不要)'!K595:P595,TRANSPOSE(戦略の決定!$D$13:$D$18))</f>
        <v>2.1519002672935206E-2</v>
      </c>
      <c r="D595" s="29">
        <f t="array" ref="D595">SUMPRODUCT('ファンドデータ(変更不要)'!K595:P595,TRANSPOSE(戦略の決定!$E$13:$E$18))</f>
        <v>2.8878365525497978E-2</v>
      </c>
      <c r="E595" s="29">
        <f t="array" ref="E595">SUMPRODUCT('ファンドデータ(変更不要)'!K595:P595,TRANSPOSE(戦略の決定!$F$13:$F$18))</f>
        <v>2.8878365525497978E-2</v>
      </c>
      <c r="F595" s="183">
        <f t="shared" si="39"/>
        <v>2.0593969959712792</v>
      </c>
      <c r="G595" s="183">
        <f t="shared" si="40"/>
        <v>2.5288970644583073</v>
      </c>
      <c r="H595" s="75">
        <f t="shared" si="41"/>
        <v>2.5288970644583073</v>
      </c>
      <c r="J595"/>
      <c r="K595"/>
      <c r="L595"/>
      <c r="M595"/>
      <c r="N595"/>
      <c r="O595"/>
      <c r="P595"/>
    </row>
    <row r="596" spans="2:16" x14ac:dyDescent="0.15">
      <c r="B596" s="16">
        <v>43987</v>
      </c>
      <c r="C596" s="29">
        <f t="array" ref="C596">SUMPRODUCT('ファンドデータ(変更不要)'!K596:P596,TRANSPOSE(戦略の決定!$D$13:$D$18))</f>
        <v>1.5095896780781753E-2</v>
      </c>
      <c r="D596" s="29">
        <f t="array" ref="D596">SUMPRODUCT('ファンドデータ(変更不要)'!K596:P596,TRANSPOSE(戦略の決定!$E$13:$E$18))</f>
        <v>1.7722087502851938E-2</v>
      </c>
      <c r="E596" s="29">
        <f t="array" ref="E596">SUMPRODUCT('ファンドデータ(変更不要)'!K596:P596,TRANSPOSE(戦略の決定!$F$13:$F$18))</f>
        <v>1.7722087502851938E-2</v>
      </c>
      <c r="F596" s="183">
        <f t="shared" si="39"/>
        <v>2.0904854404531137</v>
      </c>
      <c r="G596" s="183">
        <f t="shared" si="40"/>
        <v>2.5737143995203429</v>
      </c>
      <c r="H596" s="75">
        <f t="shared" si="41"/>
        <v>2.5737143995203429</v>
      </c>
      <c r="J596"/>
      <c r="K596"/>
      <c r="L596"/>
      <c r="M596"/>
      <c r="N596"/>
      <c r="O596"/>
      <c r="P596"/>
    </row>
    <row r="597" spans="2:16" x14ac:dyDescent="0.15">
      <c r="B597" s="16">
        <v>43994</v>
      </c>
      <c r="C597" s="29">
        <f t="array" ref="C597">SUMPRODUCT('ファンドデータ(変更不要)'!K597:P597,TRANSPOSE(戦略の決定!$D$13:$D$18))</f>
        <v>-1.0837422245691394E-2</v>
      </c>
      <c r="D597" s="29">
        <f t="array" ref="D597">SUMPRODUCT('ファンドデータ(変更不要)'!K597:P597,TRANSPOSE(戦略の決定!$E$13:$E$18))</f>
        <v>-1.3911836818627602E-2</v>
      </c>
      <c r="E597" s="29">
        <f t="array" ref="E597">SUMPRODUCT('ファンドデータ(変更不要)'!K597:P597,TRANSPOSE(戦略の決定!$F$13:$F$18))</f>
        <v>-1.3911836818627602E-2</v>
      </c>
      <c r="F597" s="183">
        <f t="shared" si="39"/>
        <v>2.0678299670364533</v>
      </c>
      <c r="G597" s="183">
        <f t="shared" si="40"/>
        <v>2.5379093047764636</v>
      </c>
      <c r="H597" s="75">
        <f t="shared" si="41"/>
        <v>2.5379093047764636</v>
      </c>
      <c r="J597"/>
      <c r="K597"/>
      <c r="L597"/>
      <c r="M597"/>
      <c r="N597"/>
      <c r="O597"/>
      <c r="P597"/>
    </row>
    <row r="598" spans="2:16" x14ac:dyDescent="0.15">
      <c r="B598" s="16">
        <v>44001</v>
      </c>
      <c r="C598" s="29">
        <f t="array" ref="C598">SUMPRODUCT('ファンドデータ(変更不要)'!K598:P598,TRANSPOSE(戦略の決定!$D$13:$D$18))</f>
        <v>-1.6873550589828028E-3</v>
      </c>
      <c r="D598" s="29">
        <f t="array" ref="D598">SUMPRODUCT('ファンドデータ(変更不要)'!K598:P598,TRANSPOSE(戦略の決定!$E$13:$E$18))</f>
        <v>-2.431657460541544E-3</v>
      </c>
      <c r="E598" s="29">
        <f t="array" ref="E598">SUMPRODUCT('ファンドデータ(変更不要)'!K598:P598,TRANSPOSE(戦略の決定!$F$13:$F$18))</f>
        <v>-2.431657460541544E-3</v>
      </c>
      <c r="F598" s="183">
        <f t="shared" si="39"/>
        <v>2.0643408036804582</v>
      </c>
      <c r="G598" s="183">
        <f t="shared" si="40"/>
        <v>2.5317379786813263</v>
      </c>
      <c r="H598" s="75">
        <f t="shared" si="41"/>
        <v>2.5317379786813263</v>
      </c>
      <c r="J598"/>
      <c r="K598"/>
      <c r="L598"/>
      <c r="M598"/>
      <c r="N598"/>
      <c r="O598"/>
      <c r="P598"/>
    </row>
    <row r="599" spans="2:16" x14ac:dyDescent="0.15">
      <c r="B599" s="16">
        <v>44008</v>
      </c>
      <c r="C599" s="29">
        <f t="array" ref="C599">SUMPRODUCT('ファンドデータ(変更不要)'!K599:P599,TRANSPOSE(戦略の決定!$D$13:$D$18))</f>
        <v>4.8491870260978084E-3</v>
      </c>
      <c r="D599" s="29">
        <f t="array" ref="D599">SUMPRODUCT('ファンドデータ(変更不要)'!K599:P599,TRANSPOSE(戦略の決定!$E$13:$E$18))</f>
        <v>6.8322893946472195E-3</v>
      </c>
      <c r="E599" s="29">
        <f t="array" ref="E599">SUMPRODUCT('ファンドデータ(変更不要)'!K599:P599,TRANSPOSE(戦略の決定!$F$13:$F$18))</f>
        <v>6.8322893946472195E-3</v>
      </c>
      <c r="F599" s="183">
        <f t="shared" si="39"/>
        <v>2.0743511783231097</v>
      </c>
      <c r="G599" s="183">
        <f t="shared" si="40"/>
        <v>2.5490355452230964</v>
      </c>
      <c r="H599" s="75">
        <f t="shared" si="41"/>
        <v>2.5490355452230964</v>
      </c>
      <c r="J599"/>
      <c r="K599"/>
      <c r="L599"/>
      <c r="M599"/>
      <c r="N599"/>
      <c r="O599"/>
      <c r="P599"/>
    </row>
    <row r="600" spans="2:16" x14ac:dyDescent="0.15">
      <c r="B600" s="16">
        <v>44015</v>
      </c>
      <c r="C600" s="29">
        <f t="array" ref="C600">SUMPRODUCT('ファンドデータ(変更不要)'!K600:P600,TRANSPOSE(戦略の決定!$D$13:$D$18))</f>
        <v>1.0543366810671908E-4</v>
      </c>
      <c r="D600" s="29">
        <f t="array" ref="D600">SUMPRODUCT('ファンドデータ(変更不要)'!K600:P600,TRANSPOSE(戦略の決定!$E$13:$E$18))</f>
        <v>1.5717769453019242E-3</v>
      </c>
      <c r="E600" s="29">
        <f t="array" ref="E600">SUMPRODUCT('ファンドデータ(変更不要)'!K600:P600,TRANSPOSE(戦略の決定!$F$13:$F$18))</f>
        <v>1.5717769453019242E-3</v>
      </c>
      <c r="F600" s="183">
        <f t="shared" si="39"/>
        <v>2.0745698847767819</v>
      </c>
      <c r="G600" s="183">
        <f t="shared" si="40"/>
        <v>2.5530420605258328</v>
      </c>
      <c r="H600" s="75">
        <f t="shared" si="41"/>
        <v>2.5530420605258328</v>
      </c>
      <c r="J600"/>
      <c r="K600"/>
      <c r="L600"/>
      <c r="M600"/>
      <c r="N600"/>
      <c r="O600"/>
      <c r="P600"/>
    </row>
    <row r="601" spans="2:16" x14ac:dyDescent="0.15">
      <c r="B601" s="16">
        <v>44022</v>
      </c>
      <c r="C601" s="29">
        <f t="array" ref="C601">SUMPRODUCT('ファンドデータ(変更不要)'!K601:P601,TRANSPOSE(戦略の決定!$D$13:$D$18))</f>
        <v>-2.4819635436332558E-3</v>
      </c>
      <c r="D601" s="29">
        <f t="array" ref="D601">SUMPRODUCT('ファンドデータ(変更不要)'!K601:P601,TRANSPOSE(戦略の決定!$E$13:$E$18))</f>
        <v>-5.8786006260623733E-3</v>
      </c>
      <c r="E601" s="29">
        <f t="array" ref="E601">SUMPRODUCT('ファンドデータ(変更不要)'!K601:P601,TRANSPOSE(戦略の決定!$F$13:$F$18))</f>
        <v>-5.8786006260623733E-3</v>
      </c>
      <c r="F601" s="183">
        <f t="shared" si="39"/>
        <v>2.0694208779540464</v>
      </c>
      <c r="G601" s="183">
        <f t="shared" si="40"/>
        <v>2.5380337458704623</v>
      </c>
      <c r="H601" s="75">
        <f t="shared" si="41"/>
        <v>2.5380337458704623</v>
      </c>
      <c r="J601"/>
      <c r="K601"/>
      <c r="L601"/>
      <c r="M601"/>
      <c r="N601"/>
      <c r="O601"/>
      <c r="P601"/>
    </row>
    <row r="602" spans="2:16" x14ac:dyDescent="0.15">
      <c r="B602" s="16">
        <v>44029</v>
      </c>
      <c r="C602" s="29">
        <f t="array" ref="C602">SUMPRODUCT('ファンドデータ(変更不要)'!K602:P602,TRANSPOSE(戦略の決定!$D$13:$D$18))</f>
        <v>4.5353376757444651E-3</v>
      </c>
      <c r="D602" s="29">
        <f t="array" ref="D602">SUMPRODUCT('ファンドデータ(変更不要)'!K602:P602,TRANSPOSE(戦略の決定!$E$13:$E$18))</f>
        <v>4.6860135597591194E-3</v>
      </c>
      <c r="E602" s="29">
        <f t="array" ref="E602">SUMPRODUCT('ファンドデータ(変更不要)'!K602:P602,TRANSPOSE(戦略の決定!$F$13:$F$18))</f>
        <v>4.6860135597591194E-3</v>
      </c>
      <c r="F602" s="183">
        <f t="shared" si="39"/>
        <v>2.0788064004288036</v>
      </c>
      <c r="G602" s="183">
        <f t="shared" si="40"/>
        <v>2.5499270064187374</v>
      </c>
      <c r="H602" s="75">
        <f t="shared" si="41"/>
        <v>2.5499270064187374</v>
      </c>
      <c r="J602"/>
      <c r="K602"/>
      <c r="L602"/>
      <c r="M602"/>
      <c r="N602"/>
      <c r="O602"/>
      <c r="P602"/>
    </row>
    <row r="603" spans="2:16" x14ac:dyDescent="0.15">
      <c r="B603" s="16">
        <v>44036</v>
      </c>
      <c r="C603" s="29">
        <f t="array" ref="C603">SUMPRODUCT('ファンドデータ(変更不要)'!K603:P603,TRANSPOSE(戦略の決定!$D$13:$D$18))</f>
        <v>3.7894642888353187E-3</v>
      </c>
      <c r="D603" s="29">
        <f t="array" ref="D603">SUMPRODUCT('ファンドデータ(変更不要)'!K603:P603,TRANSPOSE(戦略の決定!$E$13:$E$18))</f>
        <v>5.6017808372229565E-3</v>
      </c>
      <c r="E603" s="29">
        <f t="array" ref="E603">SUMPRODUCT('ファンドデータ(変更不要)'!K603:P603,TRANSPOSE(戦略の決定!$F$13:$F$18))</f>
        <v>5.6017808372229565E-3</v>
      </c>
      <c r="F603" s="183">
        <f t="shared" si="39"/>
        <v>2.0866839630466312</v>
      </c>
      <c r="G603" s="183">
        <f t="shared" si="40"/>
        <v>2.5642111386596107</v>
      </c>
      <c r="H603" s="75">
        <f t="shared" si="41"/>
        <v>2.5642111386596107</v>
      </c>
      <c r="J603"/>
      <c r="K603"/>
      <c r="L603"/>
      <c r="M603"/>
      <c r="N603"/>
      <c r="O603"/>
      <c r="P603"/>
    </row>
    <row r="604" spans="2:16" x14ac:dyDescent="0.15">
      <c r="B604" s="16">
        <v>44043</v>
      </c>
      <c r="C604" s="29">
        <f t="array" ref="C604">SUMPRODUCT('ファンドデータ(変更不要)'!K604:P604,TRANSPOSE(戦略の決定!$D$13:$D$18))</f>
        <v>-5.9829120338780774E-3</v>
      </c>
      <c r="D604" s="29">
        <f t="array" ref="D604">SUMPRODUCT('ファンドデータ(変更不要)'!K604:P604,TRANSPOSE(戦略の決定!$E$13:$E$18))</f>
        <v>-4.8201127536459639E-3</v>
      </c>
      <c r="E604" s="29">
        <f t="array" ref="E604">SUMPRODUCT('ファンドデータ(変更不要)'!K604:P604,TRANSPOSE(戦略の決定!$F$13:$F$18))</f>
        <v>-4.8201127536459639E-3</v>
      </c>
      <c r="F604" s="183">
        <f t="shared" si="39"/>
        <v>2.074199516453219</v>
      </c>
      <c r="G604" s="183">
        <f t="shared" si="40"/>
        <v>2.5518513518471164</v>
      </c>
      <c r="H604" s="75">
        <f t="shared" si="41"/>
        <v>2.5518513518471164</v>
      </c>
      <c r="J604"/>
      <c r="K604"/>
      <c r="L604"/>
      <c r="M604"/>
      <c r="N604"/>
      <c r="O604"/>
      <c r="P604"/>
    </row>
    <row r="605" spans="2:16" x14ac:dyDescent="0.15">
      <c r="B605" s="16">
        <v>44050</v>
      </c>
      <c r="C605" s="29">
        <f t="array" ref="C605">SUMPRODUCT('ファンドデータ(変更不要)'!K605:P605,TRANSPOSE(戦略の決定!$D$13:$D$18))</f>
        <v>8.9745856867288424E-3</v>
      </c>
      <c r="D605" s="29">
        <f t="array" ref="D605">SUMPRODUCT('ファンドデータ(変更不要)'!K605:P605,TRANSPOSE(戦略の決定!$E$13:$E$18))</f>
        <v>1.0245959962678439E-2</v>
      </c>
      <c r="E605" s="29">
        <f t="array" ref="E605">SUMPRODUCT('ファンドデータ(変更不要)'!K605:P605,TRANSPOSE(戦略の決定!$F$13:$F$18))</f>
        <v>1.0245959962678439E-2</v>
      </c>
      <c r="F605" s="183">
        <f t="shared" si="39"/>
        <v>2.0928145977449999</v>
      </c>
      <c r="G605" s="183">
        <f t="shared" si="40"/>
        <v>2.5779975186288491</v>
      </c>
      <c r="H605" s="75">
        <f t="shared" si="41"/>
        <v>2.5779975186288491</v>
      </c>
      <c r="J605"/>
      <c r="K605"/>
      <c r="L605"/>
      <c r="M605"/>
      <c r="N605"/>
      <c r="O605"/>
      <c r="P605"/>
    </row>
    <row r="606" spans="2:16" x14ac:dyDescent="0.15">
      <c r="B606" s="16">
        <v>44057</v>
      </c>
      <c r="C606" s="29">
        <f t="array" ref="C606">SUMPRODUCT('ファンドデータ(変更不要)'!K606:P606,TRANSPOSE(戦略の決定!$D$13:$D$18))</f>
        <v>5.86785227316275E-3</v>
      </c>
      <c r="D606" s="29">
        <f t="array" ref="D606">SUMPRODUCT('ファンドデータ(変更不要)'!K606:P606,TRANSPOSE(戦略の決定!$E$13:$E$18))</f>
        <v>6.586687895542954E-3</v>
      </c>
      <c r="E606" s="29">
        <f t="array" ref="E606">SUMPRODUCT('ファンドデータ(変更不要)'!K606:P606,TRANSPOSE(戦略の決定!$F$13:$F$18))</f>
        <v>6.586687895542954E-3</v>
      </c>
      <c r="F606" s="183">
        <f t="shared" si="39"/>
        <v>2.1050949246396859</v>
      </c>
      <c r="G606" s="183">
        <f t="shared" si="40"/>
        <v>2.5949779836795415</v>
      </c>
      <c r="H606" s="75">
        <f t="shared" si="41"/>
        <v>2.5949779836795415</v>
      </c>
      <c r="J606"/>
      <c r="K606"/>
      <c r="L606"/>
      <c r="M606"/>
      <c r="N606"/>
      <c r="O606"/>
      <c r="P606"/>
    </row>
    <row r="607" spans="2:16" x14ac:dyDescent="0.15">
      <c r="B607" s="16">
        <v>44064</v>
      </c>
      <c r="C607" s="29">
        <f t="array" ref="C607">SUMPRODUCT('ファンドデータ(変更不要)'!K607:P607,TRANSPOSE(戦略の決定!$D$13:$D$18))</f>
        <v>3.9828453840036384E-3</v>
      </c>
      <c r="D607" s="29">
        <f t="array" ref="D607">SUMPRODUCT('ファンドデータ(変更不要)'!K607:P607,TRANSPOSE(戦略の決定!$E$13:$E$18))</f>
        <v>1.0497137882729896E-2</v>
      </c>
      <c r="E607" s="29">
        <f t="array" ref="E607">SUMPRODUCT('ファンドデータ(変更不要)'!K607:P607,TRANSPOSE(戦略の決定!$F$13:$F$18))</f>
        <v>1.0497137882729896E-2</v>
      </c>
      <c r="F607" s="183">
        <f t="shared" si="39"/>
        <v>2.1134791922431764</v>
      </c>
      <c r="G607" s="183">
        <f t="shared" si="40"/>
        <v>2.622217825376874</v>
      </c>
      <c r="H607" s="75">
        <f t="shared" si="41"/>
        <v>2.622217825376874</v>
      </c>
      <c r="J607"/>
      <c r="K607"/>
      <c r="L607"/>
      <c r="M607"/>
      <c r="N607"/>
      <c r="O607"/>
      <c r="P607"/>
    </row>
    <row r="608" spans="2:16" x14ac:dyDescent="0.15">
      <c r="B608" s="16">
        <v>44071</v>
      </c>
      <c r="C608" s="29">
        <f t="array" ref="C608">SUMPRODUCT('ファンドデータ(変更不要)'!K608:P608,TRANSPOSE(戦略の決定!$D$13:$D$18))</f>
        <v>3.4395329902135764E-3</v>
      </c>
      <c r="D608" s="29">
        <f t="array" ref="D608">SUMPRODUCT('ファンドデータ(変更不要)'!K608:P608,TRANSPOSE(戦略の決定!$E$13:$E$18))</f>
        <v>8.4079244871488028E-3</v>
      </c>
      <c r="E608" s="29">
        <f t="array" ref="E608">SUMPRODUCT('ファンドデータ(変更不要)'!K608:P608,TRANSPOSE(戦略の決定!$F$13:$F$18))</f>
        <v>8.4079244871488028E-3</v>
      </c>
      <c r="F608" s="183">
        <f t="shared" si="39"/>
        <v>2.1207485736490264</v>
      </c>
      <c r="G608" s="183">
        <f t="shared" si="40"/>
        <v>2.6442652348414986</v>
      </c>
      <c r="H608" s="75">
        <f t="shared" si="41"/>
        <v>2.6442652348414986</v>
      </c>
      <c r="J608"/>
      <c r="K608"/>
      <c r="L608"/>
      <c r="M608"/>
      <c r="N608"/>
      <c r="O608"/>
      <c r="P608"/>
    </row>
    <row r="609" spans="2:16" x14ac:dyDescent="0.15">
      <c r="B609" s="16">
        <v>44078</v>
      </c>
      <c r="C609" s="29">
        <f t="array" ref="C609">SUMPRODUCT('ファンドデータ(変更不要)'!K609:P609,TRANSPOSE(戦略の決定!$D$13:$D$18))</f>
        <v>2.5191295394956866E-3</v>
      </c>
      <c r="D609" s="29">
        <f t="array" ref="D609">SUMPRODUCT('ファンドデータ(変更不要)'!K609:P609,TRANSPOSE(戦略の決定!$E$13:$E$18))</f>
        <v>-3.4252573088561591E-4</v>
      </c>
      <c r="E609" s="29">
        <f t="array" ref="E609">SUMPRODUCT('ファンドデータ(変更不要)'!K609:P609,TRANSPOSE(戦略の決定!$F$13:$F$18))</f>
        <v>-3.4252573088561591E-4</v>
      </c>
      <c r="F609" s="183">
        <f t="shared" si="39"/>
        <v>2.1260910140267493</v>
      </c>
      <c r="G609" s="183">
        <f t="shared" si="40"/>
        <v>2.6433595059592787</v>
      </c>
      <c r="H609" s="75">
        <f t="shared" si="41"/>
        <v>2.6433595059592787</v>
      </c>
      <c r="J609"/>
      <c r="K609"/>
      <c r="L609"/>
      <c r="M609"/>
      <c r="N609"/>
      <c r="O609"/>
      <c r="P609"/>
    </row>
    <row r="610" spans="2:16" x14ac:dyDescent="0.15">
      <c r="B610" s="16">
        <v>44085</v>
      </c>
      <c r="C610" s="29">
        <f t="array" ref="C610">SUMPRODUCT('ファンドデータ(変更不要)'!K610:P610,TRANSPOSE(戦略の決定!$D$13:$D$18))</f>
        <v>-8.82275925856363E-3</v>
      </c>
      <c r="D610" s="29">
        <f t="array" ref="D610">SUMPRODUCT('ファンドデータ(変更不要)'!K610:P610,TRANSPOSE(戦略の決定!$E$13:$E$18))</f>
        <v>-1.6946135586512347E-2</v>
      </c>
      <c r="E610" s="29">
        <f t="array" ref="E610">SUMPRODUCT('ファンドデータ(変更不要)'!K610:P610,TRANSPOSE(戦略の決定!$F$13:$F$18))</f>
        <v>-1.6946135586512347E-2</v>
      </c>
      <c r="F610" s="183">
        <f t="shared" si="39"/>
        <v>2.1073330248481956</v>
      </c>
      <c r="G610" s="183">
        <f t="shared" si="40"/>
        <v>2.5985647773673963</v>
      </c>
      <c r="H610" s="75">
        <f t="shared" si="41"/>
        <v>2.5985647773673963</v>
      </c>
      <c r="J610"/>
      <c r="K610"/>
      <c r="L610"/>
      <c r="M610"/>
      <c r="N610"/>
      <c r="O610"/>
      <c r="P610"/>
    </row>
    <row r="611" spans="2:16" x14ac:dyDescent="0.15">
      <c r="B611" s="16">
        <v>44092</v>
      </c>
      <c r="C611" s="29">
        <f t="array" ref="C611">SUMPRODUCT('ファンドデータ(変更不要)'!K611:P611,TRANSPOSE(戦略の決定!$D$13:$D$18))</f>
        <v>-2.3253340285879823E-3</v>
      </c>
      <c r="D611" s="29">
        <f t="array" ref="D611">SUMPRODUCT('ファンドデータ(変更不要)'!K611:P611,TRANSPOSE(戦略の決定!$E$13:$E$18))</f>
        <v>-2.4741200481727182E-3</v>
      </c>
      <c r="E611" s="29">
        <f t="array" ref="E611">SUMPRODUCT('ファンドデータ(変更不要)'!K611:P611,TRANSPOSE(戦略の決定!$F$13:$F$18))</f>
        <v>-2.4741200481727182E-3</v>
      </c>
      <c r="F611" s="183">
        <f t="shared" si="39"/>
        <v>2.1024327716559488</v>
      </c>
      <c r="G611" s="183">
        <f t="shared" si="40"/>
        <v>2.592135616155236</v>
      </c>
      <c r="H611" s="75">
        <f t="shared" si="41"/>
        <v>2.592135616155236</v>
      </c>
      <c r="J611"/>
      <c r="K611"/>
      <c r="L611"/>
      <c r="M611"/>
      <c r="N611"/>
      <c r="O611"/>
      <c r="P611"/>
    </row>
    <row r="612" spans="2:16" x14ac:dyDescent="0.15">
      <c r="B612" s="16">
        <v>44099</v>
      </c>
      <c r="C612" s="29">
        <f t="array" ref="C612">SUMPRODUCT('ファンドデータ(変更不要)'!K612:P612,TRANSPOSE(戦略の決定!$D$13:$D$18))</f>
        <v>2.3526551253989282E-3</v>
      </c>
      <c r="D612" s="29">
        <f t="array" ref="D612">SUMPRODUCT('ファンドデータ(変更不要)'!K612:P612,TRANSPOSE(戦略の決定!$E$13:$E$18))</f>
        <v>4.9815231300277861E-3</v>
      </c>
      <c r="E612" s="29">
        <f t="array" ref="E612">SUMPRODUCT('ファンドデータ(変更不要)'!K612:P612,TRANSPOSE(戦略の決定!$F$13:$F$18))</f>
        <v>4.9815231300277861E-3</v>
      </c>
      <c r="F612" s="183">
        <f t="shared" si="39"/>
        <v>2.1073790708919917</v>
      </c>
      <c r="G612" s="183">
        <f t="shared" si="40"/>
        <v>2.6050483996832825</v>
      </c>
      <c r="H612" s="75">
        <f t="shared" si="41"/>
        <v>2.6050483996832825</v>
      </c>
      <c r="J612"/>
      <c r="K612"/>
      <c r="L612"/>
      <c r="M612"/>
      <c r="N612"/>
      <c r="O612"/>
      <c r="P612"/>
    </row>
    <row r="613" spans="2:16" x14ac:dyDescent="0.15">
      <c r="B613" s="16">
        <v>44106</v>
      </c>
      <c r="C613" s="29">
        <f t="array" ref="C613">SUMPRODUCT('ファンドデータ(変更不要)'!K613:P613,TRANSPOSE(戦略の決定!$D$13:$D$18))</f>
        <v>1.5765925393866152E-3</v>
      </c>
      <c r="D613" s="29">
        <f t="array" ref="D613">SUMPRODUCT('ファンドデータ(変更不要)'!K613:P613,TRANSPOSE(戦略の決定!$E$13:$E$18))</f>
        <v>3.6065382268770868E-3</v>
      </c>
      <c r="E613" s="29">
        <f t="array" ref="E613">SUMPRODUCT('ファンドデータ(変更不要)'!K613:P613,TRANSPOSE(戦略の決定!$F$13:$F$18))</f>
        <v>3.6065382268770868E-3</v>
      </c>
      <c r="F613" s="183">
        <f t="shared" si="39"/>
        <v>2.1107015490128198</v>
      </c>
      <c r="G613" s="183">
        <f t="shared" si="40"/>
        <v>2.6144436063196053</v>
      </c>
      <c r="H613" s="75">
        <f t="shared" si="41"/>
        <v>2.6144436063196053</v>
      </c>
      <c r="J613"/>
      <c r="K613"/>
      <c r="L613"/>
      <c r="M613"/>
      <c r="N613"/>
      <c r="O613"/>
      <c r="P613"/>
    </row>
    <row r="614" spans="2:16" x14ac:dyDescent="0.15">
      <c r="B614" s="16">
        <v>44113</v>
      </c>
      <c r="C614" s="29">
        <f t="array" ref="C614">SUMPRODUCT('ファンドデータ(変更不要)'!K614:P614,TRANSPOSE(戦略の決定!$D$13:$D$18))</f>
        <v>6.0336570930830972E-3</v>
      </c>
      <c r="D614" s="29">
        <f t="array" ref="D614">SUMPRODUCT('ファンドデータ(変更不要)'!K614:P614,TRANSPOSE(戦略の決定!$E$13:$E$18))</f>
        <v>7.561249696421319E-3</v>
      </c>
      <c r="E614" s="29">
        <f t="array" ref="E614">SUMPRODUCT('ファンドデータ(変更不要)'!K614:P614,TRANSPOSE(戦略の決定!$F$13:$F$18))</f>
        <v>7.561249696421319E-3</v>
      </c>
      <c r="F614" s="183">
        <f t="shared" si="39"/>
        <v>2.1234367983854021</v>
      </c>
      <c r="G614" s="183">
        <f t="shared" si="40"/>
        <v>2.6342120672441998</v>
      </c>
      <c r="H614" s="75">
        <f t="shared" si="41"/>
        <v>2.6342120672441998</v>
      </c>
      <c r="J614"/>
      <c r="K614"/>
      <c r="L614"/>
      <c r="M614"/>
      <c r="N614"/>
      <c r="O614"/>
      <c r="P614"/>
    </row>
    <row r="615" spans="2:16" x14ac:dyDescent="0.15">
      <c r="B615" s="16">
        <v>44120</v>
      </c>
      <c r="C615" s="29">
        <f t="array" ref="C615">SUMPRODUCT('ファンドデータ(変更不要)'!K615:P615,TRANSPOSE(戦略の決定!$D$13:$D$18))</f>
        <v>-6.7771654551902179E-3</v>
      </c>
      <c r="D615" s="29">
        <f t="array" ref="D615">SUMPRODUCT('ファンドデータ(変更不要)'!K615:P615,TRANSPOSE(戦略の決定!$E$13:$E$18))</f>
        <v>-1.06902603936757E-2</v>
      </c>
      <c r="E615" s="29">
        <f t="array" ref="E615">SUMPRODUCT('ファンドデータ(変更不要)'!K615:P615,TRANSPOSE(戦略の決定!$F$13:$F$18))</f>
        <v>-1.06902603936757E-2</v>
      </c>
      <c r="F615" s="183">
        <f t="shared" si="39"/>
        <v>2.1090459158691046</v>
      </c>
      <c r="G615" s="183">
        <f t="shared" si="40"/>
        <v>2.6060516543131964</v>
      </c>
      <c r="H615" s="75">
        <f t="shared" si="41"/>
        <v>2.6060516543131964</v>
      </c>
      <c r="J615"/>
      <c r="K615"/>
      <c r="L615"/>
      <c r="M615"/>
      <c r="N615"/>
      <c r="O615"/>
      <c r="P615"/>
    </row>
    <row r="616" spans="2:16" x14ac:dyDescent="0.15">
      <c r="B616" s="16">
        <v>44127</v>
      </c>
      <c r="C616" s="29">
        <f t="array" ref="C616">SUMPRODUCT('ファンドデータ(変更不要)'!K616:P616,TRANSPOSE(戦略の決定!$D$13:$D$18))</f>
        <v>-3.9909754557621658E-3</v>
      </c>
      <c r="D616" s="29">
        <f t="array" ref="D616">SUMPRODUCT('ファンドデータ(変更不要)'!K616:P616,TRANSPOSE(戦略の決定!$E$13:$E$18))</f>
        <v>-5.2501361998609072E-3</v>
      </c>
      <c r="E616" s="29">
        <f t="array" ref="E616">SUMPRODUCT('ファンドデータ(変更不要)'!K616:P616,TRANSPOSE(戦略の決定!$F$13:$F$18))</f>
        <v>-5.2501361998609072E-3</v>
      </c>
      <c r="F616" s="183">
        <f t="shared" si="39"/>
        <v>2.1006287653837954</v>
      </c>
      <c r="G616" s="183">
        <f t="shared" si="40"/>
        <v>2.5923695281841792</v>
      </c>
      <c r="H616" s="75">
        <f t="shared" si="41"/>
        <v>2.5923695281841792</v>
      </c>
      <c r="J616"/>
      <c r="K616"/>
      <c r="L616"/>
      <c r="M616"/>
      <c r="N616"/>
      <c r="O616"/>
      <c r="P616"/>
    </row>
    <row r="617" spans="2:16" x14ac:dyDescent="0.15">
      <c r="B617" s="197">
        <v>44134</v>
      </c>
      <c r="C617" s="29">
        <f t="array" ref="C617">SUMPRODUCT('ファンドデータ(変更不要)'!K617:P617,TRANSPOSE(戦略の決定!$D$13:$D$18))</f>
        <v>-1.293871874050225E-2</v>
      </c>
      <c r="D617" s="29">
        <f t="array" ref="D617">SUMPRODUCT('ファンドデータ(変更不要)'!K617:P617,TRANSPOSE(戦略の決定!$E$13:$E$18))</f>
        <v>-2.0615192024647021E-2</v>
      </c>
      <c r="E617" s="29">
        <f t="array" ref="E617">SUMPRODUCT('ファンドデータ(変更不要)'!K617:P617,TRANSPOSE(戦略の決定!$F$13:$F$18))</f>
        <v>-2.0615192024647021E-2</v>
      </c>
      <c r="F617" s="183">
        <f t="shared" ref="F617:F656" si="42">F616*(1+C617)</f>
        <v>2.073449320610286</v>
      </c>
      <c r="G617" s="183">
        <f t="shared" ref="G617:G656" si="43">G616*(1+D617)</f>
        <v>2.5389273325618187</v>
      </c>
      <c r="H617" s="75">
        <f t="shared" ref="H617:H656" si="44">H616*(1+E617)</f>
        <v>2.5389273325618187</v>
      </c>
      <c r="J617"/>
      <c r="K617"/>
      <c r="L617"/>
      <c r="M617"/>
      <c r="N617"/>
      <c r="O617"/>
      <c r="P617"/>
    </row>
    <row r="618" spans="2:16" x14ac:dyDescent="0.15">
      <c r="B618" s="197">
        <v>44141</v>
      </c>
      <c r="C618" s="29">
        <f t="array" ref="C618">SUMPRODUCT('ファンドデータ(変更不要)'!K618:P618,TRANSPOSE(戦略の決定!$D$13:$D$18))</f>
        <v>1.8478566467742527E-2</v>
      </c>
      <c r="D618" s="29">
        <f t="array" ref="D618">SUMPRODUCT('ファンドデータ(変更不要)'!K618:P618,TRANSPOSE(戦略の決定!$E$13:$E$18))</f>
        <v>2.4968235279032636E-2</v>
      </c>
      <c r="E618" s="29">
        <f t="array" ref="E618">SUMPRODUCT('ファンドデータ(変更不要)'!K618:P618,TRANSPOSE(戦略の決定!$F$13:$F$18))</f>
        <v>2.4968235279032636E-2</v>
      </c>
      <c r="F618" s="183">
        <f t="shared" si="42"/>
        <v>2.1117636916986786</v>
      </c>
      <c r="G618" s="183">
        <f t="shared" si="43"/>
        <v>2.6023198675575889</v>
      </c>
      <c r="H618" s="75">
        <f t="shared" si="44"/>
        <v>2.6023198675575889</v>
      </c>
      <c r="J618"/>
      <c r="K618"/>
      <c r="L618"/>
      <c r="M618"/>
      <c r="N618"/>
      <c r="O618"/>
      <c r="P618"/>
    </row>
    <row r="619" spans="2:16" x14ac:dyDescent="0.15">
      <c r="B619" s="197">
        <v>44148</v>
      </c>
      <c r="C619" s="29">
        <f t="array" ref="C619">SUMPRODUCT('ファンドデータ(変更不要)'!K619:P619,TRANSPOSE(戦略の決定!$D$13:$D$18))</f>
        <v>7.8743845364564607E-3</v>
      </c>
      <c r="D619" s="29">
        <f t="array" ref="D619">SUMPRODUCT('ファンドデータ(変更不要)'!K619:P619,TRANSPOSE(戦略の決定!$E$13:$E$18))</f>
        <v>7.1947376809203085E-3</v>
      </c>
      <c r="E619" s="29">
        <f t="array" ref="E619">SUMPRODUCT('ファンドデータ(変更不要)'!K619:P619,TRANSPOSE(戦略の決定!$F$13:$F$18))</f>
        <v>7.1947376809203085E-3</v>
      </c>
      <c r="F619" s="183">
        <f t="shared" si="42"/>
        <v>2.1283925310572407</v>
      </c>
      <c r="G619" s="183">
        <f t="shared" si="43"/>
        <v>2.6210428763665128</v>
      </c>
      <c r="H619" s="75">
        <f t="shared" si="44"/>
        <v>2.6210428763665128</v>
      </c>
      <c r="J619"/>
      <c r="K619"/>
      <c r="L619"/>
      <c r="M619"/>
      <c r="N619"/>
      <c r="O619"/>
      <c r="P619"/>
    </row>
    <row r="620" spans="2:16" x14ac:dyDescent="0.15">
      <c r="B620" s="197">
        <v>44155</v>
      </c>
      <c r="C620" s="29">
        <f t="array" ref="C620">SUMPRODUCT('ファンドデータ(変更不要)'!K620:P620,TRANSPOSE(戦略の決定!$D$13:$D$18))</f>
        <v>-1.8809500829068499E-3</v>
      </c>
      <c r="D620" s="29">
        <f t="array" ref="D620">SUMPRODUCT('ファンドデータ(変更不要)'!K620:P620,TRANSPOSE(戦略の決定!$E$13:$E$18))</f>
        <v>-3.8903157867621798E-3</v>
      </c>
      <c r="E620" s="29">
        <f t="array" ref="E620">SUMPRODUCT('ファンドデータ(変更不要)'!K620:P620,TRANSPOSE(戦略の決定!$F$13:$F$18))</f>
        <v>-3.8903157867621798E-3</v>
      </c>
      <c r="F620" s="183">
        <f t="shared" si="42"/>
        <v>2.1243891309494902</v>
      </c>
      <c r="G620" s="183">
        <f t="shared" si="43"/>
        <v>2.6108461918868038</v>
      </c>
      <c r="H620" s="75">
        <f t="shared" si="44"/>
        <v>2.6108461918868038</v>
      </c>
      <c r="J620"/>
      <c r="K620"/>
      <c r="L620"/>
      <c r="M620"/>
      <c r="N620"/>
      <c r="O620"/>
      <c r="P620"/>
    </row>
    <row r="621" spans="2:16" x14ac:dyDescent="0.15">
      <c r="B621" s="197">
        <v>44162</v>
      </c>
      <c r="C621" s="29">
        <f t="array" ref="C621">SUMPRODUCT('ファンドデータ(変更不要)'!K621:P621,TRANSPOSE(戦略の決定!$D$13:$D$18))</f>
        <v>9.283814108768303E-3</v>
      </c>
      <c r="D621" s="29">
        <f t="array" ref="D621">SUMPRODUCT('ファンドデータ(変更不要)'!K621:P621,TRANSPOSE(戦略の決定!$E$13:$E$18))</f>
        <v>9.8217150940311491E-3</v>
      </c>
      <c r="E621" s="29">
        <f t="array" ref="E621">SUMPRODUCT('ファンドデータ(変更不要)'!K621:P621,TRANSPOSE(戦略の決定!$F$13:$F$18))</f>
        <v>9.8217150940311491E-3</v>
      </c>
      <c r="F621" s="183">
        <f t="shared" si="42"/>
        <v>2.1441115647359132</v>
      </c>
      <c r="G621" s="183">
        <f t="shared" si="43"/>
        <v>2.6364891793378522</v>
      </c>
      <c r="H621" s="75">
        <f t="shared" si="44"/>
        <v>2.6364891793378522</v>
      </c>
      <c r="J621"/>
      <c r="K621"/>
      <c r="L621"/>
      <c r="M621"/>
      <c r="N621"/>
      <c r="O621"/>
      <c r="P621"/>
    </row>
    <row r="622" spans="2:16" x14ac:dyDescent="0.15">
      <c r="B622" s="197">
        <v>44169</v>
      </c>
      <c r="C622" s="29">
        <f t="array" ref="C622">SUMPRODUCT('ファンドデータ(変更不要)'!K622:P622,TRANSPOSE(戦略の決定!$D$13:$D$18))</f>
        <v>2.6634969030042794E-3</v>
      </c>
      <c r="D622" s="29">
        <f t="array" ref="D622">SUMPRODUCT('ファンドデータ(変更不要)'!K622:P622,TRANSPOSE(戦略の決定!$E$13:$E$18))</f>
        <v>3.3492686537153057E-3</v>
      </c>
      <c r="E622" s="29">
        <f t="array" ref="E622">SUMPRODUCT('ファンドデータ(変更不要)'!K622:P622,TRANSPOSE(戦略の決定!$F$13:$F$18))</f>
        <v>3.3492686537153057E-3</v>
      </c>
      <c r="F622" s="183">
        <f t="shared" si="42"/>
        <v>2.1498223992482832</v>
      </c>
      <c r="G622" s="183">
        <f t="shared" si="43"/>
        <v>2.645319489902068</v>
      </c>
      <c r="H622" s="75">
        <f t="shared" si="44"/>
        <v>2.645319489902068</v>
      </c>
      <c r="J622"/>
      <c r="K622"/>
      <c r="L622"/>
      <c r="M622"/>
      <c r="N622"/>
      <c r="O622"/>
      <c r="P622"/>
    </row>
    <row r="623" spans="2:16" x14ac:dyDescent="0.15">
      <c r="B623" s="197">
        <v>44176</v>
      </c>
      <c r="C623" s="29">
        <f t="array" ref="C623">SUMPRODUCT('ファンドデータ(変更不要)'!K623:P623,TRANSPOSE(戦略の決定!$D$13:$D$18))</f>
        <v>3.4183572382006518E-3</v>
      </c>
      <c r="D623" s="29">
        <f t="array" ref="D623">SUMPRODUCT('ファンドデータ(変更不要)'!K623:P623,TRANSPOSE(戦略の決定!$E$13:$E$18))</f>
        <v>4.9895563436777954E-3</v>
      </c>
      <c r="E623" s="29">
        <f t="array" ref="E623">SUMPRODUCT('ファンドデータ(変更不要)'!K623:P623,TRANSPOSE(戦略の決定!$F$13:$F$18))</f>
        <v>4.9895563436777954E-3</v>
      </c>
      <c r="F623" s="183">
        <f t="shared" si="42"/>
        <v>2.1571712602075994</v>
      </c>
      <c r="G623" s="183">
        <f t="shared" si="43"/>
        <v>2.6585184605439633</v>
      </c>
      <c r="H623" s="75">
        <f t="shared" si="44"/>
        <v>2.6585184605439633</v>
      </c>
      <c r="J623"/>
      <c r="K623"/>
      <c r="L623"/>
      <c r="M623"/>
      <c r="N623"/>
      <c r="O623"/>
      <c r="P623"/>
    </row>
    <row r="624" spans="2:16" x14ac:dyDescent="0.15">
      <c r="B624" s="197">
        <v>44183</v>
      </c>
      <c r="C624" s="29">
        <f t="array" ref="C624">SUMPRODUCT('ファンドデータ(変更不要)'!K624:P624,TRANSPOSE(戦略の決定!$D$13:$D$18))</f>
        <v>9.1385537302159038E-4</v>
      </c>
      <c r="D624" s="29">
        <f t="array" ref="D624">SUMPRODUCT('ファンドデータ(変更不要)'!K624:P624,TRANSPOSE(戦略の決定!$E$13:$E$18))</f>
        <v>2.2384825477069683E-3</v>
      </c>
      <c r="E624" s="29">
        <f t="array" ref="E624">SUMPRODUCT('ファンドデータ(変更不要)'!K624:P624,TRANSPOSE(戦略の決定!$F$13:$F$18))</f>
        <v>2.2384825477069683E-3</v>
      </c>
      <c r="F624" s="183">
        <f t="shared" si="42"/>
        <v>2.1591426027542679</v>
      </c>
      <c r="G624" s="183">
        <f t="shared" si="43"/>
        <v>2.6644695077206477</v>
      </c>
      <c r="H624" s="75">
        <f t="shared" si="44"/>
        <v>2.6644695077206477</v>
      </c>
      <c r="J624"/>
      <c r="K624"/>
      <c r="L624"/>
      <c r="M624"/>
      <c r="N624"/>
      <c r="O624"/>
      <c r="P624"/>
    </row>
    <row r="625" spans="2:16" x14ac:dyDescent="0.15">
      <c r="B625" s="197">
        <v>44190</v>
      </c>
      <c r="C625" s="29">
        <f t="array" ref="C625">SUMPRODUCT('ファンドデータ(変更不要)'!K625:P625,TRANSPOSE(戦略の決定!$D$13:$D$18))</f>
        <v>4.8439065657212774E-4</v>
      </c>
      <c r="D625" s="29">
        <f t="array" ref="D625">SUMPRODUCT('ファンドデータ(変更不要)'!K625:P625,TRANSPOSE(戦略の決定!$E$13:$E$18))</f>
        <v>2.5519440591266545E-3</v>
      </c>
      <c r="E625" s="29">
        <f t="array" ref="E625">SUMPRODUCT('ファンドデータ(変更不要)'!K625:P625,TRANSPOSE(戦略の決定!$F$13:$F$18))</f>
        <v>2.5519440591266545E-3</v>
      </c>
      <c r="F625" s="183">
        <f t="shared" si="42"/>
        <v>2.160188471257249</v>
      </c>
      <c r="G625" s="183">
        <f t="shared" si="43"/>
        <v>2.6712690848515996</v>
      </c>
      <c r="H625" s="75">
        <f t="shared" si="44"/>
        <v>2.6712690848515996</v>
      </c>
      <c r="J625"/>
      <c r="K625"/>
      <c r="L625"/>
      <c r="M625"/>
      <c r="N625"/>
      <c r="O625"/>
      <c r="P625"/>
    </row>
    <row r="626" spans="2:16" x14ac:dyDescent="0.15">
      <c r="B626" s="197">
        <v>44197</v>
      </c>
      <c r="C626" s="29">
        <f t="array" ref="C626">SUMPRODUCT('ファンドデータ(変更不要)'!K626:P626,TRANSPOSE(戦略の決定!$D$13:$D$18))</f>
        <v>1.2806209448146E-2</v>
      </c>
      <c r="D626" s="29">
        <f t="array" ref="D626">SUMPRODUCT('ファンドデータ(変更不要)'!K626:P626,TRANSPOSE(戦略の決定!$E$13:$E$18))</f>
        <v>1.7421791368490806E-2</v>
      </c>
      <c r="E626" s="29">
        <f t="array" ref="E626">SUMPRODUCT('ファンドデータ(変更不要)'!K626:P626,TRANSPOSE(戦略の決定!$F$13:$F$18))</f>
        <v>1.7421791368490806E-2</v>
      </c>
      <c r="F626" s="183">
        <f t="shared" si="42"/>
        <v>2.1878522972676397</v>
      </c>
      <c r="G626" s="183">
        <f t="shared" si="43"/>
        <v>2.7178073775369835</v>
      </c>
      <c r="H626" s="75">
        <f t="shared" si="44"/>
        <v>2.7178073775369835</v>
      </c>
      <c r="J626"/>
      <c r="K626"/>
      <c r="L626"/>
      <c r="M626"/>
      <c r="N626"/>
      <c r="O626"/>
      <c r="P626"/>
    </row>
    <row r="627" spans="2:16" x14ac:dyDescent="0.15">
      <c r="B627" s="197">
        <v>44204</v>
      </c>
      <c r="C627" s="29">
        <f t="array" ref="C627">SUMPRODUCT('ファンドデータ(変更不要)'!K627:P627,TRANSPOSE(戦略の決定!$D$13:$D$18))</f>
        <v>3.1093758589194279E-3</v>
      </c>
      <c r="D627" s="29">
        <f t="array" ref="D627">SUMPRODUCT('ファンドデータ(変更不要)'!K627:P627,TRANSPOSE(戦略の決定!$E$13:$E$18))</f>
        <v>3.4333860626288315E-3</v>
      </c>
      <c r="E627" s="29">
        <f t="array" ref="E627">SUMPRODUCT('ファンドデータ(変更不要)'!K627:P627,TRANSPOSE(戦略の決定!$F$13:$F$18))</f>
        <v>3.4333860626288315E-3</v>
      </c>
      <c r="F627" s="183">
        <f t="shared" si="42"/>
        <v>2.1946551523836448</v>
      </c>
      <c r="G627" s="183">
        <f t="shared" si="43"/>
        <v>2.7271386595079288</v>
      </c>
      <c r="H627" s="75">
        <f t="shared" si="44"/>
        <v>2.7271386595079288</v>
      </c>
      <c r="J627"/>
      <c r="K627"/>
      <c r="L627"/>
      <c r="M627"/>
      <c r="N627"/>
      <c r="O627"/>
      <c r="P627"/>
    </row>
    <row r="628" spans="2:16" x14ac:dyDescent="0.15">
      <c r="B628" s="197">
        <v>44211</v>
      </c>
      <c r="C628" s="29">
        <f t="array" ref="C628">SUMPRODUCT('ファンドデータ(変更不要)'!K628:P628,TRANSPOSE(戦略の決定!$D$13:$D$18))</f>
        <v>-3.9714546305823478E-3</v>
      </c>
      <c r="D628" s="29">
        <f t="array" ref="D628">SUMPRODUCT('ファンドデータ(変更不要)'!K628:P628,TRANSPOSE(戦略の決定!$E$13:$E$18))</f>
        <v>-8.3971121003755516E-3</v>
      </c>
      <c r="E628" s="29">
        <f t="array" ref="E628">SUMPRODUCT('ファンドデータ(変更不要)'!K628:P628,TRANSPOSE(戦略の決定!$F$13:$F$18))</f>
        <v>-8.3971121003755516E-3</v>
      </c>
      <c r="F628" s="183">
        <f t="shared" si="42"/>
        <v>2.1859391790161795</v>
      </c>
      <c r="G628" s="183">
        <f t="shared" si="43"/>
        <v>2.704238570470773</v>
      </c>
      <c r="H628" s="75">
        <f t="shared" si="44"/>
        <v>2.704238570470773</v>
      </c>
      <c r="J628"/>
      <c r="K628"/>
      <c r="L628"/>
      <c r="M628"/>
      <c r="N628"/>
      <c r="O628"/>
      <c r="P628"/>
    </row>
    <row r="629" spans="2:16" x14ac:dyDescent="0.15">
      <c r="B629" s="197">
        <v>44218</v>
      </c>
      <c r="C629" s="29">
        <f t="array" ref="C629">SUMPRODUCT('ファンドデータ(変更不要)'!K629:P629,TRANSPOSE(戦略の決定!$D$13:$D$18))</f>
        <v>5.92455820171091E-3</v>
      </c>
      <c r="D629" s="29">
        <f t="array" ref="D629">SUMPRODUCT('ファンドデータ(変更不要)'!K629:P629,TRANSPOSE(戦略の決定!$E$13:$E$18))</f>
        <v>1.2422737058633518E-2</v>
      </c>
      <c r="E629" s="29">
        <f t="array" ref="E629">SUMPRODUCT('ファンドデータ(変更不要)'!K629:P629,TRANSPOSE(戦略の決定!$F$13:$F$18))</f>
        <v>1.2422737058633518E-2</v>
      </c>
      <c r="F629" s="183">
        <f t="shared" si="42"/>
        <v>2.198889902907661</v>
      </c>
      <c r="G629" s="183">
        <f t="shared" si="43"/>
        <v>2.7378326151755465</v>
      </c>
      <c r="H629" s="75">
        <f t="shared" si="44"/>
        <v>2.7378326151755465</v>
      </c>
      <c r="J629"/>
      <c r="K629"/>
      <c r="L629"/>
      <c r="M629"/>
      <c r="N629"/>
      <c r="O629"/>
      <c r="P629"/>
    </row>
    <row r="630" spans="2:16" x14ac:dyDescent="0.15">
      <c r="B630" s="197">
        <v>44225</v>
      </c>
      <c r="C630" s="29">
        <f t="array" ref="C630">SUMPRODUCT('ファンドデータ(変更不要)'!K630:P630,TRANSPOSE(戦略の決定!$D$13:$D$18))</f>
        <v>5.0163749914013157E-3</v>
      </c>
      <c r="D630" s="29">
        <f t="array" ref="D630">SUMPRODUCT('ファンドデータ(変更不要)'!K630:P630,TRANSPOSE(戦略の決定!$E$13:$E$18))</f>
        <v>1.1967355862767301E-2</v>
      </c>
      <c r="E630" s="29">
        <f t="array" ref="E630">SUMPRODUCT('ファンドデータ(変更不要)'!K630:P630,TRANSPOSE(戦略の決定!$F$13:$F$18))</f>
        <v>1.1967355862767301E-2</v>
      </c>
      <c r="F630" s="183">
        <f t="shared" si="42"/>
        <v>2.2099203592254519</v>
      </c>
      <c r="G630" s="183">
        <f t="shared" si="43"/>
        <v>2.7705972323740431</v>
      </c>
      <c r="H630" s="75">
        <f t="shared" si="44"/>
        <v>2.7705972323740431</v>
      </c>
      <c r="J630"/>
      <c r="K630"/>
      <c r="L630"/>
      <c r="M630"/>
      <c r="N630"/>
      <c r="O630"/>
      <c r="P630"/>
    </row>
    <row r="631" spans="2:16" x14ac:dyDescent="0.15">
      <c r="B631" s="197">
        <v>44232</v>
      </c>
      <c r="C631" s="29">
        <f t="array" ref="C631">SUMPRODUCT('ファンドデータ(変更不要)'!K631:P631,TRANSPOSE(戦略の決定!$D$13:$D$18))</f>
        <v>5.9418972017026318E-3</v>
      </c>
      <c r="D631" s="29">
        <f t="array" ref="D631">SUMPRODUCT('ファンドデータ(変更不要)'!K631:P631,TRANSPOSE(戦略の決定!$E$13:$E$18))</f>
        <v>5.7882282691739872E-3</v>
      </c>
      <c r="E631" s="29">
        <f t="array" ref="E631">SUMPRODUCT('ファンドデータ(変更不要)'!K631:P631,TRANSPOSE(戦略の決定!$F$13:$F$18))</f>
        <v>5.7882282691739872E-3</v>
      </c>
      <c r="F631" s="183">
        <f t="shared" si="42"/>
        <v>2.2230514788239195</v>
      </c>
      <c r="G631" s="183">
        <f t="shared" si="43"/>
        <v>2.7866340815969655</v>
      </c>
      <c r="H631" s="75">
        <f t="shared" si="44"/>
        <v>2.7866340815969655</v>
      </c>
      <c r="J631"/>
      <c r="K631"/>
      <c r="L631"/>
      <c r="M631"/>
      <c r="N631"/>
      <c r="O631"/>
      <c r="P631"/>
    </row>
    <row r="632" spans="2:16" x14ac:dyDescent="0.15">
      <c r="B632" s="197">
        <v>44239</v>
      </c>
      <c r="C632" s="29">
        <f t="array" ref="C632">SUMPRODUCT('ファンドデータ(変更不要)'!K632:P632,TRANSPOSE(戦略の決定!$D$13:$D$18))</f>
        <v>1.2008913834062121E-2</v>
      </c>
      <c r="D632" s="29">
        <f t="array" ref="D632">SUMPRODUCT('ファンドデータ(変更不要)'!K632:P632,TRANSPOSE(戦略の決定!$E$13:$E$18))</f>
        <v>1.8558692695607223E-2</v>
      </c>
      <c r="E632" s="29">
        <f t="array" ref="E632">SUMPRODUCT('ファンドデータ(変更不要)'!K632:P632,TRANSPOSE(戦略の決定!$F$13:$F$18))</f>
        <v>1.8558692695607223E-2</v>
      </c>
      <c r="F632" s="183">
        <f t="shared" si="42"/>
        <v>2.2497479124818005</v>
      </c>
      <c r="G632" s="183">
        <f t="shared" si="43"/>
        <v>2.8383503671724291</v>
      </c>
      <c r="H632" s="75">
        <f t="shared" si="44"/>
        <v>2.8383503671724291</v>
      </c>
      <c r="J632"/>
      <c r="K632"/>
      <c r="L632"/>
      <c r="M632"/>
      <c r="N632"/>
      <c r="O632"/>
      <c r="P632"/>
    </row>
    <row r="633" spans="2:16" x14ac:dyDescent="0.15">
      <c r="B633" s="197">
        <v>44246</v>
      </c>
      <c r="C633" s="29">
        <f t="array" ref="C633">SUMPRODUCT('ファンドデータ(変更不要)'!K633:P633,TRANSPOSE(戦略の決定!$D$13:$D$18))</f>
        <v>2.4049259367670624E-3</v>
      </c>
      <c r="D633" s="29">
        <f t="array" ref="D633">SUMPRODUCT('ファンドデータ(変更不要)'!K633:P633,TRANSPOSE(戦略の決定!$E$13:$E$18))</f>
        <v>3.6323609633383599E-3</v>
      </c>
      <c r="E633" s="29">
        <f t="array" ref="E633">SUMPRODUCT('ファンドデータ(変更不要)'!K633:P633,TRANSPOSE(戦略の決定!$F$13:$F$18))</f>
        <v>3.6323609633383599E-3</v>
      </c>
      <c r="F633" s="183">
        <f t="shared" si="42"/>
        <v>2.2551583895877156</v>
      </c>
      <c r="G633" s="183">
        <f t="shared" si="43"/>
        <v>2.8486602802464236</v>
      </c>
      <c r="H633" s="75">
        <f t="shared" si="44"/>
        <v>2.8486602802464236</v>
      </c>
      <c r="J633"/>
      <c r="K633"/>
      <c r="L633"/>
      <c r="M633"/>
      <c r="N633"/>
      <c r="O633"/>
      <c r="P633"/>
    </row>
    <row r="634" spans="2:16" x14ac:dyDescent="0.15">
      <c r="B634" s="197">
        <v>44253</v>
      </c>
      <c r="C634" s="29">
        <f t="array" ref="C634">SUMPRODUCT('ファンドデータ(変更不要)'!K634:P634,TRANSPOSE(戦略の決定!$D$13:$D$18))</f>
        <v>-6.8669351535392172E-3</v>
      </c>
      <c r="D634" s="29">
        <f t="array" ref="D634">SUMPRODUCT('ファンドデータ(変更不要)'!K634:P634,TRANSPOSE(戦略の決定!$E$13:$E$18))</f>
        <v>-3.7106741853062033E-3</v>
      </c>
      <c r="E634" s="29">
        <f t="array" ref="E634">SUMPRODUCT('ファンドデータ(変更不要)'!K634:P634,TRANSPOSE(戦略の決定!$F$13:$F$18))</f>
        <v>-3.7106741853062033E-3</v>
      </c>
      <c r="F634" s="183">
        <f t="shared" si="42"/>
        <v>2.2396723631654569</v>
      </c>
      <c r="G634" s="183">
        <f t="shared" si="43"/>
        <v>2.838089830081806</v>
      </c>
      <c r="H634" s="75">
        <f t="shared" si="44"/>
        <v>2.838089830081806</v>
      </c>
      <c r="J634"/>
      <c r="K634"/>
      <c r="L634"/>
      <c r="M634"/>
      <c r="N634"/>
      <c r="O634"/>
      <c r="P634"/>
    </row>
    <row r="635" spans="2:16" x14ac:dyDescent="0.15">
      <c r="B635" s="197">
        <v>44260</v>
      </c>
      <c r="C635" s="29">
        <f t="array" ref="C635">SUMPRODUCT('ファンドデータ(変更不要)'!K635:P635,TRANSPOSE(戦略の決定!$D$13:$D$18))</f>
        <v>6.3291384259335894E-4</v>
      </c>
      <c r="D635" s="29">
        <f t="array" ref="D635">SUMPRODUCT('ファンドデータ(変更不要)'!K635:P635,TRANSPOSE(戦略の決定!$E$13:$E$18))</f>
        <v>-3.8811829115790297E-3</v>
      </c>
      <c r="E635" s="29">
        <f t="array" ref="E635">SUMPRODUCT('ファンドデータ(変更不要)'!K635:P635,TRANSPOSE(戦略の決定!$F$13:$F$18))</f>
        <v>-3.8811829115790297E-3</v>
      </c>
      <c r="F635" s="183">
        <f t="shared" si="42"/>
        <v>2.2410898828069783</v>
      </c>
      <c r="G635" s="183">
        <f t="shared" si="43"/>
        <v>2.8270746843317665</v>
      </c>
      <c r="H635" s="75">
        <f t="shared" si="44"/>
        <v>2.8270746843317665</v>
      </c>
      <c r="J635"/>
      <c r="K635"/>
      <c r="L635"/>
      <c r="M635"/>
      <c r="N635"/>
      <c r="O635"/>
      <c r="P635"/>
    </row>
    <row r="636" spans="2:16" x14ac:dyDescent="0.15">
      <c r="B636" s="197">
        <v>44267</v>
      </c>
      <c r="C636" s="29">
        <f t="array" ref="C636">SUMPRODUCT('ファンドデータ(変更不要)'!K636:P636,TRANSPOSE(戦略の決定!$D$13:$D$18))</f>
        <v>1.4382704795846742E-2</v>
      </c>
      <c r="D636" s="29">
        <f t="array" ref="D636">SUMPRODUCT('ファンドデータ(変更不要)'!K636:P636,TRANSPOSE(戦略の決定!$E$13:$E$18))</f>
        <v>2.0544117260003547E-2</v>
      </c>
      <c r="E636" s="29">
        <f t="array" ref="E636">SUMPRODUCT('ファンドデータ(変更不要)'!K636:P636,TRANSPOSE(戦略の決定!$F$13:$F$18))</f>
        <v>2.0544117260003547E-2</v>
      </c>
      <c r="F636" s="183">
        <f t="shared" si="42"/>
        <v>2.2733228170123496</v>
      </c>
      <c r="G636" s="183">
        <f t="shared" si="43"/>
        <v>2.885154438149466</v>
      </c>
      <c r="H636" s="75">
        <f t="shared" si="44"/>
        <v>2.885154438149466</v>
      </c>
      <c r="J636"/>
      <c r="K636"/>
      <c r="L636"/>
      <c r="M636"/>
      <c r="N636"/>
      <c r="O636"/>
      <c r="P636"/>
    </row>
    <row r="637" spans="2:16" x14ac:dyDescent="0.15">
      <c r="B637" s="197">
        <v>44274</v>
      </c>
      <c r="C637" s="29">
        <f t="array" ref="C637">SUMPRODUCT('ファンドデータ(変更不要)'!K637:P637,TRANSPOSE(戦略の決定!$D$13:$D$18))</f>
        <v>2.1489593905537714E-3</v>
      </c>
      <c r="D637" s="29">
        <f t="array" ref="D637">SUMPRODUCT('ファンドデータ(変更不要)'!K637:P637,TRANSPOSE(戦略の決定!$E$13:$E$18))</f>
        <v>6.1248785528249597E-3</v>
      </c>
      <c r="E637" s="29">
        <f t="array" ref="E637">SUMPRODUCT('ファンドデータ(変更不要)'!K637:P637,TRANSPOSE(戦略の決定!$F$13:$F$18))</f>
        <v>6.1248785528249597E-3</v>
      </c>
      <c r="F637" s="183">
        <f t="shared" si="42"/>
        <v>2.2782080954277282</v>
      </c>
      <c r="G637" s="183">
        <f t="shared" si="43"/>
        <v>2.9028256586892756</v>
      </c>
      <c r="H637" s="75">
        <f t="shared" si="44"/>
        <v>2.9028256586892756</v>
      </c>
      <c r="J637"/>
      <c r="K637"/>
      <c r="L637"/>
      <c r="M637"/>
      <c r="N637"/>
      <c r="O637"/>
      <c r="P637"/>
    </row>
    <row r="638" spans="2:16" x14ac:dyDescent="0.15">
      <c r="B638" s="197">
        <v>44281</v>
      </c>
      <c r="C638" s="29">
        <f t="array" ref="C638">SUMPRODUCT('ファンドデータ(変更不要)'!K638:P638,TRANSPOSE(戦略の決定!$D$13:$D$18))</f>
        <v>3.0645694887112803E-3</v>
      </c>
      <c r="D638" s="29">
        <f t="array" ref="D638">SUMPRODUCT('ファンドデータ(変更不要)'!K638:P638,TRANSPOSE(戦略の決定!$E$13:$E$18))</f>
        <v>6.1585169019590571E-3</v>
      </c>
      <c r="E638" s="29">
        <f t="array" ref="E638">SUMPRODUCT('ファンドデータ(変更不要)'!K638:P638,TRANSPOSE(戦略の決定!$F$13:$F$18))</f>
        <v>6.1585169019590571E-3</v>
      </c>
      <c r="F638" s="183">
        <f t="shared" si="42"/>
        <v>2.2851898224459108</v>
      </c>
      <c r="G638" s="183">
        <f t="shared" si="43"/>
        <v>2.9207027595717543</v>
      </c>
      <c r="H638" s="75">
        <f t="shared" si="44"/>
        <v>2.9207027595717543</v>
      </c>
      <c r="J638"/>
      <c r="K638"/>
      <c r="L638"/>
      <c r="M638"/>
      <c r="N638"/>
      <c r="O638"/>
      <c r="P638"/>
    </row>
    <row r="639" spans="2:16" x14ac:dyDescent="0.15">
      <c r="B639" s="197">
        <v>44288</v>
      </c>
      <c r="C639" s="29">
        <f t="array" ref="C639">SUMPRODUCT('ファンドデータ(変更不要)'!K639:P639,TRANSPOSE(戦略の決定!$D$13:$D$18))</f>
        <v>7.8957429518543513E-3</v>
      </c>
      <c r="D639" s="29">
        <f t="array" ref="D639">SUMPRODUCT('ファンドデータ(変更不要)'!K639:P639,TRANSPOSE(戦略の決定!$E$13:$E$18))</f>
        <v>9.5912783710366181E-3</v>
      </c>
      <c r="E639" s="29">
        <f t="array" ref="E639">SUMPRODUCT('ファンドデータ(変更不要)'!K639:P639,TRANSPOSE(戦略の決定!$F$13:$F$18))</f>
        <v>9.5912783710366181E-3</v>
      </c>
      <c r="F639" s="183">
        <f t="shared" si="42"/>
        <v>2.3032330938801371</v>
      </c>
      <c r="G639" s="183">
        <f t="shared" si="43"/>
        <v>2.9487160327778619</v>
      </c>
      <c r="H639" s="75">
        <f t="shared" si="44"/>
        <v>2.9487160327778619</v>
      </c>
      <c r="J639"/>
      <c r="K639"/>
      <c r="L639"/>
      <c r="M639"/>
      <c r="N639"/>
      <c r="O639"/>
      <c r="P639"/>
    </row>
    <row r="640" spans="2:16" x14ac:dyDescent="0.15">
      <c r="B640" s="197">
        <v>44295</v>
      </c>
      <c r="C640" s="29">
        <f t="array" ref="C640">SUMPRODUCT('ファンドデータ(変更不要)'!K640:P640,TRANSPOSE(戦略の決定!$D$13:$D$18))</f>
        <v>5.2203334167960878E-3</v>
      </c>
      <c r="D640" s="29">
        <f t="array" ref="D640">SUMPRODUCT('ファンドデータ(変更不要)'!K640:P640,TRANSPOSE(戦略の決定!$E$13:$E$18))</f>
        <v>1.1281532750722847E-2</v>
      </c>
      <c r="E640" s="29">
        <f t="array" ref="E640">SUMPRODUCT('ファンドデータ(変更不要)'!K640:P640,TRANSPOSE(戦略の決定!$F$13:$F$18))</f>
        <v>1.1281532750722847E-2</v>
      </c>
      <c r="F640" s="183">
        <f t="shared" si="42"/>
        <v>2.3152567385667906</v>
      </c>
      <c r="G640" s="183">
        <f t="shared" si="43"/>
        <v>2.9819820692742267</v>
      </c>
      <c r="H640" s="75">
        <f t="shared" si="44"/>
        <v>2.9819820692742267</v>
      </c>
      <c r="J640"/>
      <c r="K640"/>
      <c r="L640"/>
      <c r="M640"/>
      <c r="N640"/>
      <c r="O640"/>
      <c r="P640"/>
    </row>
    <row r="641" spans="2:16" x14ac:dyDescent="0.15">
      <c r="B641" s="197">
        <v>44302</v>
      </c>
      <c r="C641" s="29">
        <f t="array" ref="C641">SUMPRODUCT('ファンドデータ(変更不要)'!K641:P641,TRANSPOSE(戦略の決定!$D$13:$D$18))</f>
        <v>1.1578126407520116E-3</v>
      </c>
      <c r="D641" s="29">
        <f t="array" ref="D641">SUMPRODUCT('ファンドデータ(変更不要)'!K641:P641,TRANSPOSE(戦略の決定!$E$13:$E$18))</f>
        <v>2.9289552777399435E-3</v>
      </c>
      <c r="E641" s="29">
        <f t="array" ref="E641">SUMPRODUCT('ファンドデータ(変更不要)'!K641:P641,TRANSPOSE(戦略の決定!$F$13:$F$18))</f>
        <v>2.9289552777399435E-3</v>
      </c>
      <c r="F641" s="183">
        <f t="shared" si="42"/>
        <v>2.3179373720852898</v>
      </c>
      <c r="G641" s="183">
        <f t="shared" si="43"/>
        <v>2.9907161613941531</v>
      </c>
      <c r="H641" s="75">
        <f t="shared" si="44"/>
        <v>2.9907161613941531</v>
      </c>
      <c r="J641"/>
      <c r="K641"/>
      <c r="L641"/>
      <c r="M641"/>
      <c r="N641"/>
      <c r="O641"/>
      <c r="P641"/>
    </row>
    <row r="642" spans="2:16" x14ac:dyDescent="0.15">
      <c r="B642" s="197">
        <v>44309</v>
      </c>
      <c r="C642" s="29">
        <f t="array" ref="C642">SUMPRODUCT('ファンドデータ(変更不要)'!K642:P642,TRANSPOSE(戦略の決定!$D$13:$D$18))</f>
        <v>-5.5343651955545026E-3</v>
      </c>
      <c r="D642" s="29">
        <f t="array" ref="D642">SUMPRODUCT('ファンドデータ(変更不要)'!K642:P642,TRANSPOSE(戦略の決定!$E$13:$E$18))</f>
        <v>-5.8373834794448794E-3</v>
      </c>
      <c r="E642" s="29">
        <f t="array" ref="E642">SUMPRODUCT('ファンドデータ(変更不要)'!K642:P642,TRANSPOSE(戦略の決定!$F$13:$F$18))</f>
        <v>-5.8373834794448794E-3</v>
      </c>
      <c r="F642" s="183">
        <f t="shared" si="42"/>
        <v>2.3051090601677457</v>
      </c>
      <c r="G642" s="183">
        <f t="shared" si="43"/>
        <v>2.973258204281922</v>
      </c>
      <c r="H642" s="75">
        <f t="shared" si="44"/>
        <v>2.973258204281922</v>
      </c>
      <c r="J642"/>
      <c r="K642"/>
      <c r="L642"/>
      <c r="M642"/>
      <c r="N642"/>
      <c r="O642"/>
      <c r="P642"/>
    </row>
    <row r="643" spans="2:16" x14ac:dyDescent="0.15">
      <c r="B643" s="197">
        <v>44316</v>
      </c>
      <c r="C643" s="29">
        <f t="array" ref="C643">SUMPRODUCT('ファンドデータ(変更不要)'!K643:P643,TRANSPOSE(戦略の決定!$D$13:$D$18))</f>
        <v>4.9521447137377047E-3</v>
      </c>
      <c r="D643" s="29">
        <f t="array" ref="D643">SUMPRODUCT('ファンドデータ(変更不要)'!K643:P643,TRANSPOSE(戦略の決定!$E$13:$E$18))</f>
        <v>9.4736897905374311E-3</v>
      </c>
      <c r="E643" s="29">
        <f t="array" ref="E643">SUMPRODUCT('ファンドデータ(変更不要)'!K643:P643,TRANSPOSE(戦略の決定!$F$13:$F$18))</f>
        <v>9.4736897905374311E-3</v>
      </c>
      <c r="F643" s="183">
        <f t="shared" si="42"/>
        <v>2.3165242938146444</v>
      </c>
      <c r="G643" s="183">
        <f t="shared" si="43"/>
        <v>3.0014259301764592</v>
      </c>
      <c r="H643" s="75">
        <f t="shared" si="44"/>
        <v>3.0014259301764592</v>
      </c>
      <c r="J643"/>
      <c r="K643"/>
      <c r="L643"/>
      <c r="M643"/>
      <c r="N643"/>
      <c r="O643"/>
      <c r="P643"/>
    </row>
    <row r="644" spans="2:16" x14ac:dyDescent="0.15">
      <c r="B644" s="197">
        <v>44323</v>
      </c>
      <c r="C644" s="29">
        <f t="array" ref="C644">SUMPRODUCT('ファンドデータ(変更不要)'!K644:P644,TRANSPOSE(戦略の決定!$D$13:$D$18))</f>
        <v>1.7319163700484348E-3</v>
      </c>
      <c r="D644" s="29">
        <f t="array" ref="D644">SUMPRODUCT('ファンドデータ(変更不要)'!K644:P644,TRANSPOSE(戦略の決定!$E$13:$E$18))</f>
        <v>-9.3739937391590703E-4</v>
      </c>
      <c r="E644" s="29">
        <f t="array" ref="E644">SUMPRODUCT('ファンドデータ(変更不要)'!K644:P644,TRANSPOSE(戦略の決定!$F$13:$F$18))</f>
        <v>-9.3739937391590703E-4</v>
      </c>
      <c r="F644" s="183">
        <f t="shared" si="42"/>
        <v>2.3205363201607168</v>
      </c>
      <c r="G644" s="183">
        <f t="shared" si="43"/>
        <v>2.998612395388657</v>
      </c>
      <c r="H644" s="75">
        <f t="shared" si="44"/>
        <v>2.998612395388657</v>
      </c>
      <c r="J644"/>
      <c r="K644"/>
      <c r="L644"/>
      <c r="M644"/>
      <c r="N644"/>
      <c r="O644"/>
      <c r="P644"/>
    </row>
    <row r="645" spans="2:16" x14ac:dyDescent="0.15">
      <c r="B645" s="197">
        <v>44330</v>
      </c>
      <c r="C645" s="29">
        <f t="array" ref="C645">SUMPRODUCT('ファンドデータ(変更不要)'!K645:P645,TRANSPOSE(戦略の決定!$D$13:$D$18))</f>
        <v>-1.1374347175638852E-2</v>
      </c>
      <c r="D645" s="29">
        <f t="array" ref="D645">SUMPRODUCT('ファンドデータ(変更不要)'!K645:P645,TRANSPOSE(戦略の決定!$E$13:$E$18))</f>
        <v>-1.3369093331271372E-2</v>
      </c>
      <c r="E645" s="29">
        <f t="array" ref="E645">SUMPRODUCT('ファンドデータ(変更不要)'!K645:P645,TRANSPOSE(戦略の決定!$F$13:$F$18))</f>
        <v>-1.3369093331271372E-2</v>
      </c>
      <c r="F645" s="183">
        <f t="shared" si="42"/>
        <v>2.2941417344215291</v>
      </c>
      <c r="G645" s="183">
        <f t="shared" si="43"/>
        <v>2.9585236664103989</v>
      </c>
      <c r="H645" s="75">
        <f t="shared" si="44"/>
        <v>2.9585236664103989</v>
      </c>
      <c r="J645"/>
      <c r="K645"/>
      <c r="L645"/>
      <c r="M645"/>
      <c r="N645"/>
      <c r="O645"/>
      <c r="P645"/>
    </row>
    <row r="646" spans="2:16" x14ac:dyDescent="0.15">
      <c r="B646" s="197">
        <v>44337</v>
      </c>
      <c r="C646" s="29">
        <f t="array" ref="C646">SUMPRODUCT('ファンドデータ(変更不要)'!K646:P646,TRANSPOSE(戦略の決定!$D$13:$D$18))</f>
        <v>7.1963468623856058E-3</v>
      </c>
      <c r="D646" s="29">
        <f t="array" ref="D646">SUMPRODUCT('ファンドデータ(変更不要)'!K646:P646,TRANSPOSE(戦略の決定!$E$13:$E$18))</f>
        <v>1.1962257891378641E-2</v>
      </c>
      <c r="E646" s="29">
        <f t="array" ref="E646">SUMPRODUCT('ファンドデータ(変更不要)'!K646:P646,TRANSPOSE(戦略の決定!$F$13:$F$18))</f>
        <v>1.1962257891378641E-2</v>
      </c>
      <c r="F646" s="183">
        <f t="shared" si="42"/>
        <v>2.3106511740939015</v>
      </c>
      <c r="G646" s="183">
        <f t="shared" si="43"/>
        <v>2.9939142894857476</v>
      </c>
      <c r="H646" s="75">
        <f t="shared" si="44"/>
        <v>2.9939142894857476</v>
      </c>
      <c r="J646"/>
      <c r="K646"/>
      <c r="L646"/>
      <c r="M646"/>
      <c r="N646"/>
      <c r="O646"/>
      <c r="P646"/>
    </row>
    <row r="647" spans="2:16" x14ac:dyDescent="0.15">
      <c r="B647" s="197">
        <v>44344</v>
      </c>
      <c r="C647" s="29">
        <f t="array" ref="C647">SUMPRODUCT('ファンドデータ(変更不要)'!K647:P647,TRANSPOSE(戦略の決定!$D$13:$D$18))</f>
        <v>1.048702244757071E-2</v>
      </c>
      <c r="D647" s="29">
        <f t="array" ref="D647">SUMPRODUCT('ファンドデータ(変更不要)'!K647:P647,TRANSPOSE(戦略の決定!$E$13:$E$18))</f>
        <v>1.1435211333289315E-2</v>
      </c>
      <c r="E647" s="29">
        <f t="array" ref="E647">SUMPRODUCT('ファンドデータ(変更不要)'!K647:P647,TRANSPOSE(戦略の決定!$F$13:$F$18))</f>
        <v>1.1435211333289315E-2</v>
      </c>
      <c r="F647" s="183">
        <f t="shared" si="42"/>
        <v>2.3348830248251295</v>
      </c>
      <c r="G647" s="183">
        <f t="shared" si="43"/>
        <v>3.0281503320997722</v>
      </c>
      <c r="H647" s="75">
        <f t="shared" si="44"/>
        <v>3.0281503320997722</v>
      </c>
      <c r="J647"/>
      <c r="K647"/>
      <c r="L647"/>
      <c r="M647"/>
      <c r="N647"/>
      <c r="O647"/>
      <c r="P647"/>
    </row>
    <row r="648" spans="2:16" x14ac:dyDescent="0.15">
      <c r="B648" s="197">
        <v>44351</v>
      </c>
      <c r="C648" s="29">
        <f t="array" ref="C648">SUMPRODUCT('ファンドデータ(変更不要)'!K648:P648,TRANSPOSE(戦略の決定!$D$13:$D$18))</f>
        <v>2.9419319835552499E-3</v>
      </c>
      <c r="D648" s="29">
        <f t="array" ref="D648">SUMPRODUCT('ファンドデータ(変更不要)'!K648:P648,TRANSPOSE(戦略の決定!$E$13:$E$18))</f>
        <v>6.9746136195525847E-3</v>
      </c>
      <c r="E648" s="29">
        <f t="array" ref="E648">SUMPRODUCT('ファンドデータ(変更不要)'!K648:P648,TRANSPOSE(戦略の決定!$F$13:$F$18))</f>
        <v>6.9746136195525847E-3</v>
      </c>
      <c r="F648" s="183">
        <f t="shared" si="42"/>
        <v>2.3417520918737229</v>
      </c>
      <c r="G648" s="183">
        <f t="shared" si="43"/>
        <v>3.0492705106480877</v>
      </c>
      <c r="H648" s="75">
        <f t="shared" si="44"/>
        <v>3.0492705106480877</v>
      </c>
      <c r="J648"/>
      <c r="K648"/>
      <c r="L648"/>
      <c r="M648"/>
      <c r="N648"/>
      <c r="O648"/>
      <c r="P648"/>
    </row>
    <row r="649" spans="2:16" x14ac:dyDescent="0.15">
      <c r="B649" s="197">
        <v>44358</v>
      </c>
      <c r="C649" s="29">
        <f t="array" ref="C649">SUMPRODUCT('ファンドデータ(変更不要)'!K649:P649,TRANSPOSE(戦略の決定!$D$13:$D$18))</f>
        <v>7.1652637959443641E-3</v>
      </c>
      <c r="D649" s="29">
        <f t="array" ref="D649">SUMPRODUCT('ファンドデータ(変更不要)'!K649:P649,TRANSPOSE(戦略の決定!$E$13:$E$18))</f>
        <v>1.1116271707582634E-2</v>
      </c>
      <c r="E649" s="29">
        <f t="array" ref="E649">SUMPRODUCT('ファンドデータ(変更不要)'!K649:P649,TRANSPOSE(戦略の決定!$F$13:$F$18))</f>
        <v>1.1116271707582634E-2</v>
      </c>
      <c r="F649" s="183">
        <f t="shared" si="42"/>
        <v>2.3585313633567027</v>
      </c>
      <c r="G649" s="183">
        <f t="shared" si="43"/>
        <v>3.083167030154371</v>
      </c>
      <c r="H649" s="75">
        <f t="shared" si="44"/>
        <v>3.083167030154371</v>
      </c>
      <c r="J649"/>
      <c r="K649"/>
      <c r="L649"/>
      <c r="M649"/>
      <c r="N649"/>
      <c r="O649"/>
      <c r="P649"/>
    </row>
    <row r="650" spans="2:16" x14ac:dyDescent="0.15">
      <c r="B650" s="197">
        <v>44365</v>
      </c>
      <c r="C650" s="29">
        <f t="array" ref="C650">SUMPRODUCT('ファンドデータ(変更不要)'!K650:P650,TRANSPOSE(戦略の決定!$D$13:$D$18))</f>
        <v>-6.0957844206580899E-3</v>
      </c>
      <c r="D650" s="29">
        <f t="array" ref="D650">SUMPRODUCT('ファンドデータ(変更不要)'!K650:P650,TRANSPOSE(戦略の決定!$E$13:$E$18))</f>
        <v>-8.5915707528689562E-3</v>
      </c>
      <c r="E650" s="29">
        <f t="array" ref="E650">SUMPRODUCT('ファンドデータ(変更不要)'!K650:P650,TRANSPOSE(戦略の決定!$F$13:$F$18))</f>
        <v>-8.5915707528689562E-3</v>
      </c>
      <c r="F650" s="183">
        <f t="shared" si="42"/>
        <v>2.3441542646163196</v>
      </c>
      <c r="G650" s="183">
        <f t="shared" si="43"/>
        <v>3.0566777824718869</v>
      </c>
      <c r="H650" s="75">
        <f t="shared" si="44"/>
        <v>3.0566777824718869</v>
      </c>
      <c r="J650"/>
      <c r="K650"/>
      <c r="L650"/>
      <c r="M650"/>
      <c r="N650"/>
      <c r="O650"/>
      <c r="P650"/>
    </row>
    <row r="651" spans="2:16" x14ac:dyDescent="0.15">
      <c r="B651" s="197">
        <v>44372</v>
      </c>
      <c r="C651" s="29">
        <f t="array" ref="C651">SUMPRODUCT('ファンドデータ(変更不要)'!K651:P651,TRANSPOSE(戦略の決定!$D$13:$D$18))</f>
        <v>7.2616501909344572E-3</v>
      </c>
      <c r="D651" s="29">
        <f t="array" ref="D651">SUMPRODUCT('ファンドデータ(変更不要)'!K651:P651,TRANSPOSE(戦略の決定!$E$13:$E$18))</f>
        <v>1.1166411590774764E-2</v>
      </c>
      <c r="E651" s="29">
        <f t="array" ref="E651">SUMPRODUCT('ファンドデータ(変更不要)'!K651:P651,TRANSPOSE(戦略の決定!$F$13:$F$18))</f>
        <v>1.1166411590774764E-2</v>
      </c>
      <c r="F651" s="183">
        <f t="shared" si="42"/>
        <v>2.3611766928795506</v>
      </c>
      <c r="G651" s="183">
        <f t="shared" si="43"/>
        <v>3.0908099046913446</v>
      </c>
      <c r="H651" s="75">
        <f t="shared" si="44"/>
        <v>3.0908099046913446</v>
      </c>
      <c r="J651"/>
      <c r="K651"/>
      <c r="L651"/>
      <c r="M651"/>
      <c r="N651"/>
      <c r="O651"/>
      <c r="P651"/>
    </row>
    <row r="652" spans="2:16" x14ac:dyDescent="0.15">
      <c r="B652" s="197">
        <v>44379</v>
      </c>
      <c r="C652" s="29">
        <f t="array" ref="C652">SUMPRODUCT('ファンドデータ(変更不要)'!K652:P652,TRANSPOSE(戦略の決定!$D$13:$D$18))</f>
        <v>3.496858938668758E-3</v>
      </c>
      <c r="D652" s="29">
        <f t="array" ref="D652">SUMPRODUCT('ファンドデータ(変更不要)'!K652:P652,TRANSPOSE(戦略の決定!$E$13:$E$18))</f>
        <v>6.9945267458368108E-3</v>
      </c>
      <c r="E652" s="29">
        <f t="array" ref="E652">SUMPRODUCT('ファンドデータ(変更不要)'!K652:P652,TRANSPOSE(戦略の決定!$F$13:$F$18))</f>
        <v>6.9945267458368108E-3</v>
      </c>
      <c r="F652" s="183">
        <f t="shared" si="42"/>
        <v>2.3694333947038229</v>
      </c>
      <c r="G652" s="183">
        <f t="shared" si="43"/>
        <v>3.112428657236006</v>
      </c>
      <c r="H652" s="75">
        <f t="shared" si="44"/>
        <v>3.112428657236006</v>
      </c>
      <c r="J652"/>
      <c r="K652"/>
      <c r="L652"/>
      <c r="M652"/>
      <c r="N652"/>
      <c r="O652"/>
      <c r="P652"/>
    </row>
    <row r="653" spans="2:16" x14ac:dyDescent="0.15">
      <c r="B653" s="197">
        <v>44386</v>
      </c>
      <c r="C653" s="29">
        <f t="array" ref="C653">SUMPRODUCT('ファンドデータ(変更不要)'!K653:P653,TRANSPOSE(戦略の決定!$D$13:$D$18))</f>
        <v>-4.1408846536183305E-3</v>
      </c>
      <c r="D653" s="29">
        <f t="array" ref="D653">SUMPRODUCT('ファンドデータ(変更不要)'!K653:P653,TRANSPOSE(戦略の決定!$E$13:$E$18))</f>
        <v>-1.9511276382419215E-3</v>
      </c>
      <c r="E653" s="29">
        <f t="array" ref="E653">SUMPRODUCT('ファンドデータ(変更不要)'!K653:P653,TRANSPOSE(戦略の決定!$F$13:$F$18))</f>
        <v>-1.9511276382419215E-3</v>
      </c>
      <c r="F653" s="183">
        <f t="shared" si="42"/>
        <v>2.3596218443219232</v>
      </c>
      <c r="G653" s="183">
        <f t="shared" si="43"/>
        <v>3.1063559116608168</v>
      </c>
      <c r="H653" s="75">
        <f t="shared" si="44"/>
        <v>3.1063559116608168</v>
      </c>
      <c r="J653"/>
      <c r="K653"/>
      <c r="L653"/>
      <c r="M653"/>
      <c r="N653"/>
      <c r="O653"/>
      <c r="P653"/>
    </row>
    <row r="654" spans="2:16" x14ac:dyDescent="0.15">
      <c r="B654" s="197">
        <v>44393</v>
      </c>
      <c r="C654" s="29">
        <f t="array" ref="C654">SUMPRODUCT('ファンドデータ(変更不要)'!K654:P654,TRANSPOSE(戦略の決定!$D$13:$D$18))</f>
        <v>1.0356645924698203E-3</v>
      </c>
      <c r="D654" s="29">
        <f t="array" ref="D654">SUMPRODUCT('ファンドデータ(変更不要)'!K654:P654,TRANSPOSE(戦略の決定!$E$13:$E$18))</f>
        <v>1.6773795146728843E-3</v>
      </c>
      <c r="E654" s="29">
        <f t="array" ref="E654">SUMPRODUCT('ファンドデータ(変更不要)'!K654:P654,TRANSPOSE(戦略の決定!$F$13:$F$18))</f>
        <v>1.6773795146728843E-3</v>
      </c>
      <c r="F654" s="183">
        <f t="shared" si="42"/>
        <v>2.362065621117706</v>
      </c>
      <c r="G654" s="183">
        <f t="shared" si="43"/>
        <v>3.1115664494323201</v>
      </c>
      <c r="H654" s="75">
        <f t="shared" si="44"/>
        <v>3.1115664494323201</v>
      </c>
      <c r="J654"/>
      <c r="K654"/>
      <c r="L654"/>
      <c r="M654"/>
      <c r="N654"/>
      <c r="O654"/>
      <c r="P654"/>
    </row>
    <row r="655" spans="2:16" x14ac:dyDescent="0.15">
      <c r="B655" s="197">
        <v>44400</v>
      </c>
      <c r="C655" s="29">
        <f t="array" ref="C655">SUMPRODUCT('ファンドデータ(変更不要)'!K655:P655,TRANSPOSE(戦略の決定!$D$13:$D$18))</f>
        <v>-4.494747526990246E-3</v>
      </c>
      <c r="D655" s="29">
        <f t="array" ref="D655">SUMPRODUCT('ファンドデータ(変更不要)'!K655:P655,TRANSPOSE(戦略の決定!$E$13:$E$18))</f>
        <v>-7.1401920229177598E-3</v>
      </c>
      <c r="E655" s="29">
        <f t="array" ref="E655">SUMPRODUCT('ファンドデータ(変更不要)'!K655:P655,TRANSPOSE(戦略の決定!$F$13:$F$18))</f>
        <v>-7.1401920229177598E-3</v>
      </c>
      <c r="F655" s="183">
        <f t="shared" si="42"/>
        <v>2.3514487325085986</v>
      </c>
      <c r="G655" s="183">
        <f t="shared" si="43"/>
        <v>3.089349267491305</v>
      </c>
      <c r="H655" s="75">
        <f t="shared" si="44"/>
        <v>3.089349267491305</v>
      </c>
      <c r="J655"/>
      <c r="K655"/>
      <c r="L655"/>
      <c r="M655"/>
      <c r="N655"/>
      <c r="O655"/>
      <c r="P655"/>
    </row>
    <row r="656" spans="2:16" ht="16.5" thickBot="1" x14ac:dyDescent="0.2">
      <c r="B656" s="17">
        <v>44407</v>
      </c>
      <c r="C656" s="31">
        <f t="array" ref="C656">SUMPRODUCT('ファンドデータ(変更不要)'!K656:P656,TRANSPOSE(戦略の決定!$D$13:$D$18))</f>
        <v>6.0536484770283778E-3</v>
      </c>
      <c r="D656" s="31">
        <f t="array" ref="D656">SUMPRODUCT('ファンドデータ(変更不要)'!K656:P656,TRANSPOSE(戦略の決定!$E$13:$E$18))</f>
        <v>1.0929243150976972E-2</v>
      </c>
      <c r="E656" s="31">
        <f t="array" ref="E656">SUMPRODUCT('ファンドデータ(変更不要)'!K656:P656,TRANSPOSE(戦略の決定!$F$13:$F$18))</f>
        <v>1.0929243150976972E-2</v>
      </c>
      <c r="F656" s="184">
        <f t="shared" si="42"/>
        <v>2.3656835765469597</v>
      </c>
      <c r="G656" s="184">
        <f t="shared" si="43"/>
        <v>3.1231135168140098</v>
      </c>
      <c r="H656" s="182">
        <f t="shared" si="44"/>
        <v>3.1231135168140098</v>
      </c>
      <c r="J656"/>
      <c r="K656"/>
      <c r="L656"/>
      <c r="M656"/>
      <c r="N656"/>
      <c r="O656"/>
      <c r="P656"/>
    </row>
    <row r="657" spans="2:16" x14ac:dyDescent="0.15">
      <c r="B657"/>
      <c r="C657"/>
      <c r="D657"/>
      <c r="E657"/>
      <c r="F657"/>
      <c r="G657"/>
      <c r="H657"/>
      <c r="J657"/>
      <c r="K657"/>
      <c r="L657"/>
      <c r="M657"/>
      <c r="N657"/>
      <c r="O657"/>
      <c r="P657"/>
    </row>
    <row r="658" spans="2:16" x14ac:dyDescent="0.15">
      <c r="B658"/>
      <c r="C658"/>
      <c r="D658"/>
      <c r="E658"/>
      <c r="F658"/>
      <c r="G658"/>
      <c r="H658"/>
      <c r="J658"/>
      <c r="K658"/>
      <c r="L658"/>
      <c r="M658"/>
      <c r="N658"/>
      <c r="O658"/>
      <c r="P658"/>
    </row>
    <row r="659" spans="2:16" x14ac:dyDescent="0.15">
      <c r="B659"/>
      <c r="C659"/>
      <c r="D659"/>
      <c r="E659"/>
      <c r="F659"/>
      <c r="G659"/>
      <c r="H659"/>
      <c r="J659"/>
      <c r="K659"/>
      <c r="L659"/>
      <c r="M659"/>
      <c r="N659"/>
      <c r="O659"/>
      <c r="P659"/>
    </row>
    <row r="660" spans="2:16" x14ac:dyDescent="0.15">
      <c r="B660"/>
      <c r="C660"/>
      <c r="D660"/>
      <c r="E660"/>
      <c r="F660"/>
      <c r="G660"/>
      <c r="H660"/>
      <c r="J660"/>
      <c r="K660"/>
      <c r="L660"/>
      <c r="M660"/>
      <c r="N660"/>
      <c r="O660"/>
      <c r="P660"/>
    </row>
    <row r="661" spans="2:16" x14ac:dyDescent="0.15">
      <c r="B661"/>
      <c r="C661"/>
      <c r="D661"/>
      <c r="E661"/>
      <c r="F661"/>
      <c r="G661"/>
      <c r="H661"/>
      <c r="J661"/>
      <c r="K661"/>
      <c r="L661"/>
      <c r="M661"/>
      <c r="N661"/>
      <c r="O661"/>
      <c r="P661"/>
    </row>
    <row r="662" spans="2:16" x14ac:dyDescent="0.15">
      <c r="B662"/>
      <c r="C662"/>
      <c r="D662"/>
      <c r="E662"/>
      <c r="F662"/>
      <c r="G662"/>
      <c r="H662"/>
      <c r="J662"/>
      <c r="K662"/>
      <c r="L662"/>
      <c r="M662"/>
      <c r="N662"/>
      <c r="O662"/>
      <c r="P662"/>
    </row>
    <row r="663" spans="2:16" x14ac:dyDescent="0.15">
      <c r="B663"/>
      <c r="C663"/>
      <c r="D663"/>
      <c r="E663"/>
      <c r="F663"/>
      <c r="G663"/>
      <c r="H663"/>
      <c r="J663"/>
      <c r="K663"/>
      <c r="L663"/>
      <c r="M663"/>
      <c r="N663"/>
      <c r="O663"/>
      <c r="P663"/>
    </row>
    <row r="664" spans="2:16" x14ac:dyDescent="0.15">
      <c r="B664"/>
      <c r="C664"/>
      <c r="D664"/>
      <c r="E664"/>
      <c r="F664"/>
      <c r="G664"/>
      <c r="H664"/>
      <c r="J664"/>
      <c r="K664"/>
      <c r="L664"/>
      <c r="M664"/>
      <c r="N664"/>
      <c r="O664"/>
      <c r="P664"/>
    </row>
    <row r="665" spans="2:16" x14ac:dyDescent="0.15">
      <c r="B665"/>
      <c r="C665"/>
      <c r="D665"/>
      <c r="E665"/>
      <c r="F665"/>
      <c r="G665"/>
      <c r="H665"/>
      <c r="J665"/>
      <c r="K665"/>
      <c r="L665"/>
      <c r="M665"/>
      <c r="N665"/>
      <c r="O665"/>
      <c r="P665"/>
    </row>
    <row r="666" spans="2:16" x14ac:dyDescent="0.15">
      <c r="B666"/>
      <c r="C666"/>
      <c r="D666"/>
      <c r="E666"/>
      <c r="F666"/>
      <c r="G666"/>
      <c r="H666"/>
      <c r="J666"/>
      <c r="K666"/>
      <c r="L666"/>
      <c r="M666"/>
      <c r="N666"/>
      <c r="O666"/>
      <c r="P666"/>
    </row>
    <row r="667" spans="2:16" x14ac:dyDescent="0.15">
      <c r="B667"/>
      <c r="C667"/>
      <c r="D667"/>
      <c r="E667"/>
      <c r="F667"/>
      <c r="G667"/>
      <c r="H667"/>
      <c r="J667"/>
      <c r="K667"/>
      <c r="L667"/>
      <c r="M667"/>
      <c r="N667"/>
      <c r="O667"/>
      <c r="P667"/>
    </row>
    <row r="668" spans="2:16" x14ac:dyDescent="0.15">
      <c r="B668"/>
      <c r="C668"/>
      <c r="D668"/>
      <c r="E668"/>
      <c r="F668"/>
      <c r="G668"/>
      <c r="H668"/>
      <c r="J668"/>
      <c r="K668"/>
      <c r="L668"/>
      <c r="M668"/>
      <c r="N668"/>
      <c r="O668"/>
      <c r="P668"/>
    </row>
    <row r="669" spans="2:16" x14ac:dyDescent="0.15">
      <c r="B669"/>
      <c r="C669"/>
      <c r="D669"/>
      <c r="E669"/>
      <c r="F669"/>
      <c r="G669"/>
      <c r="H669"/>
      <c r="J669"/>
      <c r="K669"/>
      <c r="L669"/>
      <c r="M669"/>
      <c r="N669"/>
      <c r="O669"/>
      <c r="P669"/>
    </row>
    <row r="670" spans="2:16" x14ac:dyDescent="0.15">
      <c r="B670"/>
      <c r="C670"/>
      <c r="D670"/>
      <c r="E670"/>
      <c r="F670"/>
      <c r="G670"/>
      <c r="H670"/>
      <c r="J670"/>
      <c r="K670"/>
      <c r="L670"/>
      <c r="M670"/>
      <c r="N670"/>
      <c r="O670"/>
      <c r="P670"/>
    </row>
    <row r="671" spans="2:16" x14ac:dyDescent="0.15">
      <c r="B671"/>
      <c r="C671"/>
      <c r="D671"/>
      <c r="E671"/>
      <c r="F671"/>
      <c r="G671"/>
      <c r="H671"/>
      <c r="J671"/>
      <c r="K671"/>
      <c r="L671"/>
      <c r="M671"/>
      <c r="N671"/>
      <c r="O671"/>
      <c r="P671"/>
    </row>
    <row r="672" spans="2:16" x14ac:dyDescent="0.15">
      <c r="B672"/>
      <c r="C672"/>
      <c r="D672"/>
      <c r="E672"/>
      <c r="F672"/>
      <c r="G672"/>
      <c r="H672"/>
      <c r="J672"/>
      <c r="K672"/>
      <c r="L672"/>
      <c r="M672"/>
      <c r="N672"/>
      <c r="O672"/>
      <c r="P672"/>
    </row>
    <row r="673" spans="2:16" x14ac:dyDescent="0.15">
      <c r="B673"/>
      <c r="C673"/>
      <c r="D673"/>
      <c r="E673"/>
      <c r="F673"/>
      <c r="G673"/>
      <c r="H673"/>
      <c r="J673"/>
      <c r="K673"/>
      <c r="L673"/>
      <c r="M673"/>
      <c r="N673"/>
      <c r="O673"/>
      <c r="P673"/>
    </row>
    <row r="674" spans="2:16" x14ac:dyDescent="0.15">
      <c r="B674"/>
      <c r="C674"/>
      <c r="D674"/>
      <c r="E674"/>
      <c r="F674"/>
      <c r="G674"/>
      <c r="H674"/>
      <c r="J674"/>
      <c r="K674"/>
      <c r="L674"/>
      <c r="M674"/>
      <c r="N674"/>
      <c r="O674"/>
      <c r="P674"/>
    </row>
    <row r="675" spans="2:16" x14ac:dyDescent="0.15">
      <c r="B675"/>
      <c r="C675"/>
      <c r="D675"/>
      <c r="E675"/>
      <c r="F675"/>
      <c r="G675"/>
      <c r="H675"/>
      <c r="J675"/>
      <c r="K675"/>
      <c r="L675"/>
      <c r="M675"/>
      <c r="N675"/>
      <c r="O675"/>
      <c r="P675"/>
    </row>
    <row r="676" spans="2:16" x14ac:dyDescent="0.15">
      <c r="B676"/>
      <c r="C676"/>
      <c r="D676"/>
      <c r="E676"/>
      <c r="F676"/>
      <c r="G676"/>
      <c r="H676"/>
      <c r="J676"/>
      <c r="K676"/>
      <c r="L676"/>
      <c r="M676"/>
      <c r="N676"/>
      <c r="O676"/>
      <c r="P676"/>
    </row>
    <row r="677" spans="2:16" x14ac:dyDescent="0.15">
      <c r="B677"/>
      <c r="C677"/>
      <c r="D677"/>
      <c r="E677"/>
      <c r="F677"/>
      <c r="G677"/>
      <c r="H677"/>
      <c r="J677"/>
      <c r="K677"/>
      <c r="L677"/>
      <c r="M677"/>
      <c r="N677"/>
      <c r="O677"/>
      <c r="P677"/>
    </row>
    <row r="678" spans="2:16" x14ac:dyDescent="0.15">
      <c r="B678"/>
      <c r="C678"/>
      <c r="D678"/>
      <c r="E678"/>
      <c r="F678"/>
      <c r="G678"/>
      <c r="H678"/>
      <c r="J678"/>
      <c r="K678"/>
      <c r="L678"/>
      <c r="M678"/>
      <c r="N678"/>
      <c r="O678"/>
      <c r="P678"/>
    </row>
    <row r="679" spans="2:16" x14ac:dyDescent="0.15">
      <c r="B679"/>
      <c r="C679"/>
      <c r="D679"/>
      <c r="E679"/>
      <c r="F679"/>
      <c r="G679"/>
      <c r="H679"/>
      <c r="J679"/>
      <c r="K679"/>
      <c r="L679"/>
      <c r="M679"/>
      <c r="N679"/>
      <c r="O679"/>
      <c r="P679"/>
    </row>
    <row r="680" spans="2:16" x14ac:dyDescent="0.15">
      <c r="B680"/>
      <c r="C680"/>
      <c r="D680"/>
      <c r="E680"/>
      <c r="F680"/>
      <c r="G680"/>
      <c r="H680"/>
      <c r="J680"/>
      <c r="K680"/>
      <c r="L680"/>
      <c r="M680"/>
      <c r="N680"/>
      <c r="O680"/>
      <c r="P680"/>
    </row>
    <row r="681" spans="2:16" x14ac:dyDescent="0.15">
      <c r="B681"/>
      <c r="C681"/>
      <c r="D681"/>
      <c r="E681"/>
      <c r="F681"/>
      <c r="G681"/>
      <c r="H681"/>
      <c r="J681"/>
      <c r="K681"/>
      <c r="L681"/>
      <c r="M681"/>
      <c r="N681"/>
      <c r="O681"/>
      <c r="P681"/>
    </row>
    <row r="682" spans="2:16" x14ac:dyDescent="0.15">
      <c r="B682"/>
      <c r="C682"/>
      <c r="D682"/>
      <c r="E682"/>
      <c r="F682"/>
      <c r="G682"/>
      <c r="H682"/>
      <c r="J682"/>
      <c r="K682"/>
      <c r="L682"/>
      <c r="M682"/>
      <c r="N682"/>
      <c r="O682"/>
      <c r="P682"/>
    </row>
    <row r="683" spans="2:16" x14ac:dyDescent="0.15">
      <c r="B683"/>
      <c r="C683"/>
      <c r="D683"/>
      <c r="E683"/>
      <c r="F683"/>
      <c r="G683"/>
      <c r="H683"/>
      <c r="J683"/>
      <c r="K683"/>
      <c r="L683"/>
      <c r="M683"/>
      <c r="N683"/>
      <c r="O683"/>
      <c r="P683"/>
    </row>
    <row r="684" spans="2:16" x14ac:dyDescent="0.15">
      <c r="B684"/>
      <c r="C684"/>
      <c r="D684"/>
      <c r="E684"/>
      <c r="F684"/>
      <c r="G684"/>
      <c r="H684"/>
      <c r="J684"/>
      <c r="K684"/>
      <c r="L684"/>
      <c r="M684"/>
      <c r="N684"/>
      <c r="O684"/>
      <c r="P684"/>
    </row>
    <row r="685" spans="2:16" x14ac:dyDescent="0.15">
      <c r="B685"/>
      <c r="C685"/>
      <c r="D685"/>
      <c r="E685"/>
      <c r="F685"/>
      <c r="G685"/>
      <c r="H685"/>
      <c r="J685"/>
      <c r="K685"/>
      <c r="L685"/>
      <c r="M685"/>
      <c r="N685"/>
      <c r="O685"/>
      <c r="P685"/>
    </row>
    <row r="686" spans="2:16" x14ac:dyDescent="0.15">
      <c r="B686"/>
      <c r="C686"/>
      <c r="D686"/>
      <c r="E686"/>
      <c r="F686"/>
      <c r="G686"/>
      <c r="H686"/>
      <c r="J686"/>
      <c r="K686"/>
      <c r="L686"/>
      <c r="M686"/>
      <c r="N686"/>
      <c r="O686"/>
      <c r="P686"/>
    </row>
    <row r="687" spans="2:16" x14ac:dyDescent="0.15">
      <c r="B687"/>
      <c r="C687"/>
      <c r="D687"/>
      <c r="E687"/>
      <c r="F687"/>
      <c r="G687"/>
      <c r="H687"/>
      <c r="J687"/>
      <c r="K687"/>
      <c r="L687"/>
      <c r="M687"/>
      <c r="N687"/>
      <c r="O687"/>
      <c r="P687"/>
    </row>
    <row r="688" spans="2:16" x14ac:dyDescent="0.15">
      <c r="B688"/>
      <c r="C688"/>
      <c r="D688"/>
      <c r="E688"/>
      <c r="F688"/>
      <c r="G688"/>
      <c r="H688"/>
      <c r="J688"/>
      <c r="K688"/>
      <c r="L688"/>
      <c r="M688"/>
      <c r="N688"/>
      <c r="O688"/>
      <c r="P688"/>
    </row>
    <row r="689" spans="2:16" x14ac:dyDescent="0.15">
      <c r="B689"/>
      <c r="C689"/>
      <c r="D689"/>
      <c r="E689"/>
      <c r="F689"/>
      <c r="G689"/>
      <c r="H689"/>
      <c r="J689"/>
      <c r="K689"/>
      <c r="L689"/>
      <c r="M689"/>
      <c r="N689"/>
      <c r="O689"/>
      <c r="P689"/>
    </row>
    <row r="690" spans="2:16" x14ac:dyDescent="0.15">
      <c r="B690"/>
      <c r="C690"/>
      <c r="D690"/>
      <c r="E690"/>
      <c r="F690"/>
      <c r="G690"/>
      <c r="H690"/>
      <c r="J690"/>
      <c r="K690"/>
      <c r="L690"/>
      <c r="M690"/>
      <c r="N690"/>
      <c r="O690"/>
      <c r="P690"/>
    </row>
    <row r="691" spans="2:16" x14ac:dyDescent="0.15">
      <c r="B691"/>
      <c r="C691"/>
      <c r="D691"/>
      <c r="E691"/>
      <c r="F691"/>
      <c r="G691"/>
      <c r="H691"/>
      <c r="J691"/>
      <c r="K691"/>
      <c r="L691"/>
      <c r="M691"/>
      <c r="N691"/>
      <c r="O691"/>
      <c r="P691"/>
    </row>
    <row r="692" spans="2:16" x14ac:dyDescent="0.15">
      <c r="B692"/>
      <c r="C692"/>
      <c r="D692"/>
      <c r="E692"/>
      <c r="F692"/>
      <c r="G692"/>
      <c r="H692"/>
      <c r="J692"/>
      <c r="K692"/>
      <c r="L692"/>
      <c r="M692"/>
      <c r="N692"/>
      <c r="O692"/>
      <c r="P692"/>
    </row>
    <row r="693" spans="2:16" x14ac:dyDescent="0.15">
      <c r="B693"/>
      <c r="C693"/>
      <c r="D693"/>
      <c r="E693"/>
      <c r="F693"/>
      <c r="G693"/>
      <c r="H693"/>
      <c r="J693"/>
      <c r="K693"/>
      <c r="L693"/>
      <c r="M693"/>
      <c r="N693"/>
      <c r="O693"/>
      <c r="P693"/>
    </row>
    <row r="694" spans="2:16" x14ac:dyDescent="0.15">
      <c r="B694"/>
      <c r="C694"/>
      <c r="D694"/>
      <c r="E694"/>
      <c r="F694"/>
      <c r="G694"/>
      <c r="H694"/>
      <c r="J694"/>
      <c r="K694"/>
      <c r="L694"/>
      <c r="M694"/>
      <c r="N694"/>
      <c r="O694"/>
      <c r="P694"/>
    </row>
    <row r="695" spans="2:16" x14ac:dyDescent="0.15">
      <c r="B695"/>
      <c r="C695"/>
      <c r="D695"/>
      <c r="E695"/>
      <c r="F695"/>
      <c r="G695"/>
      <c r="H695"/>
      <c r="J695"/>
      <c r="K695"/>
      <c r="L695"/>
      <c r="M695"/>
      <c r="N695"/>
      <c r="O695"/>
      <c r="P695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 tint="-0.499984740745262"/>
  </sheetPr>
  <dimension ref="B1:AA206"/>
  <sheetViews>
    <sheetView showGridLines="0" topLeftCell="A68" workbookViewId="0">
      <selection activeCell="X125" sqref="X125"/>
    </sheetView>
  </sheetViews>
  <sheetFormatPr defaultRowHeight="13.5" x14ac:dyDescent="0.15"/>
  <cols>
    <col min="1" max="1" width="2.875" customWidth="1"/>
    <col min="2" max="2" width="14.25" customWidth="1"/>
    <col min="3" max="3" width="8.625" customWidth="1"/>
    <col min="4" max="4" width="10" bestFit="1" customWidth="1"/>
    <col min="7" max="7" width="2.25" customWidth="1"/>
    <col min="8" max="8" width="13.625" customWidth="1"/>
    <col min="9" max="9" width="10.375" customWidth="1"/>
    <col min="10" max="13" width="8.625" customWidth="1"/>
    <col min="14" max="14" width="2.25" customWidth="1"/>
    <col min="17" max="17" width="10" customWidth="1"/>
    <col min="19" max="19" width="9.625" customWidth="1"/>
    <col min="21" max="21" width="1.625" customWidth="1"/>
    <col min="28" max="28" width="3.25" customWidth="1"/>
    <col min="35" max="35" width="2" customWidth="1"/>
    <col min="38" max="38" width="10" bestFit="1" customWidth="1"/>
  </cols>
  <sheetData>
    <row r="1" spans="2:27" ht="7.5" customHeight="1" thickBot="1" x14ac:dyDescent="0.2"/>
    <row r="2" spans="2:27" ht="14.25" x14ac:dyDescent="0.15">
      <c r="B2" s="13"/>
      <c r="C2" s="256" t="s">
        <v>94</v>
      </c>
      <c r="D2" s="91"/>
      <c r="E2" s="54"/>
      <c r="F2" s="55"/>
      <c r="H2" s="13"/>
      <c r="I2" s="256"/>
      <c r="J2" s="91" t="s">
        <v>57</v>
      </c>
      <c r="K2" s="54"/>
      <c r="L2" s="54"/>
      <c r="M2" s="55"/>
      <c r="O2" s="13"/>
      <c r="P2" s="256"/>
      <c r="Q2" s="91" t="s">
        <v>95</v>
      </c>
      <c r="R2" s="54"/>
      <c r="S2" s="91"/>
      <c r="T2" s="55"/>
      <c r="V2" s="13"/>
      <c r="W2" s="256"/>
      <c r="X2" s="91" t="s">
        <v>96</v>
      </c>
      <c r="Y2" s="54"/>
      <c r="Z2" s="91"/>
      <c r="AA2" s="55"/>
    </row>
    <row r="3" spans="2:27" ht="14.25" x14ac:dyDescent="0.15">
      <c r="B3" s="18" t="s">
        <v>72</v>
      </c>
      <c r="C3" s="48">
        <v>0.25</v>
      </c>
      <c r="D3" s="48">
        <v>0.5</v>
      </c>
      <c r="E3" s="48">
        <v>0.75</v>
      </c>
      <c r="F3" s="49">
        <v>1</v>
      </c>
      <c r="H3" s="18" t="s">
        <v>72</v>
      </c>
      <c r="I3" s="120">
        <v>0</v>
      </c>
      <c r="J3" s="48">
        <v>0.25</v>
      </c>
      <c r="K3" s="48">
        <v>0.5</v>
      </c>
      <c r="L3" s="48">
        <v>0.75</v>
      </c>
      <c r="M3" s="49">
        <v>1</v>
      </c>
      <c r="O3" s="18" t="s">
        <v>72</v>
      </c>
      <c r="P3" s="113">
        <v>0</v>
      </c>
      <c r="Q3" s="51">
        <v>0.25</v>
      </c>
      <c r="R3" s="51">
        <v>0.5</v>
      </c>
      <c r="S3" s="51">
        <v>0.75</v>
      </c>
      <c r="T3" s="52">
        <v>1</v>
      </c>
      <c r="V3" s="18" t="s">
        <v>72</v>
      </c>
      <c r="W3" s="120">
        <v>0</v>
      </c>
      <c r="X3" s="48">
        <v>0.25</v>
      </c>
      <c r="Y3" s="48">
        <v>0.5</v>
      </c>
      <c r="Z3" s="48">
        <v>0.75</v>
      </c>
      <c r="AA3" s="49">
        <v>1</v>
      </c>
    </row>
    <row r="4" spans="2:27" ht="14.25" x14ac:dyDescent="0.15">
      <c r="B4" s="18">
        <v>1</v>
      </c>
      <c r="C4" s="29">
        <f>シミュレーションデータの貼り付け!C4*シミュレーション!$D$10+シミュレーションデータの貼り付け!G4*シミュレーション!$D$11+シミュレーションデータの貼り付け!K4*シミュレーション!$D$12+シミュレーションデータの貼り付け!O4*シミュレーション!$D$13+シミュレーションデータの貼り付け!S4*シミュレーション!$D$14+シミュレーションデータの貼り付け!W4*シミュレーション!$D$15</f>
        <v>0</v>
      </c>
      <c r="D4" s="29">
        <f>シミュレーションデータの貼り付け!D4*シミュレーション!$D$10+シミュレーションデータの貼り付け!H4*シミュレーション!$D$11+シミュレーションデータの貼り付け!L4*シミュレーション!$D$12+シミュレーションデータの貼り付け!P4*シミュレーション!$D$13+シミュレーションデータの貼り付け!T4*シミュレーション!$D$14+シミュレーションデータの貼り付け!X4*シミュレーション!$D$15</f>
        <v>0</v>
      </c>
      <c r="E4" s="29">
        <f>シミュレーションデータの貼り付け!E4*シミュレーション!$D$10+シミュレーションデータの貼り付け!I4*シミュレーション!$D$11+シミュレーションデータの貼り付け!M4*シミュレーション!$D$12+シミュレーションデータの貼り付け!Q4*シミュレーション!$D$13+シミュレーションデータの貼り付け!U4*シミュレーション!$D$14+シミュレーションデータの貼り付け!Y4*シミュレーション!$D$15</f>
        <v>0</v>
      </c>
      <c r="F4" s="30">
        <f>シミュレーションデータの貼り付け!F4*シミュレーション!$D$10+シミュレーションデータの貼り付け!J4*シミュレーション!$D$11+シミュレーションデータの貼り付け!N4*シミュレーション!$D$12+シミュレーションデータの貼り付け!R4*シミュレーション!$D$13+シミュレーションデータの貼り付け!V4*シミュレーション!$D$14+シミュレーションデータの貼り付け!Z4*シミュレーション!$D$15</f>
        <v>0</v>
      </c>
      <c r="H4" s="18">
        <v>1</v>
      </c>
      <c r="I4" s="87">
        <f>シミュレーション!$D$19</f>
        <v>0</v>
      </c>
      <c r="J4" s="87">
        <f>I4*(1+'シミュレーション計算用（変更不要）'!C4)</f>
        <v>0</v>
      </c>
      <c r="K4" s="87">
        <f>J4*(1+'シミュレーション計算用（変更不要）'!D4)</f>
        <v>0</v>
      </c>
      <c r="L4" s="87">
        <f>K4*(1+'シミュレーション計算用（変更不要）'!E4)</f>
        <v>0</v>
      </c>
      <c r="M4" s="44">
        <f>L4*(1+'シミュレーション計算用（変更不要）'!F4)</f>
        <v>0</v>
      </c>
      <c r="O4" s="18">
        <v>1</v>
      </c>
      <c r="P4" s="87">
        <f>BarriarOptionPrice(シミュレーション!$K$11,シミュレーション!$H$11,I4,1-P$3,シミュレーション!$I$11,シミュレーション!$J$11,シミュレーション!$D$10:$D$15)</f>
        <v>0</v>
      </c>
      <c r="Q4" s="87">
        <f>BarriarOptionPrice(シミュレーション!$K$11,シミュレーション!$H$11,J4,1-Q$3,シミュレーション!$I$11,シミュレーション!$J$11,シミュレーション!$D$10:$D$15)</f>
        <v>0</v>
      </c>
      <c r="R4" s="87">
        <f>BarriarOptionPrice(シミュレーション!$K$11,シミュレーション!$H$11,K4,1-R$3,シミュレーション!$I$11,シミュレーション!$J$11,シミュレーション!$D$10:$D$15)</f>
        <v>0</v>
      </c>
      <c r="S4" s="87">
        <f>BarriarOptionPrice(シミュレーション!$K$11,シミュレーション!$H$11,L4,1-S$3,シミュレーション!$I$11,シミュレーション!$J$11,シミュレーション!$D$10:$D$15)</f>
        <v>0</v>
      </c>
      <c r="T4" s="44">
        <f>BarriarOptionPrice(シミュレーション!$K$11,シミュレーション!$H$11,M4,1-T$3,シミュレーション!$I$11,シミュレーション!$J$11,シミュレーション!$D$10:$D$15)</f>
        <v>0</v>
      </c>
      <c r="V4" s="18">
        <v>1</v>
      </c>
      <c r="W4" s="87">
        <f>BarriarOptionPrice(シミュレーション!$K$12,シミュレーション!$H$12,I4,1-P$3,シミュレーション!$I$12,シミュレーション!$J$12,シミュレーション!$D$10:$D$15)</f>
        <v>0</v>
      </c>
      <c r="X4" s="87">
        <f>BarriarOptionPrice(シミュレーション!$K$12,シミュレーション!$H$12,J4,1-Q$3,シミュレーション!$I$12,シミュレーション!$J$12,シミュレーション!$D$10:$D$15)</f>
        <v>0</v>
      </c>
      <c r="Y4" s="87">
        <f>BarriarOptionPrice(シミュレーション!$K$12,シミュレーション!$H$12,K4,1-R$3,シミュレーション!$I$12,シミュレーション!$J$12,シミュレーション!$D$10:$D$15)</f>
        <v>0</v>
      </c>
      <c r="Z4" s="87">
        <f>BarriarOptionPrice(シミュレーション!$K$12,シミュレーション!$H$12,L4,1-S$3,シミュレーション!$I$12,シミュレーション!$J$12,シミュレーション!$D$10:$D$15)</f>
        <v>0</v>
      </c>
      <c r="AA4" s="44">
        <f>BarriarOptionPrice(シミュレーション!$K$12,シミュレーション!$H$12,M4,1-T$3,シミュレーション!$I$12,シミュレーション!$J$12,シミュレーション!$D$10:$D$15)</f>
        <v>0</v>
      </c>
    </row>
    <row r="5" spans="2:27" ht="14.25" x14ac:dyDescent="0.15">
      <c r="B5" s="18">
        <v>2</v>
      </c>
      <c r="C5" s="29">
        <f>シミュレーションデータの貼り付け!C5*シミュレーション!$D$10+シミュレーションデータの貼り付け!G5*シミュレーション!$D$11+シミュレーションデータの貼り付け!K5*シミュレーション!$D$12+シミュレーションデータの貼り付け!O5*シミュレーション!$D$13+シミュレーションデータの貼り付け!S5*シミュレーション!$D$14+シミュレーションデータの貼り付け!W5*シミュレーション!$D$15</f>
        <v>0</v>
      </c>
      <c r="D5" s="29">
        <f>シミュレーションデータの貼り付け!D5*シミュレーション!$D$10+シミュレーションデータの貼り付け!H5*シミュレーション!$D$11+シミュレーションデータの貼り付け!L5*シミュレーション!$D$12+シミュレーションデータの貼り付け!P5*シミュレーション!$D$13+シミュレーションデータの貼り付け!T5*シミュレーション!$D$14+シミュレーションデータの貼り付け!X5*シミュレーション!$D$15</f>
        <v>0</v>
      </c>
      <c r="E5" s="29">
        <f>シミュレーションデータの貼り付け!E5*シミュレーション!$D$10+シミュレーションデータの貼り付け!I5*シミュレーション!$D$11+シミュレーションデータの貼り付け!M5*シミュレーション!$D$12+シミュレーションデータの貼り付け!Q5*シミュレーション!$D$13+シミュレーションデータの貼り付け!U5*シミュレーション!$D$14+シミュレーションデータの貼り付け!Y5*シミュレーション!$D$15</f>
        <v>0</v>
      </c>
      <c r="F5" s="30">
        <f>シミュレーションデータの貼り付け!F5*シミュレーション!$D$10+シミュレーションデータの貼り付け!J5*シミュレーション!$D$11+シミュレーションデータの貼り付け!N5*シミュレーション!$D$12+シミュレーションデータの貼り付け!R5*シミュレーション!$D$13+シミュレーションデータの貼り付け!V5*シミュレーション!$D$14+シミュレーションデータの貼り付け!Z5*シミュレーション!$D$15</f>
        <v>0</v>
      </c>
      <c r="H5" s="18">
        <v>2</v>
      </c>
      <c r="I5" s="87">
        <f>シミュレーション!$D$19</f>
        <v>0</v>
      </c>
      <c r="J5" s="87">
        <f>I5*(1+'シミュレーション計算用（変更不要）'!C5)</f>
        <v>0</v>
      </c>
      <c r="K5" s="87">
        <f>J5*(1+'シミュレーション計算用（変更不要）'!D5)</f>
        <v>0</v>
      </c>
      <c r="L5" s="87">
        <f>K5*(1+'シミュレーション計算用（変更不要）'!E5)</f>
        <v>0</v>
      </c>
      <c r="M5" s="44">
        <f>L5*(1+'シミュレーション計算用（変更不要）'!F5)</f>
        <v>0</v>
      </c>
      <c r="O5" s="18">
        <v>2</v>
      </c>
      <c r="P5" s="87">
        <f>BarriarOptionPrice(シミュレーション!$K$11,シミュレーション!$H$11,I5,1-P$3,シミュレーション!$I$11,シミュレーション!$J$11,シミュレーション!$D$10:$D$15)</f>
        <v>0</v>
      </c>
      <c r="Q5" s="87">
        <f>BarriarOptionPrice(シミュレーション!$K$11,シミュレーション!$H$11,J5,1-Q$3,シミュレーション!$I$11,シミュレーション!$J$11,シミュレーション!$D$10:$D$15)</f>
        <v>0</v>
      </c>
      <c r="R5" s="87">
        <f>BarriarOptionPrice(シミュレーション!$K$11,シミュレーション!$H$11,K5,1-R$3,シミュレーション!$I$11,シミュレーション!$J$11,シミュレーション!$D$10:$D$15)</f>
        <v>0</v>
      </c>
      <c r="S5" s="87">
        <f>BarriarOptionPrice(シミュレーション!$K$11,シミュレーション!$H$11,L5,1-S$3,シミュレーション!$I$11,シミュレーション!$J$11,シミュレーション!$D$10:$D$15)</f>
        <v>0</v>
      </c>
      <c r="T5" s="44">
        <f>BarriarOptionPrice(シミュレーション!$K$11,シミュレーション!$H$11,M5,1-T$3,シミュレーション!$I$11,シミュレーション!$J$11,シミュレーション!$D$10:$D$15)</f>
        <v>0</v>
      </c>
      <c r="V5" s="18">
        <v>2</v>
      </c>
      <c r="W5" s="87">
        <f>BarriarOptionPrice(シミュレーション!$K$12,シミュレーション!$H$12,I5,1-P$3,シミュレーション!$I$12,シミュレーション!$J$12,シミュレーション!$D$10:$D$15)</f>
        <v>0</v>
      </c>
      <c r="X5" s="87">
        <f>BarriarOptionPrice(シミュレーション!$K$12,シミュレーション!$H$12,J5,1-Q$3,シミュレーション!$I$12,シミュレーション!$J$12,シミュレーション!$D$10:$D$15)</f>
        <v>0</v>
      </c>
      <c r="Y5" s="87">
        <f>BarriarOptionPrice(シミュレーション!$K$12,シミュレーション!$H$12,K5,1-R$3,シミュレーション!$I$12,シミュレーション!$J$12,シミュレーション!$D$10:$D$15)</f>
        <v>0</v>
      </c>
      <c r="Z5" s="87">
        <f>BarriarOptionPrice(シミュレーション!$K$12,シミュレーション!$H$12,L5,1-S$3,シミュレーション!$I$12,シミュレーション!$J$12,シミュレーション!$D$10:$D$15)</f>
        <v>0</v>
      </c>
      <c r="AA5" s="44">
        <f>BarriarOptionPrice(シミュレーション!$K$12,シミュレーション!$H$12,M5,1-T$3,シミュレーション!$I$12,シミュレーション!$J$12,シミュレーション!$D$10:$D$15)</f>
        <v>0</v>
      </c>
    </row>
    <row r="6" spans="2:27" ht="14.25" x14ac:dyDescent="0.15">
      <c r="B6" s="18">
        <v>3</v>
      </c>
      <c r="C6" s="29">
        <f>シミュレーションデータの貼り付け!C6*シミュレーション!$D$10+シミュレーションデータの貼り付け!G6*シミュレーション!$D$11+シミュレーションデータの貼り付け!K6*シミュレーション!$D$12+シミュレーションデータの貼り付け!O6*シミュレーション!$D$13+シミュレーションデータの貼り付け!S6*シミュレーション!$D$14+シミュレーションデータの貼り付け!W6*シミュレーション!$D$15</f>
        <v>0</v>
      </c>
      <c r="D6" s="29">
        <f>シミュレーションデータの貼り付け!D6*シミュレーション!$D$10+シミュレーションデータの貼り付け!H6*シミュレーション!$D$11+シミュレーションデータの貼り付け!L6*シミュレーション!$D$12+シミュレーションデータの貼り付け!P6*シミュレーション!$D$13+シミュレーションデータの貼り付け!T6*シミュレーション!$D$14+シミュレーションデータの貼り付け!X6*シミュレーション!$D$15</f>
        <v>0</v>
      </c>
      <c r="E6" s="29">
        <f>シミュレーションデータの貼り付け!E6*シミュレーション!$D$10+シミュレーションデータの貼り付け!I6*シミュレーション!$D$11+シミュレーションデータの貼り付け!M6*シミュレーション!$D$12+シミュレーションデータの貼り付け!Q6*シミュレーション!$D$13+シミュレーションデータの貼り付け!U6*シミュレーション!$D$14+シミュレーションデータの貼り付け!Y6*シミュレーション!$D$15</f>
        <v>0</v>
      </c>
      <c r="F6" s="30">
        <f>シミュレーションデータの貼り付け!F6*シミュレーション!$D$10+シミュレーションデータの貼り付け!J6*シミュレーション!$D$11+シミュレーションデータの貼り付け!N6*シミュレーション!$D$12+シミュレーションデータの貼り付け!R6*シミュレーション!$D$13+シミュレーションデータの貼り付け!V6*シミュレーション!$D$14+シミュレーションデータの貼り付け!Z6*シミュレーション!$D$15</f>
        <v>0</v>
      </c>
      <c r="H6" s="18">
        <v>3</v>
      </c>
      <c r="I6" s="87">
        <f>シミュレーション!$D$19</f>
        <v>0</v>
      </c>
      <c r="J6" s="87">
        <f>I6*(1+'シミュレーション計算用（変更不要）'!C6)</f>
        <v>0</v>
      </c>
      <c r="K6" s="87">
        <f>J6*(1+'シミュレーション計算用（変更不要）'!D6)</f>
        <v>0</v>
      </c>
      <c r="L6" s="87">
        <f>K6*(1+'シミュレーション計算用（変更不要）'!E6)</f>
        <v>0</v>
      </c>
      <c r="M6" s="44">
        <f>L6*(1+'シミュレーション計算用（変更不要）'!F6)</f>
        <v>0</v>
      </c>
      <c r="O6" s="18">
        <v>3</v>
      </c>
      <c r="P6" s="87">
        <f>BarriarOptionPrice(シミュレーション!$K$11,シミュレーション!$H$11,I6,1-P$3,シミュレーション!$I$11,シミュレーション!$J$11,シミュレーション!$D$10:$D$15)</f>
        <v>0</v>
      </c>
      <c r="Q6" s="87">
        <f>BarriarOptionPrice(シミュレーション!$K$11,シミュレーション!$H$11,J6,1-Q$3,シミュレーション!$I$11,シミュレーション!$J$11,シミュレーション!$D$10:$D$15)</f>
        <v>0</v>
      </c>
      <c r="R6" s="87">
        <f>BarriarOptionPrice(シミュレーション!$K$11,シミュレーション!$H$11,K6,1-R$3,シミュレーション!$I$11,シミュレーション!$J$11,シミュレーション!$D$10:$D$15)</f>
        <v>0</v>
      </c>
      <c r="S6" s="87">
        <f>BarriarOptionPrice(シミュレーション!$K$11,シミュレーション!$H$11,L6,1-S$3,シミュレーション!$I$11,シミュレーション!$J$11,シミュレーション!$D$10:$D$15)</f>
        <v>0</v>
      </c>
      <c r="T6" s="44">
        <f>BarriarOptionPrice(シミュレーション!$K$11,シミュレーション!$H$11,M6,1-T$3,シミュレーション!$I$11,シミュレーション!$J$11,シミュレーション!$D$10:$D$15)</f>
        <v>0</v>
      </c>
      <c r="V6" s="18">
        <v>3</v>
      </c>
      <c r="W6" s="87">
        <f>BarriarOptionPrice(シミュレーション!$K$12,シミュレーション!$H$12,I6,1-P$3,シミュレーション!$I$12,シミュレーション!$J$12,シミュレーション!$D$10:$D$15)</f>
        <v>0</v>
      </c>
      <c r="X6" s="87">
        <f>BarriarOptionPrice(シミュレーション!$K$12,シミュレーション!$H$12,J6,1-Q$3,シミュレーション!$I$12,シミュレーション!$J$12,シミュレーション!$D$10:$D$15)</f>
        <v>0</v>
      </c>
      <c r="Y6" s="87">
        <f>BarriarOptionPrice(シミュレーション!$K$12,シミュレーション!$H$12,K6,1-R$3,シミュレーション!$I$12,シミュレーション!$J$12,シミュレーション!$D$10:$D$15)</f>
        <v>0</v>
      </c>
      <c r="Z6" s="87">
        <f>BarriarOptionPrice(シミュレーション!$K$12,シミュレーション!$H$12,L6,1-S$3,シミュレーション!$I$12,シミュレーション!$J$12,シミュレーション!$D$10:$D$15)</f>
        <v>0</v>
      </c>
      <c r="AA6" s="44">
        <f>BarriarOptionPrice(シミュレーション!$K$12,シミュレーション!$H$12,M6,1-T$3,シミュレーション!$I$12,シミュレーション!$J$12,シミュレーション!$D$10:$D$15)</f>
        <v>0</v>
      </c>
    </row>
    <row r="7" spans="2:27" ht="14.25" x14ac:dyDescent="0.15">
      <c r="B7" s="18">
        <v>4</v>
      </c>
      <c r="C7" s="29">
        <f>シミュレーションデータの貼り付け!C7*シミュレーション!$D$10+シミュレーションデータの貼り付け!G7*シミュレーション!$D$11+シミュレーションデータの貼り付け!K7*シミュレーション!$D$12+シミュレーションデータの貼り付け!O7*シミュレーション!$D$13+シミュレーションデータの貼り付け!S7*シミュレーション!$D$14+シミュレーションデータの貼り付け!W7*シミュレーション!$D$15</f>
        <v>0</v>
      </c>
      <c r="D7" s="29">
        <f>シミュレーションデータの貼り付け!D7*シミュレーション!$D$10+シミュレーションデータの貼り付け!H7*シミュレーション!$D$11+シミュレーションデータの貼り付け!L7*シミュレーション!$D$12+シミュレーションデータの貼り付け!P7*シミュレーション!$D$13+シミュレーションデータの貼り付け!T7*シミュレーション!$D$14+シミュレーションデータの貼り付け!X7*シミュレーション!$D$15</f>
        <v>0</v>
      </c>
      <c r="E7" s="29">
        <f>シミュレーションデータの貼り付け!E7*シミュレーション!$D$10+シミュレーションデータの貼り付け!I7*シミュレーション!$D$11+シミュレーションデータの貼り付け!M7*シミュレーション!$D$12+シミュレーションデータの貼り付け!Q7*シミュレーション!$D$13+シミュレーションデータの貼り付け!U7*シミュレーション!$D$14+シミュレーションデータの貼り付け!Y7*シミュレーション!$D$15</f>
        <v>0</v>
      </c>
      <c r="F7" s="30">
        <f>シミュレーションデータの貼り付け!F7*シミュレーション!$D$10+シミュレーションデータの貼り付け!J7*シミュレーション!$D$11+シミュレーションデータの貼り付け!N7*シミュレーション!$D$12+シミュレーションデータの貼り付け!R7*シミュレーション!$D$13+シミュレーションデータの貼り付け!V7*シミュレーション!$D$14+シミュレーションデータの貼り付け!Z7*シミュレーション!$D$15</f>
        <v>0</v>
      </c>
      <c r="H7" s="18">
        <v>4</v>
      </c>
      <c r="I7" s="87">
        <f>シミュレーション!$D$19</f>
        <v>0</v>
      </c>
      <c r="J7" s="87">
        <f>I7*(1+'シミュレーション計算用（変更不要）'!C7)</f>
        <v>0</v>
      </c>
      <c r="K7" s="87">
        <f>J7*(1+'シミュレーション計算用（変更不要）'!D7)</f>
        <v>0</v>
      </c>
      <c r="L7" s="87">
        <f>K7*(1+'シミュレーション計算用（変更不要）'!E7)</f>
        <v>0</v>
      </c>
      <c r="M7" s="44">
        <f>L7*(1+'シミュレーション計算用（変更不要）'!F7)</f>
        <v>0</v>
      </c>
      <c r="O7" s="18">
        <v>4</v>
      </c>
      <c r="P7" s="87">
        <f>BarriarOptionPrice(シミュレーション!$K$11,シミュレーション!$H$11,I7,1-P$3,シミュレーション!$I$11,シミュレーション!$J$11,シミュレーション!$D$10:$D$15)</f>
        <v>0</v>
      </c>
      <c r="Q7" s="87">
        <f>BarriarOptionPrice(シミュレーション!$K$11,シミュレーション!$H$11,J7,1-Q$3,シミュレーション!$I$11,シミュレーション!$J$11,シミュレーション!$D$10:$D$15)</f>
        <v>0</v>
      </c>
      <c r="R7" s="87">
        <f>BarriarOptionPrice(シミュレーション!$K$11,シミュレーション!$H$11,K7,1-R$3,シミュレーション!$I$11,シミュレーション!$J$11,シミュレーション!$D$10:$D$15)</f>
        <v>0</v>
      </c>
      <c r="S7" s="87">
        <f>BarriarOptionPrice(シミュレーション!$K$11,シミュレーション!$H$11,L7,1-S$3,シミュレーション!$I$11,シミュレーション!$J$11,シミュレーション!$D$10:$D$15)</f>
        <v>0</v>
      </c>
      <c r="T7" s="44">
        <f>BarriarOptionPrice(シミュレーション!$K$11,シミュレーション!$H$11,M7,1-T$3,シミュレーション!$I$11,シミュレーション!$J$11,シミュレーション!$D$10:$D$15)</f>
        <v>0</v>
      </c>
      <c r="V7" s="18">
        <v>4</v>
      </c>
      <c r="W7" s="87">
        <f>BarriarOptionPrice(シミュレーション!$K$12,シミュレーション!$H$12,I7,1-P$3,シミュレーション!$I$12,シミュレーション!$J$12,シミュレーション!$D$10:$D$15)</f>
        <v>0</v>
      </c>
      <c r="X7" s="87">
        <f>BarriarOptionPrice(シミュレーション!$K$12,シミュレーション!$H$12,J7,1-Q$3,シミュレーション!$I$12,シミュレーション!$J$12,シミュレーション!$D$10:$D$15)</f>
        <v>0</v>
      </c>
      <c r="Y7" s="87">
        <f>BarriarOptionPrice(シミュレーション!$K$12,シミュレーション!$H$12,K7,1-R$3,シミュレーション!$I$12,シミュレーション!$J$12,シミュレーション!$D$10:$D$15)</f>
        <v>0</v>
      </c>
      <c r="Z7" s="87">
        <f>BarriarOptionPrice(シミュレーション!$K$12,シミュレーション!$H$12,L7,1-S$3,シミュレーション!$I$12,シミュレーション!$J$12,シミュレーション!$D$10:$D$15)</f>
        <v>0</v>
      </c>
      <c r="AA7" s="44">
        <f>BarriarOptionPrice(シミュレーション!$K$12,シミュレーション!$H$12,M7,1-T$3,シミュレーション!$I$12,シミュレーション!$J$12,シミュレーション!$D$10:$D$15)</f>
        <v>0</v>
      </c>
    </row>
    <row r="8" spans="2:27" ht="14.25" x14ac:dyDescent="0.15">
      <c r="B8" s="18">
        <v>5</v>
      </c>
      <c r="C8" s="29">
        <f>シミュレーションデータの貼り付け!C8*シミュレーション!$D$10+シミュレーションデータの貼り付け!G8*シミュレーション!$D$11+シミュレーションデータの貼り付け!K8*シミュレーション!$D$12+シミュレーションデータの貼り付け!O8*シミュレーション!$D$13+シミュレーションデータの貼り付け!S8*シミュレーション!$D$14+シミュレーションデータの貼り付け!W8*シミュレーション!$D$15</f>
        <v>0</v>
      </c>
      <c r="D8" s="29">
        <f>シミュレーションデータの貼り付け!D8*シミュレーション!$D$10+シミュレーションデータの貼り付け!H8*シミュレーション!$D$11+シミュレーションデータの貼り付け!L8*シミュレーション!$D$12+シミュレーションデータの貼り付け!P8*シミュレーション!$D$13+シミュレーションデータの貼り付け!T8*シミュレーション!$D$14+シミュレーションデータの貼り付け!X8*シミュレーション!$D$15</f>
        <v>0</v>
      </c>
      <c r="E8" s="29">
        <f>シミュレーションデータの貼り付け!E8*シミュレーション!$D$10+シミュレーションデータの貼り付け!I8*シミュレーション!$D$11+シミュレーションデータの貼り付け!M8*シミュレーション!$D$12+シミュレーションデータの貼り付け!Q8*シミュレーション!$D$13+シミュレーションデータの貼り付け!U8*シミュレーション!$D$14+シミュレーションデータの貼り付け!Y8*シミュレーション!$D$15</f>
        <v>0</v>
      </c>
      <c r="F8" s="30">
        <f>シミュレーションデータの貼り付け!F8*シミュレーション!$D$10+シミュレーションデータの貼り付け!J8*シミュレーション!$D$11+シミュレーションデータの貼り付け!N8*シミュレーション!$D$12+シミュレーションデータの貼り付け!R8*シミュレーション!$D$13+シミュレーションデータの貼り付け!V8*シミュレーション!$D$14+シミュレーションデータの貼り付け!Z8*シミュレーション!$D$15</f>
        <v>0</v>
      </c>
      <c r="H8" s="18">
        <v>5</v>
      </c>
      <c r="I8" s="87">
        <f>シミュレーション!$D$19</f>
        <v>0</v>
      </c>
      <c r="J8" s="87">
        <f>I8*(1+'シミュレーション計算用（変更不要）'!C8)</f>
        <v>0</v>
      </c>
      <c r="K8" s="87">
        <f>J8*(1+'シミュレーション計算用（変更不要）'!D8)</f>
        <v>0</v>
      </c>
      <c r="L8" s="87">
        <f>K8*(1+'シミュレーション計算用（変更不要）'!E8)</f>
        <v>0</v>
      </c>
      <c r="M8" s="44">
        <f>L8*(1+'シミュレーション計算用（変更不要）'!F8)</f>
        <v>0</v>
      </c>
      <c r="O8" s="18">
        <v>5</v>
      </c>
      <c r="P8" s="87">
        <f>BarriarOptionPrice(シミュレーション!$K$11,シミュレーション!$H$11,I8,1-P$3,シミュレーション!$I$11,シミュレーション!$J$11,シミュレーション!$D$10:$D$15)</f>
        <v>0</v>
      </c>
      <c r="Q8" s="87">
        <f>BarriarOptionPrice(シミュレーション!$K$11,シミュレーション!$H$11,J8,1-Q$3,シミュレーション!$I$11,シミュレーション!$J$11,シミュレーション!$D$10:$D$15)</f>
        <v>0</v>
      </c>
      <c r="R8" s="87">
        <f>BarriarOptionPrice(シミュレーション!$K$11,シミュレーション!$H$11,K8,1-R$3,シミュレーション!$I$11,シミュレーション!$J$11,シミュレーション!$D$10:$D$15)</f>
        <v>0</v>
      </c>
      <c r="S8" s="87">
        <f>BarriarOptionPrice(シミュレーション!$K$11,シミュレーション!$H$11,L8,1-S$3,シミュレーション!$I$11,シミュレーション!$J$11,シミュレーション!$D$10:$D$15)</f>
        <v>0</v>
      </c>
      <c r="T8" s="44">
        <f>BarriarOptionPrice(シミュレーション!$K$11,シミュレーション!$H$11,M8,1-T$3,シミュレーション!$I$11,シミュレーション!$J$11,シミュレーション!$D$10:$D$15)</f>
        <v>0</v>
      </c>
      <c r="V8" s="18">
        <v>5</v>
      </c>
      <c r="W8" s="87">
        <f>BarriarOptionPrice(シミュレーション!$K$12,シミュレーション!$H$12,I8,1-P$3,シミュレーション!$I$12,シミュレーション!$J$12,シミュレーション!$D$10:$D$15)</f>
        <v>0</v>
      </c>
      <c r="X8" s="87">
        <f>BarriarOptionPrice(シミュレーション!$K$12,シミュレーション!$H$12,J8,1-Q$3,シミュレーション!$I$12,シミュレーション!$J$12,シミュレーション!$D$10:$D$15)</f>
        <v>0</v>
      </c>
      <c r="Y8" s="87">
        <f>BarriarOptionPrice(シミュレーション!$K$12,シミュレーション!$H$12,K8,1-R$3,シミュレーション!$I$12,シミュレーション!$J$12,シミュレーション!$D$10:$D$15)</f>
        <v>0</v>
      </c>
      <c r="Z8" s="87">
        <f>BarriarOptionPrice(シミュレーション!$K$12,シミュレーション!$H$12,L8,1-S$3,シミュレーション!$I$12,シミュレーション!$J$12,シミュレーション!$D$10:$D$15)</f>
        <v>0</v>
      </c>
      <c r="AA8" s="44">
        <f>BarriarOptionPrice(シミュレーション!$K$12,シミュレーション!$H$12,M8,1-T$3,シミュレーション!$I$12,シミュレーション!$J$12,シミュレーション!$D$10:$D$15)</f>
        <v>0</v>
      </c>
    </row>
    <row r="9" spans="2:27" ht="14.25" x14ac:dyDescent="0.15">
      <c r="B9" s="18">
        <v>6</v>
      </c>
      <c r="C9" s="29">
        <f>シミュレーションデータの貼り付け!C9*シミュレーション!$D$10+シミュレーションデータの貼り付け!G9*シミュレーション!$D$11+シミュレーションデータの貼り付け!K9*シミュレーション!$D$12+シミュレーションデータの貼り付け!O9*シミュレーション!$D$13+シミュレーションデータの貼り付け!S9*シミュレーション!$D$14+シミュレーションデータの貼り付け!W9*シミュレーション!$D$15</f>
        <v>0</v>
      </c>
      <c r="D9" s="29">
        <f>シミュレーションデータの貼り付け!D9*シミュレーション!$D$10+シミュレーションデータの貼り付け!H9*シミュレーション!$D$11+シミュレーションデータの貼り付け!L9*シミュレーション!$D$12+シミュレーションデータの貼り付け!P9*シミュレーション!$D$13+シミュレーションデータの貼り付け!T9*シミュレーション!$D$14+シミュレーションデータの貼り付け!X9*シミュレーション!$D$15</f>
        <v>0</v>
      </c>
      <c r="E9" s="29">
        <f>シミュレーションデータの貼り付け!E9*シミュレーション!$D$10+シミュレーションデータの貼り付け!I9*シミュレーション!$D$11+シミュレーションデータの貼り付け!M9*シミュレーション!$D$12+シミュレーションデータの貼り付け!Q9*シミュレーション!$D$13+シミュレーションデータの貼り付け!U9*シミュレーション!$D$14+シミュレーションデータの貼り付け!Y9*シミュレーション!$D$15</f>
        <v>0</v>
      </c>
      <c r="F9" s="30">
        <f>シミュレーションデータの貼り付け!F9*シミュレーション!$D$10+シミュレーションデータの貼り付け!J9*シミュレーション!$D$11+シミュレーションデータの貼り付け!N9*シミュレーション!$D$12+シミュレーションデータの貼り付け!R9*シミュレーション!$D$13+シミュレーションデータの貼り付け!V9*シミュレーション!$D$14+シミュレーションデータの貼り付け!Z9*シミュレーション!$D$15</f>
        <v>0</v>
      </c>
      <c r="H9" s="18">
        <v>6</v>
      </c>
      <c r="I9" s="87">
        <f>シミュレーション!$D$19</f>
        <v>0</v>
      </c>
      <c r="J9" s="87">
        <f>I9*(1+'シミュレーション計算用（変更不要）'!C9)</f>
        <v>0</v>
      </c>
      <c r="K9" s="87">
        <f>J9*(1+'シミュレーション計算用（変更不要）'!D9)</f>
        <v>0</v>
      </c>
      <c r="L9" s="87">
        <f>K9*(1+'シミュレーション計算用（変更不要）'!E9)</f>
        <v>0</v>
      </c>
      <c r="M9" s="44">
        <f>L9*(1+'シミュレーション計算用（変更不要）'!F9)</f>
        <v>0</v>
      </c>
      <c r="O9" s="18">
        <v>6</v>
      </c>
      <c r="P9" s="87">
        <f>BarriarOptionPrice(シミュレーション!$K$11,シミュレーション!$H$11,I9,1-P$3,シミュレーション!$I$11,シミュレーション!$J$11,シミュレーション!$D$10:$D$15)</f>
        <v>0</v>
      </c>
      <c r="Q9" s="87">
        <f>BarriarOptionPrice(シミュレーション!$K$11,シミュレーション!$H$11,J9,1-Q$3,シミュレーション!$I$11,シミュレーション!$J$11,シミュレーション!$D$10:$D$15)</f>
        <v>0</v>
      </c>
      <c r="R9" s="87">
        <f>BarriarOptionPrice(シミュレーション!$K$11,シミュレーション!$H$11,K9,1-R$3,シミュレーション!$I$11,シミュレーション!$J$11,シミュレーション!$D$10:$D$15)</f>
        <v>0</v>
      </c>
      <c r="S9" s="87">
        <f>BarriarOptionPrice(シミュレーション!$K$11,シミュレーション!$H$11,L9,1-S$3,シミュレーション!$I$11,シミュレーション!$J$11,シミュレーション!$D$10:$D$15)</f>
        <v>0</v>
      </c>
      <c r="T9" s="44">
        <f>BarriarOptionPrice(シミュレーション!$K$11,シミュレーション!$H$11,M9,1-T$3,シミュレーション!$I$11,シミュレーション!$J$11,シミュレーション!$D$10:$D$15)</f>
        <v>0</v>
      </c>
      <c r="V9" s="18">
        <v>6</v>
      </c>
      <c r="W9" s="87">
        <f>BarriarOptionPrice(シミュレーション!$K$12,シミュレーション!$H$12,I9,1-P$3,シミュレーション!$I$12,シミュレーション!$J$12,シミュレーション!$D$10:$D$15)</f>
        <v>0</v>
      </c>
      <c r="X9" s="87">
        <f>BarriarOptionPrice(シミュレーション!$K$12,シミュレーション!$H$12,J9,1-Q$3,シミュレーション!$I$12,シミュレーション!$J$12,シミュレーション!$D$10:$D$15)</f>
        <v>0</v>
      </c>
      <c r="Y9" s="87">
        <f>BarriarOptionPrice(シミュレーション!$K$12,シミュレーション!$H$12,K9,1-R$3,シミュレーション!$I$12,シミュレーション!$J$12,シミュレーション!$D$10:$D$15)</f>
        <v>0</v>
      </c>
      <c r="Z9" s="87">
        <f>BarriarOptionPrice(シミュレーション!$K$12,シミュレーション!$H$12,L9,1-S$3,シミュレーション!$I$12,シミュレーション!$J$12,シミュレーション!$D$10:$D$15)</f>
        <v>0</v>
      </c>
      <c r="AA9" s="44">
        <f>BarriarOptionPrice(シミュレーション!$K$12,シミュレーション!$H$12,M9,1-T$3,シミュレーション!$I$12,シミュレーション!$J$12,シミュレーション!$D$10:$D$15)</f>
        <v>0</v>
      </c>
    </row>
    <row r="10" spans="2:27" ht="14.25" x14ac:dyDescent="0.15">
      <c r="B10" s="18">
        <v>7</v>
      </c>
      <c r="C10" s="29">
        <f>シミュレーションデータの貼り付け!C10*シミュレーション!$D$10+シミュレーションデータの貼り付け!G10*シミュレーション!$D$11+シミュレーションデータの貼り付け!K10*シミュレーション!$D$12+シミュレーションデータの貼り付け!O10*シミュレーション!$D$13+シミュレーションデータの貼り付け!S10*シミュレーション!$D$14+シミュレーションデータの貼り付け!W10*シミュレーション!$D$15</f>
        <v>0</v>
      </c>
      <c r="D10" s="29">
        <f>シミュレーションデータの貼り付け!D10*シミュレーション!$D$10+シミュレーションデータの貼り付け!H10*シミュレーション!$D$11+シミュレーションデータの貼り付け!L10*シミュレーション!$D$12+シミュレーションデータの貼り付け!P10*シミュレーション!$D$13+シミュレーションデータの貼り付け!T10*シミュレーション!$D$14+シミュレーションデータの貼り付け!X10*シミュレーション!$D$15</f>
        <v>0</v>
      </c>
      <c r="E10" s="29">
        <f>シミュレーションデータの貼り付け!E10*シミュレーション!$D$10+シミュレーションデータの貼り付け!I10*シミュレーション!$D$11+シミュレーションデータの貼り付け!M10*シミュレーション!$D$12+シミュレーションデータの貼り付け!Q10*シミュレーション!$D$13+シミュレーションデータの貼り付け!U10*シミュレーション!$D$14+シミュレーションデータの貼り付け!Y10*シミュレーション!$D$15</f>
        <v>0</v>
      </c>
      <c r="F10" s="30">
        <f>シミュレーションデータの貼り付け!F10*シミュレーション!$D$10+シミュレーションデータの貼り付け!J10*シミュレーション!$D$11+シミュレーションデータの貼り付け!N10*シミュレーション!$D$12+シミュレーションデータの貼り付け!R10*シミュレーション!$D$13+シミュレーションデータの貼り付け!V10*シミュレーション!$D$14+シミュレーションデータの貼り付け!Z10*シミュレーション!$D$15</f>
        <v>0</v>
      </c>
      <c r="H10" s="18">
        <v>7</v>
      </c>
      <c r="I10" s="87">
        <f>シミュレーション!$D$19</f>
        <v>0</v>
      </c>
      <c r="J10" s="87">
        <f>I10*(1+'シミュレーション計算用（変更不要）'!C10)</f>
        <v>0</v>
      </c>
      <c r="K10" s="87">
        <f>J10*(1+'シミュレーション計算用（変更不要）'!D10)</f>
        <v>0</v>
      </c>
      <c r="L10" s="87">
        <f>K10*(1+'シミュレーション計算用（変更不要）'!E10)</f>
        <v>0</v>
      </c>
      <c r="M10" s="44">
        <f>L10*(1+'シミュレーション計算用（変更不要）'!F10)</f>
        <v>0</v>
      </c>
      <c r="O10" s="18">
        <v>7</v>
      </c>
      <c r="P10" s="87">
        <f>BarriarOptionPrice(シミュレーション!$K$11,シミュレーション!$H$11,I10,1-P$3,シミュレーション!$I$11,シミュレーション!$J$11,シミュレーション!$D$10:$D$15)</f>
        <v>0</v>
      </c>
      <c r="Q10" s="87">
        <f>BarriarOptionPrice(シミュレーション!$K$11,シミュレーション!$H$11,J10,1-Q$3,シミュレーション!$I$11,シミュレーション!$J$11,シミュレーション!$D$10:$D$15)</f>
        <v>0</v>
      </c>
      <c r="R10" s="87">
        <f>BarriarOptionPrice(シミュレーション!$K$11,シミュレーション!$H$11,K10,1-R$3,シミュレーション!$I$11,シミュレーション!$J$11,シミュレーション!$D$10:$D$15)</f>
        <v>0</v>
      </c>
      <c r="S10" s="87">
        <f>BarriarOptionPrice(シミュレーション!$K$11,シミュレーション!$H$11,L10,1-S$3,シミュレーション!$I$11,シミュレーション!$J$11,シミュレーション!$D$10:$D$15)</f>
        <v>0</v>
      </c>
      <c r="T10" s="44">
        <f>BarriarOptionPrice(シミュレーション!$K$11,シミュレーション!$H$11,M10,1-T$3,シミュレーション!$I$11,シミュレーション!$J$11,シミュレーション!$D$10:$D$15)</f>
        <v>0</v>
      </c>
      <c r="V10" s="18">
        <v>7</v>
      </c>
      <c r="W10" s="87">
        <f>BarriarOptionPrice(シミュレーション!$K$12,シミュレーション!$H$12,I10,1-P$3,シミュレーション!$I$12,シミュレーション!$J$12,シミュレーション!$D$10:$D$15)</f>
        <v>0</v>
      </c>
      <c r="X10" s="87">
        <f>BarriarOptionPrice(シミュレーション!$K$12,シミュレーション!$H$12,J10,1-Q$3,シミュレーション!$I$12,シミュレーション!$J$12,シミュレーション!$D$10:$D$15)</f>
        <v>0</v>
      </c>
      <c r="Y10" s="87">
        <f>BarriarOptionPrice(シミュレーション!$K$12,シミュレーション!$H$12,K10,1-R$3,シミュレーション!$I$12,シミュレーション!$J$12,シミュレーション!$D$10:$D$15)</f>
        <v>0</v>
      </c>
      <c r="Z10" s="87">
        <f>BarriarOptionPrice(シミュレーション!$K$12,シミュレーション!$H$12,L10,1-S$3,シミュレーション!$I$12,シミュレーション!$J$12,シミュレーション!$D$10:$D$15)</f>
        <v>0</v>
      </c>
      <c r="AA10" s="44">
        <f>BarriarOptionPrice(シミュレーション!$K$12,シミュレーション!$H$12,M10,1-T$3,シミュレーション!$I$12,シミュレーション!$J$12,シミュレーション!$D$10:$D$15)</f>
        <v>0</v>
      </c>
    </row>
    <row r="11" spans="2:27" ht="14.25" x14ac:dyDescent="0.15">
      <c r="B11" s="18">
        <v>8</v>
      </c>
      <c r="C11" s="29">
        <f>シミュレーションデータの貼り付け!C11*シミュレーション!$D$10+シミュレーションデータの貼り付け!G11*シミュレーション!$D$11+シミュレーションデータの貼り付け!K11*シミュレーション!$D$12+シミュレーションデータの貼り付け!O11*シミュレーション!$D$13+シミュレーションデータの貼り付け!S11*シミュレーション!$D$14+シミュレーションデータの貼り付け!W11*シミュレーション!$D$15</f>
        <v>0</v>
      </c>
      <c r="D11" s="29">
        <f>シミュレーションデータの貼り付け!D11*シミュレーション!$D$10+シミュレーションデータの貼り付け!H11*シミュレーション!$D$11+シミュレーションデータの貼り付け!L11*シミュレーション!$D$12+シミュレーションデータの貼り付け!P11*シミュレーション!$D$13+シミュレーションデータの貼り付け!T11*シミュレーション!$D$14+シミュレーションデータの貼り付け!X11*シミュレーション!$D$15</f>
        <v>0</v>
      </c>
      <c r="E11" s="29">
        <f>シミュレーションデータの貼り付け!E11*シミュレーション!$D$10+シミュレーションデータの貼り付け!I11*シミュレーション!$D$11+シミュレーションデータの貼り付け!M11*シミュレーション!$D$12+シミュレーションデータの貼り付け!Q11*シミュレーション!$D$13+シミュレーションデータの貼り付け!U11*シミュレーション!$D$14+シミュレーションデータの貼り付け!Y11*シミュレーション!$D$15</f>
        <v>0</v>
      </c>
      <c r="F11" s="30">
        <f>シミュレーションデータの貼り付け!F11*シミュレーション!$D$10+シミュレーションデータの貼り付け!J11*シミュレーション!$D$11+シミュレーションデータの貼り付け!N11*シミュレーション!$D$12+シミュレーションデータの貼り付け!R11*シミュレーション!$D$13+シミュレーションデータの貼り付け!V11*シミュレーション!$D$14+シミュレーションデータの貼り付け!Z11*シミュレーション!$D$15</f>
        <v>0</v>
      </c>
      <c r="H11" s="18">
        <v>8</v>
      </c>
      <c r="I11" s="87">
        <f>シミュレーション!$D$19</f>
        <v>0</v>
      </c>
      <c r="J11" s="87">
        <f>I11*(1+'シミュレーション計算用（変更不要）'!C11)</f>
        <v>0</v>
      </c>
      <c r="K11" s="87">
        <f>J11*(1+'シミュレーション計算用（変更不要）'!D11)</f>
        <v>0</v>
      </c>
      <c r="L11" s="87">
        <f>K11*(1+'シミュレーション計算用（変更不要）'!E11)</f>
        <v>0</v>
      </c>
      <c r="M11" s="44">
        <f>L11*(1+'シミュレーション計算用（変更不要）'!F11)</f>
        <v>0</v>
      </c>
      <c r="O11" s="18">
        <v>8</v>
      </c>
      <c r="P11" s="87">
        <f>BarriarOptionPrice(シミュレーション!$K$11,シミュレーション!$H$11,I11,1-P$3,シミュレーション!$I$11,シミュレーション!$J$11,シミュレーション!$D$10:$D$15)</f>
        <v>0</v>
      </c>
      <c r="Q11" s="87">
        <f>BarriarOptionPrice(シミュレーション!$K$11,シミュレーション!$H$11,J11,1-Q$3,シミュレーション!$I$11,シミュレーション!$J$11,シミュレーション!$D$10:$D$15)</f>
        <v>0</v>
      </c>
      <c r="R11" s="87">
        <f>BarriarOptionPrice(シミュレーション!$K$11,シミュレーション!$H$11,K11,1-R$3,シミュレーション!$I$11,シミュレーション!$J$11,シミュレーション!$D$10:$D$15)</f>
        <v>0</v>
      </c>
      <c r="S11" s="87">
        <f>BarriarOptionPrice(シミュレーション!$K$11,シミュレーション!$H$11,L11,1-S$3,シミュレーション!$I$11,シミュレーション!$J$11,シミュレーション!$D$10:$D$15)</f>
        <v>0</v>
      </c>
      <c r="T11" s="44">
        <f>BarriarOptionPrice(シミュレーション!$K$11,シミュレーション!$H$11,M11,1-T$3,シミュレーション!$I$11,シミュレーション!$J$11,シミュレーション!$D$10:$D$15)</f>
        <v>0</v>
      </c>
      <c r="V11" s="18">
        <v>8</v>
      </c>
      <c r="W11" s="87">
        <f>BarriarOptionPrice(シミュレーション!$K$12,シミュレーション!$H$12,I11,1-P$3,シミュレーション!$I$12,シミュレーション!$J$12,シミュレーション!$D$10:$D$15)</f>
        <v>0</v>
      </c>
      <c r="X11" s="87">
        <f>BarriarOptionPrice(シミュレーション!$K$12,シミュレーション!$H$12,J11,1-Q$3,シミュレーション!$I$12,シミュレーション!$J$12,シミュレーション!$D$10:$D$15)</f>
        <v>0</v>
      </c>
      <c r="Y11" s="87">
        <f>BarriarOptionPrice(シミュレーション!$K$12,シミュレーション!$H$12,K11,1-R$3,シミュレーション!$I$12,シミュレーション!$J$12,シミュレーション!$D$10:$D$15)</f>
        <v>0</v>
      </c>
      <c r="Z11" s="87">
        <f>BarriarOptionPrice(シミュレーション!$K$12,シミュレーション!$H$12,L11,1-S$3,シミュレーション!$I$12,シミュレーション!$J$12,シミュレーション!$D$10:$D$15)</f>
        <v>0</v>
      </c>
      <c r="AA11" s="44">
        <f>BarriarOptionPrice(シミュレーション!$K$12,シミュレーション!$H$12,M11,1-T$3,シミュレーション!$I$12,シミュレーション!$J$12,シミュレーション!$D$10:$D$15)</f>
        <v>0</v>
      </c>
    </row>
    <row r="12" spans="2:27" ht="14.25" x14ac:dyDescent="0.15">
      <c r="B12" s="18">
        <v>9</v>
      </c>
      <c r="C12" s="29">
        <f>シミュレーションデータの貼り付け!C12*シミュレーション!$D$10+シミュレーションデータの貼り付け!G12*シミュレーション!$D$11+シミュレーションデータの貼り付け!K12*シミュレーション!$D$12+シミュレーションデータの貼り付け!O12*シミュレーション!$D$13+シミュレーションデータの貼り付け!S12*シミュレーション!$D$14+シミュレーションデータの貼り付け!W12*シミュレーション!$D$15</f>
        <v>0</v>
      </c>
      <c r="D12" s="29">
        <f>シミュレーションデータの貼り付け!D12*シミュレーション!$D$10+シミュレーションデータの貼り付け!H12*シミュレーション!$D$11+シミュレーションデータの貼り付け!L12*シミュレーション!$D$12+シミュレーションデータの貼り付け!P12*シミュレーション!$D$13+シミュレーションデータの貼り付け!T12*シミュレーション!$D$14+シミュレーションデータの貼り付け!X12*シミュレーション!$D$15</f>
        <v>0</v>
      </c>
      <c r="E12" s="29">
        <f>シミュレーションデータの貼り付け!E12*シミュレーション!$D$10+シミュレーションデータの貼り付け!I12*シミュレーション!$D$11+シミュレーションデータの貼り付け!M12*シミュレーション!$D$12+シミュレーションデータの貼り付け!Q12*シミュレーション!$D$13+シミュレーションデータの貼り付け!U12*シミュレーション!$D$14+シミュレーションデータの貼り付け!Y12*シミュレーション!$D$15</f>
        <v>0</v>
      </c>
      <c r="F12" s="30">
        <f>シミュレーションデータの貼り付け!F12*シミュレーション!$D$10+シミュレーションデータの貼り付け!J12*シミュレーション!$D$11+シミュレーションデータの貼り付け!N12*シミュレーション!$D$12+シミュレーションデータの貼り付け!R12*シミュレーション!$D$13+シミュレーションデータの貼り付け!V12*シミュレーション!$D$14+シミュレーションデータの貼り付け!Z12*シミュレーション!$D$15</f>
        <v>0</v>
      </c>
      <c r="H12" s="18">
        <v>9</v>
      </c>
      <c r="I12" s="87">
        <f>シミュレーション!$D$19</f>
        <v>0</v>
      </c>
      <c r="J12" s="87">
        <f>I12*(1+'シミュレーション計算用（変更不要）'!C12)</f>
        <v>0</v>
      </c>
      <c r="K12" s="87">
        <f>J12*(1+'シミュレーション計算用（変更不要）'!D12)</f>
        <v>0</v>
      </c>
      <c r="L12" s="87">
        <f>K12*(1+'シミュレーション計算用（変更不要）'!E12)</f>
        <v>0</v>
      </c>
      <c r="M12" s="44">
        <f>L12*(1+'シミュレーション計算用（変更不要）'!F12)</f>
        <v>0</v>
      </c>
      <c r="O12" s="18">
        <v>9</v>
      </c>
      <c r="P12" s="87">
        <f>BarriarOptionPrice(シミュレーション!$K$11,シミュレーション!$H$11,I12,1-P$3,シミュレーション!$I$11,シミュレーション!$J$11,シミュレーション!$D$10:$D$15)</f>
        <v>0</v>
      </c>
      <c r="Q12" s="87">
        <f>BarriarOptionPrice(シミュレーション!$K$11,シミュレーション!$H$11,J12,1-Q$3,シミュレーション!$I$11,シミュレーション!$J$11,シミュレーション!$D$10:$D$15)</f>
        <v>0</v>
      </c>
      <c r="R12" s="87">
        <f>BarriarOptionPrice(シミュレーション!$K$11,シミュレーション!$H$11,K12,1-R$3,シミュレーション!$I$11,シミュレーション!$J$11,シミュレーション!$D$10:$D$15)</f>
        <v>0</v>
      </c>
      <c r="S12" s="87">
        <f>BarriarOptionPrice(シミュレーション!$K$11,シミュレーション!$H$11,L12,1-S$3,シミュレーション!$I$11,シミュレーション!$J$11,シミュレーション!$D$10:$D$15)</f>
        <v>0</v>
      </c>
      <c r="T12" s="44">
        <f>BarriarOptionPrice(シミュレーション!$K$11,シミュレーション!$H$11,M12,1-T$3,シミュレーション!$I$11,シミュレーション!$J$11,シミュレーション!$D$10:$D$15)</f>
        <v>0</v>
      </c>
      <c r="V12" s="18">
        <v>9</v>
      </c>
      <c r="W12" s="87">
        <f>BarriarOptionPrice(シミュレーション!$K$12,シミュレーション!$H$12,I12,1-P$3,シミュレーション!$I$12,シミュレーション!$J$12,シミュレーション!$D$10:$D$15)</f>
        <v>0</v>
      </c>
      <c r="X12" s="87">
        <f>BarriarOptionPrice(シミュレーション!$K$12,シミュレーション!$H$12,J12,1-Q$3,シミュレーション!$I$12,シミュレーション!$J$12,シミュレーション!$D$10:$D$15)</f>
        <v>0</v>
      </c>
      <c r="Y12" s="87">
        <f>BarriarOptionPrice(シミュレーション!$K$12,シミュレーション!$H$12,K12,1-R$3,シミュレーション!$I$12,シミュレーション!$J$12,シミュレーション!$D$10:$D$15)</f>
        <v>0</v>
      </c>
      <c r="Z12" s="87">
        <f>BarriarOptionPrice(シミュレーション!$K$12,シミュレーション!$H$12,L12,1-S$3,シミュレーション!$I$12,シミュレーション!$J$12,シミュレーション!$D$10:$D$15)</f>
        <v>0</v>
      </c>
      <c r="AA12" s="44">
        <f>BarriarOptionPrice(シミュレーション!$K$12,シミュレーション!$H$12,M12,1-T$3,シミュレーション!$I$12,シミュレーション!$J$12,シミュレーション!$D$10:$D$15)</f>
        <v>0</v>
      </c>
    </row>
    <row r="13" spans="2:27" ht="14.25" x14ac:dyDescent="0.15">
      <c r="B13" s="18">
        <v>10</v>
      </c>
      <c r="C13" s="29">
        <f>シミュレーションデータの貼り付け!C13*シミュレーション!$D$10+シミュレーションデータの貼り付け!G13*シミュレーション!$D$11+シミュレーションデータの貼り付け!K13*シミュレーション!$D$12+シミュレーションデータの貼り付け!O13*シミュレーション!$D$13+シミュレーションデータの貼り付け!S13*シミュレーション!$D$14+シミュレーションデータの貼り付け!W13*シミュレーション!$D$15</f>
        <v>0</v>
      </c>
      <c r="D13" s="29">
        <f>シミュレーションデータの貼り付け!D13*シミュレーション!$D$10+シミュレーションデータの貼り付け!H13*シミュレーション!$D$11+シミュレーションデータの貼り付け!L13*シミュレーション!$D$12+シミュレーションデータの貼り付け!P13*シミュレーション!$D$13+シミュレーションデータの貼り付け!T13*シミュレーション!$D$14+シミュレーションデータの貼り付け!X13*シミュレーション!$D$15</f>
        <v>0</v>
      </c>
      <c r="E13" s="29">
        <f>シミュレーションデータの貼り付け!E13*シミュレーション!$D$10+シミュレーションデータの貼り付け!I13*シミュレーション!$D$11+シミュレーションデータの貼り付け!M13*シミュレーション!$D$12+シミュレーションデータの貼り付け!Q13*シミュレーション!$D$13+シミュレーションデータの貼り付け!U13*シミュレーション!$D$14+シミュレーションデータの貼り付け!Y13*シミュレーション!$D$15</f>
        <v>0</v>
      </c>
      <c r="F13" s="30">
        <f>シミュレーションデータの貼り付け!F13*シミュレーション!$D$10+シミュレーションデータの貼り付け!J13*シミュレーション!$D$11+シミュレーションデータの貼り付け!N13*シミュレーション!$D$12+シミュレーションデータの貼り付け!R13*シミュレーション!$D$13+シミュレーションデータの貼り付け!V13*シミュレーション!$D$14+シミュレーションデータの貼り付け!Z13*シミュレーション!$D$15</f>
        <v>0</v>
      </c>
      <c r="H13" s="18">
        <v>10</v>
      </c>
      <c r="I13" s="87">
        <f>シミュレーション!$D$19</f>
        <v>0</v>
      </c>
      <c r="J13" s="87">
        <f>I13*(1+'シミュレーション計算用（変更不要）'!C13)</f>
        <v>0</v>
      </c>
      <c r="K13" s="87">
        <f>J13*(1+'シミュレーション計算用（変更不要）'!D13)</f>
        <v>0</v>
      </c>
      <c r="L13" s="87">
        <f>K13*(1+'シミュレーション計算用（変更不要）'!E13)</f>
        <v>0</v>
      </c>
      <c r="M13" s="44">
        <f>L13*(1+'シミュレーション計算用（変更不要）'!F13)</f>
        <v>0</v>
      </c>
      <c r="O13" s="18">
        <v>10</v>
      </c>
      <c r="P13" s="87">
        <f>BarriarOptionPrice(シミュレーション!$K$11,シミュレーション!$H$11,I13,1-P$3,シミュレーション!$I$11,シミュレーション!$J$11,シミュレーション!$D$10:$D$15)</f>
        <v>0</v>
      </c>
      <c r="Q13" s="87">
        <f>BarriarOptionPrice(シミュレーション!$K$11,シミュレーション!$H$11,J13,1-Q$3,シミュレーション!$I$11,シミュレーション!$J$11,シミュレーション!$D$10:$D$15)</f>
        <v>0</v>
      </c>
      <c r="R13" s="87">
        <f>BarriarOptionPrice(シミュレーション!$K$11,シミュレーション!$H$11,K13,1-R$3,シミュレーション!$I$11,シミュレーション!$J$11,シミュレーション!$D$10:$D$15)</f>
        <v>0</v>
      </c>
      <c r="S13" s="87">
        <f>BarriarOptionPrice(シミュレーション!$K$11,シミュレーション!$H$11,L13,1-S$3,シミュレーション!$I$11,シミュレーション!$J$11,シミュレーション!$D$10:$D$15)</f>
        <v>0</v>
      </c>
      <c r="T13" s="44">
        <f>BarriarOptionPrice(シミュレーション!$K$11,シミュレーション!$H$11,M13,1-T$3,シミュレーション!$I$11,シミュレーション!$J$11,シミュレーション!$D$10:$D$15)</f>
        <v>0</v>
      </c>
      <c r="V13" s="18">
        <v>10</v>
      </c>
      <c r="W13" s="87">
        <f>BarriarOptionPrice(シミュレーション!$K$12,シミュレーション!$H$12,I13,1-P$3,シミュレーション!$I$12,シミュレーション!$J$12,シミュレーション!$D$10:$D$15)</f>
        <v>0</v>
      </c>
      <c r="X13" s="87">
        <f>BarriarOptionPrice(シミュレーション!$K$12,シミュレーション!$H$12,J13,1-Q$3,シミュレーション!$I$12,シミュレーション!$J$12,シミュレーション!$D$10:$D$15)</f>
        <v>0</v>
      </c>
      <c r="Y13" s="87">
        <f>BarriarOptionPrice(シミュレーション!$K$12,シミュレーション!$H$12,K13,1-R$3,シミュレーション!$I$12,シミュレーション!$J$12,シミュレーション!$D$10:$D$15)</f>
        <v>0</v>
      </c>
      <c r="Z13" s="87">
        <f>BarriarOptionPrice(シミュレーション!$K$12,シミュレーション!$H$12,L13,1-S$3,シミュレーション!$I$12,シミュレーション!$J$12,シミュレーション!$D$10:$D$15)</f>
        <v>0</v>
      </c>
      <c r="AA13" s="44">
        <f>BarriarOptionPrice(シミュレーション!$K$12,シミュレーション!$H$12,M13,1-T$3,シミュレーション!$I$12,シミュレーション!$J$12,シミュレーション!$D$10:$D$15)</f>
        <v>0</v>
      </c>
    </row>
    <row r="14" spans="2:27" ht="14.25" x14ac:dyDescent="0.15">
      <c r="B14" s="18">
        <v>11</v>
      </c>
      <c r="C14" s="29">
        <f>シミュレーションデータの貼り付け!C14*シミュレーション!$D$10+シミュレーションデータの貼り付け!G14*シミュレーション!$D$11+シミュレーションデータの貼り付け!K14*シミュレーション!$D$12+シミュレーションデータの貼り付け!O14*シミュレーション!$D$13+シミュレーションデータの貼り付け!S14*シミュレーション!$D$14+シミュレーションデータの貼り付け!W14*シミュレーション!$D$15</f>
        <v>0</v>
      </c>
      <c r="D14" s="29">
        <f>シミュレーションデータの貼り付け!D14*シミュレーション!$D$10+シミュレーションデータの貼り付け!H14*シミュレーション!$D$11+シミュレーションデータの貼り付け!L14*シミュレーション!$D$12+シミュレーションデータの貼り付け!P14*シミュレーション!$D$13+シミュレーションデータの貼り付け!T14*シミュレーション!$D$14+シミュレーションデータの貼り付け!X14*シミュレーション!$D$15</f>
        <v>0</v>
      </c>
      <c r="E14" s="29">
        <f>シミュレーションデータの貼り付け!E14*シミュレーション!$D$10+シミュレーションデータの貼り付け!I14*シミュレーション!$D$11+シミュレーションデータの貼り付け!M14*シミュレーション!$D$12+シミュレーションデータの貼り付け!Q14*シミュレーション!$D$13+シミュレーションデータの貼り付け!U14*シミュレーション!$D$14+シミュレーションデータの貼り付け!Y14*シミュレーション!$D$15</f>
        <v>0</v>
      </c>
      <c r="F14" s="30">
        <f>シミュレーションデータの貼り付け!F14*シミュレーション!$D$10+シミュレーションデータの貼り付け!J14*シミュレーション!$D$11+シミュレーションデータの貼り付け!N14*シミュレーション!$D$12+シミュレーションデータの貼り付け!R14*シミュレーション!$D$13+シミュレーションデータの貼り付け!V14*シミュレーション!$D$14+シミュレーションデータの貼り付け!Z14*シミュレーション!$D$15</f>
        <v>0</v>
      </c>
      <c r="H14" s="18">
        <v>11</v>
      </c>
      <c r="I14" s="87">
        <f>シミュレーション!$D$19</f>
        <v>0</v>
      </c>
      <c r="J14" s="87">
        <f>I14*(1+'シミュレーション計算用（変更不要）'!C14)</f>
        <v>0</v>
      </c>
      <c r="K14" s="87">
        <f>J14*(1+'シミュレーション計算用（変更不要）'!D14)</f>
        <v>0</v>
      </c>
      <c r="L14" s="87">
        <f>K14*(1+'シミュレーション計算用（変更不要）'!E14)</f>
        <v>0</v>
      </c>
      <c r="M14" s="44">
        <f>L14*(1+'シミュレーション計算用（変更不要）'!F14)</f>
        <v>0</v>
      </c>
      <c r="O14" s="18">
        <v>11</v>
      </c>
      <c r="P14" s="87">
        <f>BarriarOptionPrice(シミュレーション!$K$11,シミュレーション!$H$11,I14,1-P$3,シミュレーション!$I$11,シミュレーション!$J$11,シミュレーション!$D$10:$D$15)</f>
        <v>0</v>
      </c>
      <c r="Q14" s="87">
        <f>BarriarOptionPrice(シミュレーション!$K$11,シミュレーション!$H$11,J14,1-Q$3,シミュレーション!$I$11,シミュレーション!$J$11,シミュレーション!$D$10:$D$15)</f>
        <v>0</v>
      </c>
      <c r="R14" s="87">
        <f>BarriarOptionPrice(シミュレーション!$K$11,シミュレーション!$H$11,K14,1-R$3,シミュレーション!$I$11,シミュレーション!$J$11,シミュレーション!$D$10:$D$15)</f>
        <v>0</v>
      </c>
      <c r="S14" s="87">
        <f>BarriarOptionPrice(シミュレーション!$K$11,シミュレーション!$H$11,L14,1-S$3,シミュレーション!$I$11,シミュレーション!$J$11,シミュレーション!$D$10:$D$15)</f>
        <v>0</v>
      </c>
      <c r="T14" s="44">
        <f>BarriarOptionPrice(シミュレーション!$K$11,シミュレーション!$H$11,M14,1-T$3,シミュレーション!$I$11,シミュレーション!$J$11,シミュレーション!$D$10:$D$15)</f>
        <v>0</v>
      </c>
      <c r="V14" s="18">
        <v>11</v>
      </c>
      <c r="W14" s="87">
        <f>BarriarOptionPrice(シミュレーション!$K$12,シミュレーション!$H$12,I14,1-P$3,シミュレーション!$I$12,シミュレーション!$J$12,シミュレーション!$D$10:$D$15)</f>
        <v>0</v>
      </c>
      <c r="X14" s="87">
        <f>BarriarOptionPrice(シミュレーション!$K$12,シミュレーション!$H$12,J14,1-Q$3,シミュレーション!$I$12,シミュレーション!$J$12,シミュレーション!$D$10:$D$15)</f>
        <v>0</v>
      </c>
      <c r="Y14" s="87">
        <f>BarriarOptionPrice(シミュレーション!$K$12,シミュレーション!$H$12,K14,1-R$3,シミュレーション!$I$12,シミュレーション!$J$12,シミュレーション!$D$10:$D$15)</f>
        <v>0</v>
      </c>
      <c r="Z14" s="87">
        <f>BarriarOptionPrice(シミュレーション!$K$12,シミュレーション!$H$12,L14,1-S$3,シミュレーション!$I$12,シミュレーション!$J$12,シミュレーション!$D$10:$D$15)</f>
        <v>0</v>
      </c>
      <c r="AA14" s="44">
        <f>BarriarOptionPrice(シミュレーション!$K$12,シミュレーション!$H$12,M14,1-T$3,シミュレーション!$I$12,シミュレーション!$J$12,シミュレーション!$D$10:$D$15)</f>
        <v>0</v>
      </c>
    </row>
    <row r="15" spans="2:27" ht="14.25" x14ac:dyDescent="0.15">
      <c r="B15" s="18">
        <v>12</v>
      </c>
      <c r="C15" s="29">
        <f>シミュレーションデータの貼り付け!C15*シミュレーション!$D$10+シミュレーションデータの貼り付け!G15*シミュレーション!$D$11+シミュレーションデータの貼り付け!K15*シミュレーション!$D$12+シミュレーションデータの貼り付け!O15*シミュレーション!$D$13+シミュレーションデータの貼り付け!S15*シミュレーション!$D$14+シミュレーションデータの貼り付け!W15*シミュレーション!$D$15</f>
        <v>0</v>
      </c>
      <c r="D15" s="29">
        <f>シミュレーションデータの貼り付け!D15*シミュレーション!$D$10+シミュレーションデータの貼り付け!H15*シミュレーション!$D$11+シミュレーションデータの貼り付け!L15*シミュレーション!$D$12+シミュレーションデータの貼り付け!P15*シミュレーション!$D$13+シミュレーションデータの貼り付け!T15*シミュレーション!$D$14+シミュレーションデータの貼り付け!X15*シミュレーション!$D$15</f>
        <v>0</v>
      </c>
      <c r="E15" s="29">
        <f>シミュレーションデータの貼り付け!E15*シミュレーション!$D$10+シミュレーションデータの貼り付け!I15*シミュレーション!$D$11+シミュレーションデータの貼り付け!M15*シミュレーション!$D$12+シミュレーションデータの貼り付け!Q15*シミュレーション!$D$13+シミュレーションデータの貼り付け!U15*シミュレーション!$D$14+シミュレーションデータの貼り付け!Y15*シミュレーション!$D$15</f>
        <v>0</v>
      </c>
      <c r="F15" s="30">
        <f>シミュレーションデータの貼り付け!F15*シミュレーション!$D$10+シミュレーションデータの貼り付け!J15*シミュレーション!$D$11+シミュレーションデータの貼り付け!N15*シミュレーション!$D$12+シミュレーションデータの貼り付け!R15*シミュレーション!$D$13+シミュレーションデータの貼り付け!V15*シミュレーション!$D$14+シミュレーションデータの貼り付け!Z15*シミュレーション!$D$15</f>
        <v>0</v>
      </c>
      <c r="H15" s="18">
        <v>12</v>
      </c>
      <c r="I15" s="87">
        <f>シミュレーション!$D$19</f>
        <v>0</v>
      </c>
      <c r="J15" s="87">
        <f>I15*(1+'シミュレーション計算用（変更不要）'!C15)</f>
        <v>0</v>
      </c>
      <c r="K15" s="87">
        <f>J15*(1+'シミュレーション計算用（変更不要）'!D15)</f>
        <v>0</v>
      </c>
      <c r="L15" s="87">
        <f>K15*(1+'シミュレーション計算用（変更不要）'!E15)</f>
        <v>0</v>
      </c>
      <c r="M15" s="44">
        <f>L15*(1+'シミュレーション計算用（変更不要）'!F15)</f>
        <v>0</v>
      </c>
      <c r="O15" s="18">
        <v>12</v>
      </c>
      <c r="P15" s="87">
        <f>BarriarOptionPrice(シミュレーション!$K$11,シミュレーション!$H$11,I15,1-P$3,シミュレーション!$I$11,シミュレーション!$J$11,シミュレーション!$D$10:$D$15)</f>
        <v>0</v>
      </c>
      <c r="Q15" s="87">
        <f>BarriarOptionPrice(シミュレーション!$K$11,シミュレーション!$H$11,J15,1-Q$3,シミュレーション!$I$11,シミュレーション!$J$11,シミュレーション!$D$10:$D$15)</f>
        <v>0</v>
      </c>
      <c r="R15" s="87">
        <f>BarriarOptionPrice(シミュレーション!$K$11,シミュレーション!$H$11,K15,1-R$3,シミュレーション!$I$11,シミュレーション!$J$11,シミュレーション!$D$10:$D$15)</f>
        <v>0</v>
      </c>
      <c r="S15" s="87">
        <f>BarriarOptionPrice(シミュレーション!$K$11,シミュレーション!$H$11,L15,1-S$3,シミュレーション!$I$11,シミュレーション!$J$11,シミュレーション!$D$10:$D$15)</f>
        <v>0</v>
      </c>
      <c r="T15" s="44">
        <f>BarriarOptionPrice(シミュレーション!$K$11,シミュレーション!$H$11,M15,1-T$3,シミュレーション!$I$11,シミュレーション!$J$11,シミュレーション!$D$10:$D$15)</f>
        <v>0</v>
      </c>
      <c r="V15" s="18">
        <v>12</v>
      </c>
      <c r="W15" s="87">
        <f>BarriarOptionPrice(シミュレーション!$K$12,シミュレーション!$H$12,I15,1-P$3,シミュレーション!$I$12,シミュレーション!$J$12,シミュレーション!$D$10:$D$15)</f>
        <v>0</v>
      </c>
      <c r="X15" s="87">
        <f>BarriarOptionPrice(シミュレーション!$K$12,シミュレーション!$H$12,J15,1-Q$3,シミュレーション!$I$12,シミュレーション!$J$12,シミュレーション!$D$10:$D$15)</f>
        <v>0</v>
      </c>
      <c r="Y15" s="87">
        <f>BarriarOptionPrice(シミュレーション!$K$12,シミュレーション!$H$12,K15,1-R$3,シミュレーション!$I$12,シミュレーション!$J$12,シミュレーション!$D$10:$D$15)</f>
        <v>0</v>
      </c>
      <c r="Z15" s="87">
        <f>BarriarOptionPrice(シミュレーション!$K$12,シミュレーション!$H$12,L15,1-S$3,シミュレーション!$I$12,シミュレーション!$J$12,シミュレーション!$D$10:$D$15)</f>
        <v>0</v>
      </c>
      <c r="AA15" s="44">
        <f>BarriarOptionPrice(シミュレーション!$K$12,シミュレーション!$H$12,M15,1-T$3,シミュレーション!$I$12,シミュレーション!$J$12,シミュレーション!$D$10:$D$15)</f>
        <v>0</v>
      </c>
    </row>
    <row r="16" spans="2:27" ht="14.25" x14ac:dyDescent="0.15">
      <c r="B16" s="18">
        <v>13</v>
      </c>
      <c r="C16" s="29">
        <f>シミュレーションデータの貼り付け!C16*シミュレーション!$D$10+シミュレーションデータの貼り付け!G16*シミュレーション!$D$11+シミュレーションデータの貼り付け!K16*シミュレーション!$D$12+シミュレーションデータの貼り付け!O16*シミュレーション!$D$13+シミュレーションデータの貼り付け!S16*シミュレーション!$D$14+シミュレーションデータの貼り付け!W16*シミュレーション!$D$15</f>
        <v>0</v>
      </c>
      <c r="D16" s="29">
        <f>シミュレーションデータの貼り付け!D16*シミュレーション!$D$10+シミュレーションデータの貼り付け!H16*シミュレーション!$D$11+シミュレーションデータの貼り付け!L16*シミュレーション!$D$12+シミュレーションデータの貼り付け!P16*シミュレーション!$D$13+シミュレーションデータの貼り付け!T16*シミュレーション!$D$14+シミュレーションデータの貼り付け!X16*シミュレーション!$D$15</f>
        <v>0</v>
      </c>
      <c r="E16" s="29">
        <f>シミュレーションデータの貼り付け!E16*シミュレーション!$D$10+シミュレーションデータの貼り付け!I16*シミュレーション!$D$11+シミュレーションデータの貼り付け!M16*シミュレーション!$D$12+シミュレーションデータの貼り付け!Q16*シミュレーション!$D$13+シミュレーションデータの貼り付け!U16*シミュレーション!$D$14+シミュレーションデータの貼り付け!Y16*シミュレーション!$D$15</f>
        <v>0</v>
      </c>
      <c r="F16" s="30">
        <f>シミュレーションデータの貼り付け!F16*シミュレーション!$D$10+シミュレーションデータの貼り付け!J16*シミュレーション!$D$11+シミュレーションデータの貼り付け!N16*シミュレーション!$D$12+シミュレーションデータの貼り付け!R16*シミュレーション!$D$13+シミュレーションデータの貼り付け!V16*シミュレーション!$D$14+シミュレーションデータの貼り付け!Z16*シミュレーション!$D$15</f>
        <v>0</v>
      </c>
      <c r="H16" s="18">
        <v>13</v>
      </c>
      <c r="I16" s="87">
        <f>シミュレーション!$D$19</f>
        <v>0</v>
      </c>
      <c r="J16" s="87">
        <f>I16*(1+'シミュレーション計算用（変更不要）'!C16)</f>
        <v>0</v>
      </c>
      <c r="K16" s="87">
        <f>J16*(1+'シミュレーション計算用（変更不要）'!D16)</f>
        <v>0</v>
      </c>
      <c r="L16" s="87">
        <f>K16*(1+'シミュレーション計算用（変更不要）'!E16)</f>
        <v>0</v>
      </c>
      <c r="M16" s="44">
        <f>L16*(1+'シミュレーション計算用（変更不要）'!F16)</f>
        <v>0</v>
      </c>
      <c r="O16" s="18">
        <v>13</v>
      </c>
      <c r="P16" s="87">
        <f>BarriarOptionPrice(シミュレーション!$K$11,シミュレーション!$H$11,I16,1-P$3,シミュレーション!$I$11,シミュレーション!$J$11,シミュレーション!$D$10:$D$15)</f>
        <v>0</v>
      </c>
      <c r="Q16" s="87">
        <f>BarriarOptionPrice(シミュレーション!$K$11,シミュレーション!$H$11,J16,1-Q$3,シミュレーション!$I$11,シミュレーション!$J$11,シミュレーション!$D$10:$D$15)</f>
        <v>0</v>
      </c>
      <c r="R16" s="87">
        <f>BarriarOptionPrice(シミュレーション!$K$11,シミュレーション!$H$11,K16,1-R$3,シミュレーション!$I$11,シミュレーション!$J$11,シミュレーション!$D$10:$D$15)</f>
        <v>0</v>
      </c>
      <c r="S16" s="87">
        <f>BarriarOptionPrice(シミュレーション!$K$11,シミュレーション!$H$11,L16,1-S$3,シミュレーション!$I$11,シミュレーション!$J$11,シミュレーション!$D$10:$D$15)</f>
        <v>0</v>
      </c>
      <c r="T16" s="44">
        <f>BarriarOptionPrice(シミュレーション!$K$11,シミュレーション!$H$11,M16,1-T$3,シミュレーション!$I$11,シミュレーション!$J$11,シミュレーション!$D$10:$D$15)</f>
        <v>0</v>
      </c>
      <c r="V16" s="18">
        <v>13</v>
      </c>
      <c r="W16" s="87">
        <f>BarriarOptionPrice(シミュレーション!$K$12,シミュレーション!$H$12,I16,1-P$3,シミュレーション!$I$12,シミュレーション!$J$12,シミュレーション!$D$10:$D$15)</f>
        <v>0</v>
      </c>
      <c r="X16" s="87">
        <f>BarriarOptionPrice(シミュレーション!$K$12,シミュレーション!$H$12,J16,1-Q$3,シミュレーション!$I$12,シミュレーション!$J$12,シミュレーション!$D$10:$D$15)</f>
        <v>0</v>
      </c>
      <c r="Y16" s="87">
        <f>BarriarOptionPrice(シミュレーション!$K$12,シミュレーション!$H$12,K16,1-R$3,シミュレーション!$I$12,シミュレーション!$J$12,シミュレーション!$D$10:$D$15)</f>
        <v>0</v>
      </c>
      <c r="Z16" s="87">
        <f>BarriarOptionPrice(シミュレーション!$K$12,シミュレーション!$H$12,L16,1-S$3,シミュレーション!$I$12,シミュレーション!$J$12,シミュレーション!$D$10:$D$15)</f>
        <v>0</v>
      </c>
      <c r="AA16" s="44">
        <f>BarriarOptionPrice(シミュレーション!$K$12,シミュレーション!$H$12,M16,1-T$3,シミュレーション!$I$12,シミュレーション!$J$12,シミュレーション!$D$10:$D$15)</f>
        <v>0</v>
      </c>
    </row>
    <row r="17" spans="2:27" ht="14.25" x14ac:dyDescent="0.15">
      <c r="B17" s="18">
        <v>14</v>
      </c>
      <c r="C17" s="29">
        <f>シミュレーションデータの貼り付け!C17*シミュレーション!$D$10+シミュレーションデータの貼り付け!G17*シミュレーション!$D$11+シミュレーションデータの貼り付け!K17*シミュレーション!$D$12+シミュレーションデータの貼り付け!O17*シミュレーション!$D$13+シミュレーションデータの貼り付け!S17*シミュレーション!$D$14+シミュレーションデータの貼り付け!W17*シミュレーション!$D$15</f>
        <v>0</v>
      </c>
      <c r="D17" s="29">
        <f>シミュレーションデータの貼り付け!D17*シミュレーション!$D$10+シミュレーションデータの貼り付け!H17*シミュレーション!$D$11+シミュレーションデータの貼り付け!L17*シミュレーション!$D$12+シミュレーションデータの貼り付け!P17*シミュレーション!$D$13+シミュレーションデータの貼り付け!T17*シミュレーション!$D$14+シミュレーションデータの貼り付け!X17*シミュレーション!$D$15</f>
        <v>0</v>
      </c>
      <c r="E17" s="29">
        <f>シミュレーションデータの貼り付け!E17*シミュレーション!$D$10+シミュレーションデータの貼り付け!I17*シミュレーション!$D$11+シミュレーションデータの貼り付け!M17*シミュレーション!$D$12+シミュレーションデータの貼り付け!Q17*シミュレーション!$D$13+シミュレーションデータの貼り付け!U17*シミュレーション!$D$14+シミュレーションデータの貼り付け!Y17*シミュレーション!$D$15</f>
        <v>0</v>
      </c>
      <c r="F17" s="30">
        <f>シミュレーションデータの貼り付け!F17*シミュレーション!$D$10+シミュレーションデータの貼り付け!J17*シミュレーション!$D$11+シミュレーションデータの貼り付け!N17*シミュレーション!$D$12+シミュレーションデータの貼り付け!R17*シミュレーション!$D$13+シミュレーションデータの貼り付け!V17*シミュレーション!$D$14+シミュレーションデータの貼り付け!Z17*シミュレーション!$D$15</f>
        <v>0</v>
      </c>
      <c r="H17" s="18">
        <v>14</v>
      </c>
      <c r="I17" s="87">
        <f>シミュレーション!$D$19</f>
        <v>0</v>
      </c>
      <c r="J17" s="87">
        <f>I17*(1+'シミュレーション計算用（変更不要）'!C17)</f>
        <v>0</v>
      </c>
      <c r="K17" s="87">
        <f>J17*(1+'シミュレーション計算用（変更不要）'!D17)</f>
        <v>0</v>
      </c>
      <c r="L17" s="87">
        <f>K17*(1+'シミュレーション計算用（変更不要）'!E17)</f>
        <v>0</v>
      </c>
      <c r="M17" s="44">
        <f>L17*(1+'シミュレーション計算用（変更不要）'!F17)</f>
        <v>0</v>
      </c>
      <c r="O17" s="18">
        <v>14</v>
      </c>
      <c r="P17" s="87">
        <f>BarriarOptionPrice(シミュレーション!$K$11,シミュレーション!$H$11,I17,1-P$3,シミュレーション!$I$11,シミュレーション!$J$11,シミュレーション!$D$10:$D$15)</f>
        <v>0</v>
      </c>
      <c r="Q17" s="87">
        <f>BarriarOptionPrice(シミュレーション!$K$11,シミュレーション!$H$11,J17,1-Q$3,シミュレーション!$I$11,シミュレーション!$J$11,シミュレーション!$D$10:$D$15)</f>
        <v>0</v>
      </c>
      <c r="R17" s="87">
        <f>BarriarOptionPrice(シミュレーション!$K$11,シミュレーション!$H$11,K17,1-R$3,シミュレーション!$I$11,シミュレーション!$J$11,シミュレーション!$D$10:$D$15)</f>
        <v>0</v>
      </c>
      <c r="S17" s="87">
        <f>BarriarOptionPrice(シミュレーション!$K$11,シミュレーション!$H$11,L17,1-S$3,シミュレーション!$I$11,シミュレーション!$J$11,シミュレーション!$D$10:$D$15)</f>
        <v>0</v>
      </c>
      <c r="T17" s="44">
        <f>BarriarOptionPrice(シミュレーション!$K$11,シミュレーション!$H$11,M17,1-T$3,シミュレーション!$I$11,シミュレーション!$J$11,シミュレーション!$D$10:$D$15)</f>
        <v>0</v>
      </c>
      <c r="V17" s="18">
        <v>14</v>
      </c>
      <c r="W17" s="87">
        <f>BarriarOptionPrice(シミュレーション!$K$12,シミュレーション!$H$12,I17,1-P$3,シミュレーション!$I$12,シミュレーション!$J$12,シミュレーション!$D$10:$D$15)</f>
        <v>0</v>
      </c>
      <c r="X17" s="87">
        <f>BarriarOptionPrice(シミュレーション!$K$12,シミュレーション!$H$12,J17,1-Q$3,シミュレーション!$I$12,シミュレーション!$J$12,シミュレーション!$D$10:$D$15)</f>
        <v>0</v>
      </c>
      <c r="Y17" s="87">
        <f>BarriarOptionPrice(シミュレーション!$K$12,シミュレーション!$H$12,K17,1-R$3,シミュレーション!$I$12,シミュレーション!$J$12,シミュレーション!$D$10:$D$15)</f>
        <v>0</v>
      </c>
      <c r="Z17" s="87">
        <f>BarriarOptionPrice(シミュレーション!$K$12,シミュレーション!$H$12,L17,1-S$3,シミュレーション!$I$12,シミュレーション!$J$12,シミュレーション!$D$10:$D$15)</f>
        <v>0</v>
      </c>
      <c r="AA17" s="44">
        <f>BarriarOptionPrice(シミュレーション!$K$12,シミュレーション!$H$12,M17,1-T$3,シミュレーション!$I$12,シミュレーション!$J$12,シミュレーション!$D$10:$D$15)</f>
        <v>0</v>
      </c>
    </row>
    <row r="18" spans="2:27" ht="14.25" x14ac:dyDescent="0.15">
      <c r="B18" s="18">
        <v>15</v>
      </c>
      <c r="C18" s="29">
        <f>シミュレーションデータの貼り付け!C18*シミュレーション!$D$10+シミュレーションデータの貼り付け!G18*シミュレーション!$D$11+シミュレーションデータの貼り付け!K18*シミュレーション!$D$12+シミュレーションデータの貼り付け!O18*シミュレーション!$D$13+シミュレーションデータの貼り付け!S18*シミュレーション!$D$14+シミュレーションデータの貼り付け!W18*シミュレーション!$D$15</f>
        <v>0</v>
      </c>
      <c r="D18" s="29">
        <f>シミュレーションデータの貼り付け!D18*シミュレーション!$D$10+シミュレーションデータの貼り付け!H18*シミュレーション!$D$11+シミュレーションデータの貼り付け!L18*シミュレーション!$D$12+シミュレーションデータの貼り付け!P18*シミュレーション!$D$13+シミュレーションデータの貼り付け!T18*シミュレーション!$D$14+シミュレーションデータの貼り付け!X18*シミュレーション!$D$15</f>
        <v>0</v>
      </c>
      <c r="E18" s="29">
        <f>シミュレーションデータの貼り付け!E18*シミュレーション!$D$10+シミュレーションデータの貼り付け!I18*シミュレーション!$D$11+シミュレーションデータの貼り付け!M18*シミュレーション!$D$12+シミュレーションデータの貼り付け!Q18*シミュレーション!$D$13+シミュレーションデータの貼り付け!U18*シミュレーション!$D$14+シミュレーションデータの貼り付け!Y18*シミュレーション!$D$15</f>
        <v>0</v>
      </c>
      <c r="F18" s="30">
        <f>シミュレーションデータの貼り付け!F18*シミュレーション!$D$10+シミュレーションデータの貼り付け!J18*シミュレーション!$D$11+シミュレーションデータの貼り付け!N18*シミュレーション!$D$12+シミュレーションデータの貼り付け!R18*シミュレーション!$D$13+シミュレーションデータの貼り付け!V18*シミュレーション!$D$14+シミュレーションデータの貼り付け!Z18*シミュレーション!$D$15</f>
        <v>0</v>
      </c>
      <c r="H18" s="18">
        <v>15</v>
      </c>
      <c r="I18" s="87">
        <f>シミュレーション!$D$19</f>
        <v>0</v>
      </c>
      <c r="J18" s="87">
        <f>I18*(1+'シミュレーション計算用（変更不要）'!C18)</f>
        <v>0</v>
      </c>
      <c r="K18" s="87">
        <f>J18*(1+'シミュレーション計算用（変更不要）'!D18)</f>
        <v>0</v>
      </c>
      <c r="L18" s="87">
        <f>K18*(1+'シミュレーション計算用（変更不要）'!E18)</f>
        <v>0</v>
      </c>
      <c r="M18" s="44">
        <f>L18*(1+'シミュレーション計算用（変更不要）'!F18)</f>
        <v>0</v>
      </c>
      <c r="O18" s="18">
        <v>15</v>
      </c>
      <c r="P18" s="87">
        <f>BarriarOptionPrice(シミュレーション!$K$11,シミュレーション!$H$11,I18,1-P$3,シミュレーション!$I$11,シミュレーション!$J$11,シミュレーション!$D$10:$D$15)</f>
        <v>0</v>
      </c>
      <c r="Q18" s="87">
        <f>BarriarOptionPrice(シミュレーション!$K$11,シミュレーション!$H$11,J18,1-Q$3,シミュレーション!$I$11,シミュレーション!$J$11,シミュレーション!$D$10:$D$15)</f>
        <v>0</v>
      </c>
      <c r="R18" s="87">
        <f>BarriarOptionPrice(シミュレーション!$K$11,シミュレーション!$H$11,K18,1-R$3,シミュレーション!$I$11,シミュレーション!$J$11,シミュレーション!$D$10:$D$15)</f>
        <v>0</v>
      </c>
      <c r="S18" s="87">
        <f>BarriarOptionPrice(シミュレーション!$K$11,シミュレーション!$H$11,L18,1-S$3,シミュレーション!$I$11,シミュレーション!$J$11,シミュレーション!$D$10:$D$15)</f>
        <v>0</v>
      </c>
      <c r="T18" s="44">
        <f>BarriarOptionPrice(シミュレーション!$K$11,シミュレーション!$H$11,M18,1-T$3,シミュレーション!$I$11,シミュレーション!$J$11,シミュレーション!$D$10:$D$15)</f>
        <v>0</v>
      </c>
      <c r="V18" s="18">
        <v>15</v>
      </c>
      <c r="W18" s="87">
        <f>BarriarOptionPrice(シミュレーション!$K$12,シミュレーション!$H$12,I18,1-P$3,シミュレーション!$I$12,シミュレーション!$J$12,シミュレーション!$D$10:$D$15)</f>
        <v>0</v>
      </c>
      <c r="X18" s="87">
        <f>BarriarOptionPrice(シミュレーション!$K$12,シミュレーション!$H$12,J18,1-Q$3,シミュレーション!$I$12,シミュレーション!$J$12,シミュレーション!$D$10:$D$15)</f>
        <v>0</v>
      </c>
      <c r="Y18" s="87">
        <f>BarriarOptionPrice(シミュレーション!$K$12,シミュレーション!$H$12,K18,1-R$3,シミュレーション!$I$12,シミュレーション!$J$12,シミュレーション!$D$10:$D$15)</f>
        <v>0</v>
      </c>
      <c r="Z18" s="87">
        <f>BarriarOptionPrice(シミュレーション!$K$12,シミュレーション!$H$12,L18,1-S$3,シミュレーション!$I$12,シミュレーション!$J$12,シミュレーション!$D$10:$D$15)</f>
        <v>0</v>
      </c>
      <c r="AA18" s="44">
        <f>BarriarOptionPrice(シミュレーション!$K$12,シミュレーション!$H$12,M18,1-T$3,シミュレーション!$I$12,シミュレーション!$J$12,シミュレーション!$D$10:$D$15)</f>
        <v>0</v>
      </c>
    </row>
    <row r="19" spans="2:27" ht="14.25" x14ac:dyDescent="0.15">
      <c r="B19" s="18">
        <v>16</v>
      </c>
      <c r="C19" s="29">
        <f>シミュレーションデータの貼り付け!C19*シミュレーション!$D$10+シミュレーションデータの貼り付け!G19*シミュレーション!$D$11+シミュレーションデータの貼り付け!K19*シミュレーション!$D$12+シミュレーションデータの貼り付け!O19*シミュレーション!$D$13+シミュレーションデータの貼り付け!S19*シミュレーション!$D$14+シミュレーションデータの貼り付け!W19*シミュレーション!$D$15</f>
        <v>0</v>
      </c>
      <c r="D19" s="29">
        <f>シミュレーションデータの貼り付け!D19*シミュレーション!$D$10+シミュレーションデータの貼り付け!H19*シミュレーション!$D$11+シミュレーションデータの貼り付け!L19*シミュレーション!$D$12+シミュレーションデータの貼り付け!P19*シミュレーション!$D$13+シミュレーションデータの貼り付け!T19*シミュレーション!$D$14+シミュレーションデータの貼り付け!X19*シミュレーション!$D$15</f>
        <v>0</v>
      </c>
      <c r="E19" s="29">
        <f>シミュレーションデータの貼り付け!E19*シミュレーション!$D$10+シミュレーションデータの貼り付け!I19*シミュレーション!$D$11+シミュレーションデータの貼り付け!M19*シミュレーション!$D$12+シミュレーションデータの貼り付け!Q19*シミュレーション!$D$13+シミュレーションデータの貼り付け!U19*シミュレーション!$D$14+シミュレーションデータの貼り付け!Y19*シミュレーション!$D$15</f>
        <v>0</v>
      </c>
      <c r="F19" s="30">
        <f>シミュレーションデータの貼り付け!F19*シミュレーション!$D$10+シミュレーションデータの貼り付け!J19*シミュレーション!$D$11+シミュレーションデータの貼り付け!N19*シミュレーション!$D$12+シミュレーションデータの貼り付け!R19*シミュレーション!$D$13+シミュレーションデータの貼り付け!V19*シミュレーション!$D$14+シミュレーションデータの貼り付け!Z19*シミュレーション!$D$15</f>
        <v>0</v>
      </c>
      <c r="H19" s="18">
        <v>16</v>
      </c>
      <c r="I19" s="87">
        <f>シミュレーション!$D$19</f>
        <v>0</v>
      </c>
      <c r="J19" s="87">
        <f>I19*(1+'シミュレーション計算用（変更不要）'!C19)</f>
        <v>0</v>
      </c>
      <c r="K19" s="87">
        <f>J19*(1+'シミュレーション計算用（変更不要）'!D19)</f>
        <v>0</v>
      </c>
      <c r="L19" s="87">
        <f>K19*(1+'シミュレーション計算用（変更不要）'!E19)</f>
        <v>0</v>
      </c>
      <c r="M19" s="44">
        <f>L19*(1+'シミュレーション計算用（変更不要）'!F19)</f>
        <v>0</v>
      </c>
      <c r="O19" s="18">
        <v>16</v>
      </c>
      <c r="P19" s="87">
        <f>BarriarOptionPrice(シミュレーション!$K$11,シミュレーション!$H$11,I19,1-P$3,シミュレーション!$I$11,シミュレーション!$J$11,シミュレーション!$D$10:$D$15)</f>
        <v>0</v>
      </c>
      <c r="Q19" s="87">
        <f>BarriarOptionPrice(シミュレーション!$K$11,シミュレーション!$H$11,J19,1-Q$3,シミュレーション!$I$11,シミュレーション!$J$11,シミュレーション!$D$10:$D$15)</f>
        <v>0</v>
      </c>
      <c r="R19" s="87">
        <f>BarriarOptionPrice(シミュレーション!$K$11,シミュレーション!$H$11,K19,1-R$3,シミュレーション!$I$11,シミュレーション!$J$11,シミュレーション!$D$10:$D$15)</f>
        <v>0</v>
      </c>
      <c r="S19" s="87">
        <f>BarriarOptionPrice(シミュレーション!$K$11,シミュレーション!$H$11,L19,1-S$3,シミュレーション!$I$11,シミュレーション!$J$11,シミュレーション!$D$10:$D$15)</f>
        <v>0</v>
      </c>
      <c r="T19" s="44">
        <f>BarriarOptionPrice(シミュレーション!$K$11,シミュレーション!$H$11,M19,1-T$3,シミュレーション!$I$11,シミュレーション!$J$11,シミュレーション!$D$10:$D$15)</f>
        <v>0</v>
      </c>
      <c r="V19" s="18">
        <v>16</v>
      </c>
      <c r="W19" s="87">
        <f>BarriarOptionPrice(シミュレーション!$K$12,シミュレーション!$H$12,I19,1-P$3,シミュレーション!$I$12,シミュレーション!$J$12,シミュレーション!$D$10:$D$15)</f>
        <v>0</v>
      </c>
      <c r="X19" s="87">
        <f>BarriarOptionPrice(シミュレーション!$K$12,シミュレーション!$H$12,J19,1-Q$3,シミュレーション!$I$12,シミュレーション!$J$12,シミュレーション!$D$10:$D$15)</f>
        <v>0</v>
      </c>
      <c r="Y19" s="87">
        <f>BarriarOptionPrice(シミュレーション!$K$12,シミュレーション!$H$12,K19,1-R$3,シミュレーション!$I$12,シミュレーション!$J$12,シミュレーション!$D$10:$D$15)</f>
        <v>0</v>
      </c>
      <c r="Z19" s="87">
        <f>BarriarOptionPrice(シミュレーション!$K$12,シミュレーション!$H$12,L19,1-S$3,シミュレーション!$I$12,シミュレーション!$J$12,シミュレーション!$D$10:$D$15)</f>
        <v>0</v>
      </c>
      <c r="AA19" s="44">
        <f>BarriarOptionPrice(シミュレーション!$K$12,シミュレーション!$H$12,M19,1-T$3,シミュレーション!$I$12,シミュレーション!$J$12,シミュレーション!$D$10:$D$15)</f>
        <v>0</v>
      </c>
    </row>
    <row r="20" spans="2:27" ht="14.25" x14ac:dyDescent="0.15">
      <c r="B20" s="18">
        <v>17</v>
      </c>
      <c r="C20" s="29">
        <f>シミュレーションデータの貼り付け!C20*シミュレーション!$D$10+シミュレーションデータの貼り付け!G20*シミュレーション!$D$11+シミュレーションデータの貼り付け!K20*シミュレーション!$D$12+シミュレーションデータの貼り付け!O20*シミュレーション!$D$13+シミュレーションデータの貼り付け!S20*シミュレーション!$D$14+シミュレーションデータの貼り付け!W20*シミュレーション!$D$15</f>
        <v>0</v>
      </c>
      <c r="D20" s="29">
        <f>シミュレーションデータの貼り付け!D20*シミュレーション!$D$10+シミュレーションデータの貼り付け!H20*シミュレーション!$D$11+シミュレーションデータの貼り付け!L20*シミュレーション!$D$12+シミュレーションデータの貼り付け!P20*シミュレーション!$D$13+シミュレーションデータの貼り付け!T20*シミュレーション!$D$14+シミュレーションデータの貼り付け!X20*シミュレーション!$D$15</f>
        <v>0</v>
      </c>
      <c r="E20" s="29">
        <f>シミュレーションデータの貼り付け!E20*シミュレーション!$D$10+シミュレーションデータの貼り付け!I20*シミュレーション!$D$11+シミュレーションデータの貼り付け!M20*シミュレーション!$D$12+シミュレーションデータの貼り付け!Q20*シミュレーション!$D$13+シミュレーションデータの貼り付け!U20*シミュレーション!$D$14+シミュレーションデータの貼り付け!Y20*シミュレーション!$D$15</f>
        <v>0</v>
      </c>
      <c r="F20" s="30">
        <f>シミュレーションデータの貼り付け!F20*シミュレーション!$D$10+シミュレーションデータの貼り付け!J20*シミュレーション!$D$11+シミュレーションデータの貼り付け!N20*シミュレーション!$D$12+シミュレーションデータの貼り付け!R20*シミュレーション!$D$13+シミュレーションデータの貼り付け!V20*シミュレーション!$D$14+シミュレーションデータの貼り付け!Z20*シミュレーション!$D$15</f>
        <v>0</v>
      </c>
      <c r="H20" s="18">
        <v>17</v>
      </c>
      <c r="I20" s="87">
        <f>シミュレーション!$D$19</f>
        <v>0</v>
      </c>
      <c r="J20" s="87">
        <f>I20*(1+'シミュレーション計算用（変更不要）'!C20)</f>
        <v>0</v>
      </c>
      <c r="K20" s="87">
        <f>J20*(1+'シミュレーション計算用（変更不要）'!D20)</f>
        <v>0</v>
      </c>
      <c r="L20" s="87">
        <f>K20*(1+'シミュレーション計算用（変更不要）'!E20)</f>
        <v>0</v>
      </c>
      <c r="M20" s="44">
        <f>L20*(1+'シミュレーション計算用（変更不要）'!F20)</f>
        <v>0</v>
      </c>
      <c r="O20" s="18">
        <v>17</v>
      </c>
      <c r="P20" s="87">
        <f>BarriarOptionPrice(シミュレーション!$K$11,シミュレーション!$H$11,I20,1-P$3,シミュレーション!$I$11,シミュレーション!$J$11,シミュレーション!$D$10:$D$15)</f>
        <v>0</v>
      </c>
      <c r="Q20" s="87">
        <f>BarriarOptionPrice(シミュレーション!$K$11,シミュレーション!$H$11,J20,1-Q$3,シミュレーション!$I$11,シミュレーション!$J$11,シミュレーション!$D$10:$D$15)</f>
        <v>0</v>
      </c>
      <c r="R20" s="87">
        <f>BarriarOptionPrice(シミュレーション!$K$11,シミュレーション!$H$11,K20,1-R$3,シミュレーション!$I$11,シミュレーション!$J$11,シミュレーション!$D$10:$D$15)</f>
        <v>0</v>
      </c>
      <c r="S20" s="87">
        <f>BarriarOptionPrice(シミュレーション!$K$11,シミュレーション!$H$11,L20,1-S$3,シミュレーション!$I$11,シミュレーション!$J$11,シミュレーション!$D$10:$D$15)</f>
        <v>0</v>
      </c>
      <c r="T20" s="44">
        <f>BarriarOptionPrice(シミュレーション!$K$11,シミュレーション!$H$11,M20,1-T$3,シミュレーション!$I$11,シミュレーション!$J$11,シミュレーション!$D$10:$D$15)</f>
        <v>0</v>
      </c>
      <c r="V20" s="18">
        <v>17</v>
      </c>
      <c r="W20" s="87">
        <f>BarriarOptionPrice(シミュレーション!$K$12,シミュレーション!$H$12,I20,1-P$3,シミュレーション!$I$12,シミュレーション!$J$12,シミュレーション!$D$10:$D$15)</f>
        <v>0</v>
      </c>
      <c r="X20" s="87">
        <f>BarriarOptionPrice(シミュレーション!$K$12,シミュレーション!$H$12,J20,1-Q$3,シミュレーション!$I$12,シミュレーション!$J$12,シミュレーション!$D$10:$D$15)</f>
        <v>0</v>
      </c>
      <c r="Y20" s="87">
        <f>BarriarOptionPrice(シミュレーション!$K$12,シミュレーション!$H$12,K20,1-R$3,シミュレーション!$I$12,シミュレーション!$J$12,シミュレーション!$D$10:$D$15)</f>
        <v>0</v>
      </c>
      <c r="Z20" s="87">
        <f>BarriarOptionPrice(シミュレーション!$K$12,シミュレーション!$H$12,L20,1-S$3,シミュレーション!$I$12,シミュレーション!$J$12,シミュレーション!$D$10:$D$15)</f>
        <v>0</v>
      </c>
      <c r="AA20" s="44">
        <f>BarriarOptionPrice(シミュレーション!$K$12,シミュレーション!$H$12,M20,1-T$3,シミュレーション!$I$12,シミュレーション!$J$12,シミュレーション!$D$10:$D$15)</f>
        <v>0</v>
      </c>
    </row>
    <row r="21" spans="2:27" ht="14.25" x14ac:dyDescent="0.15">
      <c r="B21" s="18">
        <v>18</v>
      </c>
      <c r="C21" s="29">
        <f>シミュレーションデータの貼り付け!C21*シミュレーション!$D$10+シミュレーションデータの貼り付け!G21*シミュレーション!$D$11+シミュレーションデータの貼り付け!K21*シミュレーション!$D$12+シミュレーションデータの貼り付け!O21*シミュレーション!$D$13+シミュレーションデータの貼り付け!S21*シミュレーション!$D$14+シミュレーションデータの貼り付け!W21*シミュレーション!$D$15</f>
        <v>0</v>
      </c>
      <c r="D21" s="29">
        <f>シミュレーションデータの貼り付け!D21*シミュレーション!$D$10+シミュレーションデータの貼り付け!H21*シミュレーション!$D$11+シミュレーションデータの貼り付け!L21*シミュレーション!$D$12+シミュレーションデータの貼り付け!P21*シミュレーション!$D$13+シミュレーションデータの貼り付け!T21*シミュレーション!$D$14+シミュレーションデータの貼り付け!X21*シミュレーション!$D$15</f>
        <v>0</v>
      </c>
      <c r="E21" s="29">
        <f>シミュレーションデータの貼り付け!E21*シミュレーション!$D$10+シミュレーションデータの貼り付け!I21*シミュレーション!$D$11+シミュレーションデータの貼り付け!M21*シミュレーション!$D$12+シミュレーションデータの貼り付け!Q21*シミュレーション!$D$13+シミュレーションデータの貼り付け!U21*シミュレーション!$D$14+シミュレーションデータの貼り付け!Y21*シミュレーション!$D$15</f>
        <v>0</v>
      </c>
      <c r="F21" s="30">
        <f>シミュレーションデータの貼り付け!F21*シミュレーション!$D$10+シミュレーションデータの貼り付け!J21*シミュレーション!$D$11+シミュレーションデータの貼り付け!N21*シミュレーション!$D$12+シミュレーションデータの貼り付け!R21*シミュレーション!$D$13+シミュレーションデータの貼り付け!V21*シミュレーション!$D$14+シミュレーションデータの貼り付け!Z21*シミュレーション!$D$15</f>
        <v>0</v>
      </c>
      <c r="H21" s="18">
        <v>18</v>
      </c>
      <c r="I21" s="87">
        <f>シミュレーション!$D$19</f>
        <v>0</v>
      </c>
      <c r="J21" s="87">
        <f>I21*(1+'シミュレーション計算用（変更不要）'!C21)</f>
        <v>0</v>
      </c>
      <c r="K21" s="87">
        <f>J21*(1+'シミュレーション計算用（変更不要）'!D21)</f>
        <v>0</v>
      </c>
      <c r="L21" s="87">
        <f>K21*(1+'シミュレーション計算用（変更不要）'!E21)</f>
        <v>0</v>
      </c>
      <c r="M21" s="44">
        <f>L21*(1+'シミュレーション計算用（変更不要）'!F21)</f>
        <v>0</v>
      </c>
      <c r="O21" s="18">
        <v>18</v>
      </c>
      <c r="P21" s="87">
        <f>BarriarOptionPrice(シミュレーション!$K$11,シミュレーション!$H$11,I21,1-P$3,シミュレーション!$I$11,シミュレーション!$J$11,シミュレーション!$D$10:$D$15)</f>
        <v>0</v>
      </c>
      <c r="Q21" s="87">
        <f>BarriarOptionPrice(シミュレーション!$K$11,シミュレーション!$H$11,J21,1-Q$3,シミュレーション!$I$11,シミュレーション!$J$11,シミュレーション!$D$10:$D$15)</f>
        <v>0</v>
      </c>
      <c r="R21" s="87">
        <f>BarriarOptionPrice(シミュレーション!$K$11,シミュレーション!$H$11,K21,1-R$3,シミュレーション!$I$11,シミュレーション!$J$11,シミュレーション!$D$10:$D$15)</f>
        <v>0</v>
      </c>
      <c r="S21" s="87">
        <f>BarriarOptionPrice(シミュレーション!$K$11,シミュレーション!$H$11,L21,1-S$3,シミュレーション!$I$11,シミュレーション!$J$11,シミュレーション!$D$10:$D$15)</f>
        <v>0</v>
      </c>
      <c r="T21" s="44">
        <f>BarriarOptionPrice(シミュレーション!$K$11,シミュレーション!$H$11,M21,1-T$3,シミュレーション!$I$11,シミュレーション!$J$11,シミュレーション!$D$10:$D$15)</f>
        <v>0</v>
      </c>
      <c r="V21" s="18">
        <v>18</v>
      </c>
      <c r="W21" s="87">
        <f>BarriarOptionPrice(シミュレーション!$K$12,シミュレーション!$H$12,I21,1-P$3,シミュレーション!$I$12,シミュレーション!$J$12,シミュレーション!$D$10:$D$15)</f>
        <v>0</v>
      </c>
      <c r="X21" s="87">
        <f>BarriarOptionPrice(シミュレーション!$K$12,シミュレーション!$H$12,J21,1-Q$3,シミュレーション!$I$12,シミュレーション!$J$12,シミュレーション!$D$10:$D$15)</f>
        <v>0</v>
      </c>
      <c r="Y21" s="87">
        <f>BarriarOptionPrice(シミュレーション!$K$12,シミュレーション!$H$12,K21,1-R$3,シミュレーション!$I$12,シミュレーション!$J$12,シミュレーション!$D$10:$D$15)</f>
        <v>0</v>
      </c>
      <c r="Z21" s="87">
        <f>BarriarOptionPrice(シミュレーション!$K$12,シミュレーション!$H$12,L21,1-S$3,シミュレーション!$I$12,シミュレーション!$J$12,シミュレーション!$D$10:$D$15)</f>
        <v>0</v>
      </c>
      <c r="AA21" s="44">
        <f>BarriarOptionPrice(シミュレーション!$K$12,シミュレーション!$H$12,M21,1-T$3,シミュレーション!$I$12,シミュレーション!$J$12,シミュレーション!$D$10:$D$15)</f>
        <v>0</v>
      </c>
    </row>
    <row r="22" spans="2:27" ht="14.25" x14ac:dyDescent="0.15">
      <c r="B22" s="18">
        <v>19</v>
      </c>
      <c r="C22" s="29">
        <f>シミュレーションデータの貼り付け!C22*シミュレーション!$D$10+シミュレーションデータの貼り付け!G22*シミュレーション!$D$11+シミュレーションデータの貼り付け!K22*シミュレーション!$D$12+シミュレーションデータの貼り付け!O22*シミュレーション!$D$13+シミュレーションデータの貼り付け!S22*シミュレーション!$D$14+シミュレーションデータの貼り付け!W22*シミュレーション!$D$15</f>
        <v>0</v>
      </c>
      <c r="D22" s="29">
        <f>シミュレーションデータの貼り付け!D22*シミュレーション!$D$10+シミュレーションデータの貼り付け!H22*シミュレーション!$D$11+シミュレーションデータの貼り付け!L22*シミュレーション!$D$12+シミュレーションデータの貼り付け!P22*シミュレーション!$D$13+シミュレーションデータの貼り付け!T22*シミュレーション!$D$14+シミュレーションデータの貼り付け!X22*シミュレーション!$D$15</f>
        <v>0</v>
      </c>
      <c r="E22" s="29">
        <f>シミュレーションデータの貼り付け!E22*シミュレーション!$D$10+シミュレーションデータの貼り付け!I22*シミュレーション!$D$11+シミュレーションデータの貼り付け!M22*シミュレーション!$D$12+シミュレーションデータの貼り付け!Q22*シミュレーション!$D$13+シミュレーションデータの貼り付け!U22*シミュレーション!$D$14+シミュレーションデータの貼り付け!Y22*シミュレーション!$D$15</f>
        <v>0</v>
      </c>
      <c r="F22" s="30">
        <f>シミュレーションデータの貼り付け!F22*シミュレーション!$D$10+シミュレーションデータの貼り付け!J22*シミュレーション!$D$11+シミュレーションデータの貼り付け!N22*シミュレーション!$D$12+シミュレーションデータの貼り付け!R22*シミュレーション!$D$13+シミュレーションデータの貼り付け!V22*シミュレーション!$D$14+シミュレーションデータの貼り付け!Z22*シミュレーション!$D$15</f>
        <v>0</v>
      </c>
      <c r="H22" s="18">
        <v>19</v>
      </c>
      <c r="I22" s="87">
        <f>シミュレーション!$D$19</f>
        <v>0</v>
      </c>
      <c r="J22" s="87">
        <f>I22*(1+'シミュレーション計算用（変更不要）'!C22)</f>
        <v>0</v>
      </c>
      <c r="K22" s="87">
        <f>J22*(1+'シミュレーション計算用（変更不要）'!D22)</f>
        <v>0</v>
      </c>
      <c r="L22" s="87">
        <f>K22*(1+'シミュレーション計算用（変更不要）'!E22)</f>
        <v>0</v>
      </c>
      <c r="M22" s="44">
        <f>L22*(1+'シミュレーション計算用（変更不要）'!F22)</f>
        <v>0</v>
      </c>
      <c r="O22" s="18">
        <v>19</v>
      </c>
      <c r="P22" s="87">
        <f>BarriarOptionPrice(シミュレーション!$K$11,シミュレーション!$H$11,I22,1-P$3,シミュレーション!$I$11,シミュレーション!$J$11,シミュレーション!$D$10:$D$15)</f>
        <v>0</v>
      </c>
      <c r="Q22" s="87">
        <f>BarriarOptionPrice(シミュレーション!$K$11,シミュレーション!$H$11,J22,1-Q$3,シミュレーション!$I$11,シミュレーション!$J$11,シミュレーション!$D$10:$D$15)</f>
        <v>0</v>
      </c>
      <c r="R22" s="87">
        <f>BarriarOptionPrice(シミュレーション!$K$11,シミュレーション!$H$11,K22,1-R$3,シミュレーション!$I$11,シミュレーション!$J$11,シミュレーション!$D$10:$D$15)</f>
        <v>0</v>
      </c>
      <c r="S22" s="87">
        <f>BarriarOptionPrice(シミュレーション!$K$11,シミュレーション!$H$11,L22,1-S$3,シミュレーション!$I$11,シミュレーション!$J$11,シミュレーション!$D$10:$D$15)</f>
        <v>0</v>
      </c>
      <c r="T22" s="44">
        <f>BarriarOptionPrice(シミュレーション!$K$11,シミュレーション!$H$11,M22,1-T$3,シミュレーション!$I$11,シミュレーション!$J$11,シミュレーション!$D$10:$D$15)</f>
        <v>0</v>
      </c>
      <c r="V22" s="18">
        <v>19</v>
      </c>
      <c r="W22" s="87">
        <f>BarriarOptionPrice(シミュレーション!$K$12,シミュレーション!$H$12,I22,1-P$3,シミュレーション!$I$12,シミュレーション!$J$12,シミュレーション!$D$10:$D$15)</f>
        <v>0</v>
      </c>
      <c r="X22" s="87">
        <f>BarriarOptionPrice(シミュレーション!$K$12,シミュレーション!$H$12,J22,1-Q$3,シミュレーション!$I$12,シミュレーション!$J$12,シミュレーション!$D$10:$D$15)</f>
        <v>0</v>
      </c>
      <c r="Y22" s="87">
        <f>BarriarOptionPrice(シミュレーション!$K$12,シミュレーション!$H$12,K22,1-R$3,シミュレーション!$I$12,シミュレーション!$J$12,シミュレーション!$D$10:$D$15)</f>
        <v>0</v>
      </c>
      <c r="Z22" s="87">
        <f>BarriarOptionPrice(シミュレーション!$K$12,シミュレーション!$H$12,L22,1-S$3,シミュレーション!$I$12,シミュレーション!$J$12,シミュレーション!$D$10:$D$15)</f>
        <v>0</v>
      </c>
      <c r="AA22" s="44">
        <f>BarriarOptionPrice(シミュレーション!$K$12,シミュレーション!$H$12,M22,1-T$3,シミュレーション!$I$12,シミュレーション!$J$12,シミュレーション!$D$10:$D$15)</f>
        <v>0</v>
      </c>
    </row>
    <row r="23" spans="2:27" ht="14.25" x14ac:dyDescent="0.15">
      <c r="B23" s="18">
        <v>20</v>
      </c>
      <c r="C23" s="29">
        <f>シミュレーションデータの貼り付け!C23*シミュレーション!$D$10+シミュレーションデータの貼り付け!G23*シミュレーション!$D$11+シミュレーションデータの貼り付け!K23*シミュレーション!$D$12+シミュレーションデータの貼り付け!O23*シミュレーション!$D$13+シミュレーションデータの貼り付け!S23*シミュレーション!$D$14+シミュレーションデータの貼り付け!W23*シミュレーション!$D$15</f>
        <v>0</v>
      </c>
      <c r="D23" s="29">
        <f>シミュレーションデータの貼り付け!D23*シミュレーション!$D$10+シミュレーションデータの貼り付け!H23*シミュレーション!$D$11+シミュレーションデータの貼り付け!L23*シミュレーション!$D$12+シミュレーションデータの貼り付け!P23*シミュレーション!$D$13+シミュレーションデータの貼り付け!T23*シミュレーション!$D$14+シミュレーションデータの貼り付け!X23*シミュレーション!$D$15</f>
        <v>0</v>
      </c>
      <c r="E23" s="29">
        <f>シミュレーションデータの貼り付け!E23*シミュレーション!$D$10+シミュレーションデータの貼り付け!I23*シミュレーション!$D$11+シミュレーションデータの貼り付け!M23*シミュレーション!$D$12+シミュレーションデータの貼り付け!Q23*シミュレーション!$D$13+シミュレーションデータの貼り付け!U23*シミュレーション!$D$14+シミュレーションデータの貼り付け!Y23*シミュレーション!$D$15</f>
        <v>0</v>
      </c>
      <c r="F23" s="30">
        <f>シミュレーションデータの貼り付け!F23*シミュレーション!$D$10+シミュレーションデータの貼り付け!J23*シミュレーション!$D$11+シミュレーションデータの貼り付け!N23*シミュレーション!$D$12+シミュレーションデータの貼り付け!R23*シミュレーション!$D$13+シミュレーションデータの貼り付け!V23*シミュレーション!$D$14+シミュレーションデータの貼り付け!Z23*シミュレーション!$D$15</f>
        <v>0</v>
      </c>
      <c r="H23" s="18">
        <v>20</v>
      </c>
      <c r="I23" s="87">
        <f>シミュレーション!$D$19</f>
        <v>0</v>
      </c>
      <c r="J23" s="87">
        <f>I23*(1+'シミュレーション計算用（変更不要）'!C23)</f>
        <v>0</v>
      </c>
      <c r="K23" s="87">
        <f>J23*(1+'シミュレーション計算用（変更不要）'!D23)</f>
        <v>0</v>
      </c>
      <c r="L23" s="87">
        <f>K23*(1+'シミュレーション計算用（変更不要）'!E23)</f>
        <v>0</v>
      </c>
      <c r="M23" s="44">
        <f>L23*(1+'シミュレーション計算用（変更不要）'!F23)</f>
        <v>0</v>
      </c>
      <c r="O23" s="18">
        <v>20</v>
      </c>
      <c r="P23" s="87">
        <f>BarriarOptionPrice(シミュレーション!$K$11,シミュレーション!$H$11,I23,1-P$3,シミュレーション!$I$11,シミュレーション!$J$11,シミュレーション!$D$10:$D$15)</f>
        <v>0</v>
      </c>
      <c r="Q23" s="87">
        <f>BarriarOptionPrice(シミュレーション!$K$11,シミュレーション!$H$11,J23,1-Q$3,シミュレーション!$I$11,シミュレーション!$J$11,シミュレーション!$D$10:$D$15)</f>
        <v>0</v>
      </c>
      <c r="R23" s="87">
        <f>BarriarOptionPrice(シミュレーション!$K$11,シミュレーション!$H$11,K23,1-R$3,シミュレーション!$I$11,シミュレーション!$J$11,シミュレーション!$D$10:$D$15)</f>
        <v>0</v>
      </c>
      <c r="S23" s="87">
        <f>BarriarOptionPrice(シミュレーション!$K$11,シミュレーション!$H$11,L23,1-S$3,シミュレーション!$I$11,シミュレーション!$J$11,シミュレーション!$D$10:$D$15)</f>
        <v>0</v>
      </c>
      <c r="T23" s="44">
        <f>BarriarOptionPrice(シミュレーション!$K$11,シミュレーション!$H$11,M23,1-T$3,シミュレーション!$I$11,シミュレーション!$J$11,シミュレーション!$D$10:$D$15)</f>
        <v>0</v>
      </c>
      <c r="V23" s="18">
        <v>20</v>
      </c>
      <c r="W23" s="87">
        <f>BarriarOptionPrice(シミュレーション!$K$12,シミュレーション!$H$12,I23,1-P$3,シミュレーション!$I$12,シミュレーション!$J$12,シミュレーション!$D$10:$D$15)</f>
        <v>0</v>
      </c>
      <c r="X23" s="87">
        <f>BarriarOptionPrice(シミュレーション!$K$12,シミュレーション!$H$12,J23,1-Q$3,シミュレーション!$I$12,シミュレーション!$J$12,シミュレーション!$D$10:$D$15)</f>
        <v>0</v>
      </c>
      <c r="Y23" s="87">
        <f>BarriarOptionPrice(シミュレーション!$K$12,シミュレーション!$H$12,K23,1-R$3,シミュレーション!$I$12,シミュレーション!$J$12,シミュレーション!$D$10:$D$15)</f>
        <v>0</v>
      </c>
      <c r="Z23" s="87">
        <f>BarriarOptionPrice(シミュレーション!$K$12,シミュレーション!$H$12,L23,1-S$3,シミュレーション!$I$12,シミュレーション!$J$12,シミュレーション!$D$10:$D$15)</f>
        <v>0</v>
      </c>
      <c r="AA23" s="44">
        <f>BarriarOptionPrice(シミュレーション!$K$12,シミュレーション!$H$12,M23,1-T$3,シミュレーション!$I$12,シミュレーション!$J$12,シミュレーション!$D$10:$D$15)</f>
        <v>0</v>
      </c>
    </row>
    <row r="24" spans="2:27" ht="14.25" x14ac:dyDescent="0.15">
      <c r="B24" s="18">
        <v>21</v>
      </c>
      <c r="C24" s="29">
        <f>シミュレーションデータの貼り付け!C24*シミュレーション!$D$10+シミュレーションデータの貼り付け!G24*シミュレーション!$D$11+シミュレーションデータの貼り付け!K24*シミュレーション!$D$12+シミュレーションデータの貼り付け!O24*シミュレーション!$D$13+シミュレーションデータの貼り付け!S24*シミュレーション!$D$14+シミュレーションデータの貼り付け!W24*シミュレーション!$D$15</f>
        <v>0</v>
      </c>
      <c r="D24" s="29">
        <f>シミュレーションデータの貼り付け!D24*シミュレーション!$D$10+シミュレーションデータの貼り付け!H24*シミュレーション!$D$11+シミュレーションデータの貼り付け!L24*シミュレーション!$D$12+シミュレーションデータの貼り付け!P24*シミュレーション!$D$13+シミュレーションデータの貼り付け!T24*シミュレーション!$D$14+シミュレーションデータの貼り付け!X24*シミュレーション!$D$15</f>
        <v>0</v>
      </c>
      <c r="E24" s="29">
        <f>シミュレーションデータの貼り付け!E24*シミュレーション!$D$10+シミュレーションデータの貼り付け!I24*シミュレーション!$D$11+シミュレーションデータの貼り付け!M24*シミュレーション!$D$12+シミュレーションデータの貼り付け!Q24*シミュレーション!$D$13+シミュレーションデータの貼り付け!U24*シミュレーション!$D$14+シミュレーションデータの貼り付け!Y24*シミュレーション!$D$15</f>
        <v>0</v>
      </c>
      <c r="F24" s="30">
        <f>シミュレーションデータの貼り付け!F24*シミュレーション!$D$10+シミュレーションデータの貼り付け!J24*シミュレーション!$D$11+シミュレーションデータの貼り付け!N24*シミュレーション!$D$12+シミュレーションデータの貼り付け!R24*シミュレーション!$D$13+シミュレーションデータの貼り付け!V24*シミュレーション!$D$14+シミュレーションデータの貼り付け!Z24*シミュレーション!$D$15</f>
        <v>0</v>
      </c>
      <c r="H24" s="18">
        <v>21</v>
      </c>
      <c r="I24" s="87">
        <f>シミュレーション!$D$19</f>
        <v>0</v>
      </c>
      <c r="J24" s="87">
        <f>I24*(1+'シミュレーション計算用（変更不要）'!C24)</f>
        <v>0</v>
      </c>
      <c r="K24" s="87">
        <f>J24*(1+'シミュレーション計算用（変更不要）'!D24)</f>
        <v>0</v>
      </c>
      <c r="L24" s="87">
        <f>K24*(1+'シミュレーション計算用（変更不要）'!E24)</f>
        <v>0</v>
      </c>
      <c r="M24" s="44">
        <f>L24*(1+'シミュレーション計算用（変更不要）'!F24)</f>
        <v>0</v>
      </c>
      <c r="O24" s="18">
        <v>21</v>
      </c>
      <c r="P24" s="87">
        <f>BarriarOptionPrice(シミュレーション!$K$11,シミュレーション!$H$11,I24,1-P$3,シミュレーション!$I$11,シミュレーション!$J$11,シミュレーション!$D$10:$D$15)</f>
        <v>0</v>
      </c>
      <c r="Q24" s="87">
        <f>BarriarOptionPrice(シミュレーション!$K$11,シミュレーション!$H$11,J24,1-Q$3,シミュレーション!$I$11,シミュレーション!$J$11,シミュレーション!$D$10:$D$15)</f>
        <v>0</v>
      </c>
      <c r="R24" s="87">
        <f>BarriarOptionPrice(シミュレーション!$K$11,シミュレーション!$H$11,K24,1-R$3,シミュレーション!$I$11,シミュレーション!$J$11,シミュレーション!$D$10:$D$15)</f>
        <v>0</v>
      </c>
      <c r="S24" s="87">
        <f>BarriarOptionPrice(シミュレーション!$K$11,シミュレーション!$H$11,L24,1-S$3,シミュレーション!$I$11,シミュレーション!$J$11,シミュレーション!$D$10:$D$15)</f>
        <v>0</v>
      </c>
      <c r="T24" s="44">
        <f>BarriarOptionPrice(シミュレーション!$K$11,シミュレーション!$H$11,M24,1-T$3,シミュレーション!$I$11,シミュレーション!$J$11,シミュレーション!$D$10:$D$15)</f>
        <v>0</v>
      </c>
      <c r="V24" s="18">
        <v>21</v>
      </c>
      <c r="W24" s="87">
        <f>BarriarOptionPrice(シミュレーション!$K$12,シミュレーション!$H$12,I24,1-P$3,シミュレーション!$I$12,シミュレーション!$J$12,シミュレーション!$D$10:$D$15)</f>
        <v>0</v>
      </c>
      <c r="X24" s="87">
        <f>BarriarOptionPrice(シミュレーション!$K$12,シミュレーション!$H$12,J24,1-Q$3,シミュレーション!$I$12,シミュレーション!$J$12,シミュレーション!$D$10:$D$15)</f>
        <v>0</v>
      </c>
      <c r="Y24" s="87">
        <f>BarriarOptionPrice(シミュレーション!$K$12,シミュレーション!$H$12,K24,1-R$3,シミュレーション!$I$12,シミュレーション!$J$12,シミュレーション!$D$10:$D$15)</f>
        <v>0</v>
      </c>
      <c r="Z24" s="87">
        <f>BarriarOptionPrice(シミュレーション!$K$12,シミュレーション!$H$12,L24,1-S$3,シミュレーション!$I$12,シミュレーション!$J$12,シミュレーション!$D$10:$D$15)</f>
        <v>0</v>
      </c>
      <c r="AA24" s="44">
        <f>BarriarOptionPrice(シミュレーション!$K$12,シミュレーション!$H$12,M24,1-T$3,シミュレーション!$I$12,シミュレーション!$J$12,シミュレーション!$D$10:$D$15)</f>
        <v>0</v>
      </c>
    </row>
    <row r="25" spans="2:27" ht="14.25" x14ac:dyDescent="0.15">
      <c r="B25" s="18">
        <v>22</v>
      </c>
      <c r="C25" s="29">
        <f>シミュレーションデータの貼り付け!C25*シミュレーション!$D$10+シミュレーションデータの貼り付け!G25*シミュレーション!$D$11+シミュレーションデータの貼り付け!K25*シミュレーション!$D$12+シミュレーションデータの貼り付け!O25*シミュレーション!$D$13+シミュレーションデータの貼り付け!S25*シミュレーション!$D$14+シミュレーションデータの貼り付け!W25*シミュレーション!$D$15</f>
        <v>0</v>
      </c>
      <c r="D25" s="29">
        <f>シミュレーションデータの貼り付け!D25*シミュレーション!$D$10+シミュレーションデータの貼り付け!H25*シミュレーション!$D$11+シミュレーションデータの貼り付け!L25*シミュレーション!$D$12+シミュレーションデータの貼り付け!P25*シミュレーション!$D$13+シミュレーションデータの貼り付け!T25*シミュレーション!$D$14+シミュレーションデータの貼り付け!X25*シミュレーション!$D$15</f>
        <v>0</v>
      </c>
      <c r="E25" s="29">
        <f>シミュレーションデータの貼り付け!E25*シミュレーション!$D$10+シミュレーションデータの貼り付け!I25*シミュレーション!$D$11+シミュレーションデータの貼り付け!M25*シミュレーション!$D$12+シミュレーションデータの貼り付け!Q25*シミュレーション!$D$13+シミュレーションデータの貼り付け!U25*シミュレーション!$D$14+シミュレーションデータの貼り付け!Y25*シミュレーション!$D$15</f>
        <v>0</v>
      </c>
      <c r="F25" s="30">
        <f>シミュレーションデータの貼り付け!F25*シミュレーション!$D$10+シミュレーションデータの貼り付け!J25*シミュレーション!$D$11+シミュレーションデータの貼り付け!N25*シミュレーション!$D$12+シミュレーションデータの貼り付け!R25*シミュレーション!$D$13+シミュレーションデータの貼り付け!V25*シミュレーション!$D$14+シミュレーションデータの貼り付け!Z25*シミュレーション!$D$15</f>
        <v>0</v>
      </c>
      <c r="H25" s="18">
        <v>22</v>
      </c>
      <c r="I25" s="87">
        <f>シミュレーション!$D$19</f>
        <v>0</v>
      </c>
      <c r="J25" s="87">
        <f>I25*(1+'シミュレーション計算用（変更不要）'!C25)</f>
        <v>0</v>
      </c>
      <c r="K25" s="87">
        <f>J25*(1+'シミュレーション計算用（変更不要）'!D25)</f>
        <v>0</v>
      </c>
      <c r="L25" s="87">
        <f>K25*(1+'シミュレーション計算用（変更不要）'!E25)</f>
        <v>0</v>
      </c>
      <c r="M25" s="44">
        <f>L25*(1+'シミュレーション計算用（変更不要）'!F25)</f>
        <v>0</v>
      </c>
      <c r="O25" s="18">
        <v>22</v>
      </c>
      <c r="P25" s="87">
        <f>BarriarOptionPrice(シミュレーション!$K$11,シミュレーション!$H$11,I25,1-P$3,シミュレーション!$I$11,シミュレーション!$J$11,シミュレーション!$D$10:$D$15)</f>
        <v>0</v>
      </c>
      <c r="Q25" s="87">
        <f>BarriarOptionPrice(シミュレーション!$K$11,シミュレーション!$H$11,J25,1-Q$3,シミュレーション!$I$11,シミュレーション!$J$11,シミュレーション!$D$10:$D$15)</f>
        <v>0</v>
      </c>
      <c r="R25" s="87">
        <f>BarriarOptionPrice(シミュレーション!$K$11,シミュレーション!$H$11,K25,1-R$3,シミュレーション!$I$11,シミュレーション!$J$11,シミュレーション!$D$10:$D$15)</f>
        <v>0</v>
      </c>
      <c r="S25" s="87">
        <f>BarriarOptionPrice(シミュレーション!$K$11,シミュレーション!$H$11,L25,1-S$3,シミュレーション!$I$11,シミュレーション!$J$11,シミュレーション!$D$10:$D$15)</f>
        <v>0</v>
      </c>
      <c r="T25" s="44">
        <f>BarriarOptionPrice(シミュレーション!$K$11,シミュレーション!$H$11,M25,1-T$3,シミュレーション!$I$11,シミュレーション!$J$11,シミュレーション!$D$10:$D$15)</f>
        <v>0</v>
      </c>
      <c r="V25" s="18">
        <v>22</v>
      </c>
      <c r="W25" s="87">
        <f>BarriarOptionPrice(シミュレーション!$K$12,シミュレーション!$H$12,I25,1-P$3,シミュレーション!$I$12,シミュレーション!$J$12,シミュレーション!$D$10:$D$15)</f>
        <v>0</v>
      </c>
      <c r="X25" s="87">
        <f>BarriarOptionPrice(シミュレーション!$K$12,シミュレーション!$H$12,J25,1-Q$3,シミュレーション!$I$12,シミュレーション!$J$12,シミュレーション!$D$10:$D$15)</f>
        <v>0</v>
      </c>
      <c r="Y25" s="87">
        <f>BarriarOptionPrice(シミュレーション!$K$12,シミュレーション!$H$12,K25,1-R$3,シミュレーション!$I$12,シミュレーション!$J$12,シミュレーション!$D$10:$D$15)</f>
        <v>0</v>
      </c>
      <c r="Z25" s="87">
        <f>BarriarOptionPrice(シミュレーション!$K$12,シミュレーション!$H$12,L25,1-S$3,シミュレーション!$I$12,シミュレーション!$J$12,シミュレーション!$D$10:$D$15)</f>
        <v>0</v>
      </c>
      <c r="AA25" s="44">
        <f>BarriarOptionPrice(シミュレーション!$K$12,シミュレーション!$H$12,M25,1-T$3,シミュレーション!$I$12,シミュレーション!$J$12,シミュレーション!$D$10:$D$15)</f>
        <v>0</v>
      </c>
    </row>
    <row r="26" spans="2:27" ht="14.25" x14ac:dyDescent="0.15">
      <c r="B26" s="18">
        <v>23</v>
      </c>
      <c r="C26" s="29">
        <f>シミュレーションデータの貼り付け!C26*シミュレーション!$D$10+シミュレーションデータの貼り付け!G26*シミュレーション!$D$11+シミュレーションデータの貼り付け!K26*シミュレーション!$D$12+シミュレーションデータの貼り付け!O26*シミュレーション!$D$13+シミュレーションデータの貼り付け!S26*シミュレーション!$D$14+シミュレーションデータの貼り付け!W26*シミュレーション!$D$15</f>
        <v>0</v>
      </c>
      <c r="D26" s="29">
        <f>シミュレーションデータの貼り付け!D26*シミュレーション!$D$10+シミュレーションデータの貼り付け!H26*シミュレーション!$D$11+シミュレーションデータの貼り付け!L26*シミュレーション!$D$12+シミュレーションデータの貼り付け!P26*シミュレーション!$D$13+シミュレーションデータの貼り付け!T26*シミュレーション!$D$14+シミュレーションデータの貼り付け!X26*シミュレーション!$D$15</f>
        <v>0</v>
      </c>
      <c r="E26" s="29">
        <f>シミュレーションデータの貼り付け!E26*シミュレーション!$D$10+シミュレーションデータの貼り付け!I26*シミュレーション!$D$11+シミュレーションデータの貼り付け!M26*シミュレーション!$D$12+シミュレーションデータの貼り付け!Q26*シミュレーション!$D$13+シミュレーションデータの貼り付け!U26*シミュレーション!$D$14+シミュレーションデータの貼り付け!Y26*シミュレーション!$D$15</f>
        <v>0</v>
      </c>
      <c r="F26" s="30">
        <f>シミュレーションデータの貼り付け!F26*シミュレーション!$D$10+シミュレーションデータの貼り付け!J26*シミュレーション!$D$11+シミュレーションデータの貼り付け!N26*シミュレーション!$D$12+シミュレーションデータの貼り付け!R26*シミュレーション!$D$13+シミュレーションデータの貼り付け!V26*シミュレーション!$D$14+シミュレーションデータの貼り付け!Z26*シミュレーション!$D$15</f>
        <v>0</v>
      </c>
      <c r="H26" s="18">
        <v>23</v>
      </c>
      <c r="I26" s="87">
        <f>シミュレーション!$D$19</f>
        <v>0</v>
      </c>
      <c r="J26" s="87">
        <f>I26*(1+'シミュレーション計算用（変更不要）'!C26)</f>
        <v>0</v>
      </c>
      <c r="K26" s="87">
        <f>J26*(1+'シミュレーション計算用（変更不要）'!D26)</f>
        <v>0</v>
      </c>
      <c r="L26" s="87">
        <f>K26*(1+'シミュレーション計算用（変更不要）'!E26)</f>
        <v>0</v>
      </c>
      <c r="M26" s="44">
        <f>L26*(1+'シミュレーション計算用（変更不要）'!F26)</f>
        <v>0</v>
      </c>
      <c r="O26" s="18">
        <v>23</v>
      </c>
      <c r="P26" s="87">
        <f>BarriarOptionPrice(シミュレーション!$K$11,シミュレーション!$H$11,I26,1-P$3,シミュレーション!$I$11,シミュレーション!$J$11,シミュレーション!$D$10:$D$15)</f>
        <v>0</v>
      </c>
      <c r="Q26" s="87">
        <f>BarriarOptionPrice(シミュレーション!$K$11,シミュレーション!$H$11,J26,1-Q$3,シミュレーション!$I$11,シミュレーション!$J$11,シミュレーション!$D$10:$D$15)</f>
        <v>0</v>
      </c>
      <c r="R26" s="87">
        <f>BarriarOptionPrice(シミュレーション!$K$11,シミュレーション!$H$11,K26,1-R$3,シミュレーション!$I$11,シミュレーション!$J$11,シミュレーション!$D$10:$D$15)</f>
        <v>0</v>
      </c>
      <c r="S26" s="87">
        <f>BarriarOptionPrice(シミュレーション!$K$11,シミュレーション!$H$11,L26,1-S$3,シミュレーション!$I$11,シミュレーション!$J$11,シミュレーション!$D$10:$D$15)</f>
        <v>0</v>
      </c>
      <c r="T26" s="44">
        <f>BarriarOptionPrice(シミュレーション!$K$11,シミュレーション!$H$11,M26,1-T$3,シミュレーション!$I$11,シミュレーション!$J$11,シミュレーション!$D$10:$D$15)</f>
        <v>0</v>
      </c>
      <c r="V26" s="18">
        <v>23</v>
      </c>
      <c r="W26" s="87">
        <f>BarriarOptionPrice(シミュレーション!$K$12,シミュレーション!$H$12,I26,1-P$3,シミュレーション!$I$12,シミュレーション!$J$12,シミュレーション!$D$10:$D$15)</f>
        <v>0</v>
      </c>
      <c r="X26" s="87">
        <f>BarriarOptionPrice(シミュレーション!$K$12,シミュレーション!$H$12,J26,1-Q$3,シミュレーション!$I$12,シミュレーション!$J$12,シミュレーション!$D$10:$D$15)</f>
        <v>0</v>
      </c>
      <c r="Y26" s="87">
        <f>BarriarOptionPrice(シミュレーション!$K$12,シミュレーション!$H$12,K26,1-R$3,シミュレーション!$I$12,シミュレーション!$J$12,シミュレーション!$D$10:$D$15)</f>
        <v>0</v>
      </c>
      <c r="Z26" s="87">
        <f>BarriarOptionPrice(シミュレーション!$K$12,シミュレーション!$H$12,L26,1-S$3,シミュレーション!$I$12,シミュレーション!$J$12,シミュレーション!$D$10:$D$15)</f>
        <v>0</v>
      </c>
      <c r="AA26" s="44">
        <f>BarriarOptionPrice(シミュレーション!$K$12,シミュレーション!$H$12,M26,1-T$3,シミュレーション!$I$12,シミュレーション!$J$12,シミュレーション!$D$10:$D$15)</f>
        <v>0</v>
      </c>
    </row>
    <row r="27" spans="2:27" ht="14.25" x14ac:dyDescent="0.15">
      <c r="B27" s="18">
        <v>24</v>
      </c>
      <c r="C27" s="29">
        <f>シミュレーションデータの貼り付け!C27*シミュレーション!$D$10+シミュレーションデータの貼り付け!G27*シミュレーション!$D$11+シミュレーションデータの貼り付け!K27*シミュレーション!$D$12+シミュレーションデータの貼り付け!O27*シミュレーション!$D$13+シミュレーションデータの貼り付け!S27*シミュレーション!$D$14+シミュレーションデータの貼り付け!W27*シミュレーション!$D$15</f>
        <v>0</v>
      </c>
      <c r="D27" s="29">
        <f>シミュレーションデータの貼り付け!D27*シミュレーション!$D$10+シミュレーションデータの貼り付け!H27*シミュレーション!$D$11+シミュレーションデータの貼り付け!L27*シミュレーション!$D$12+シミュレーションデータの貼り付け!P27*シミュレーション!$D$13+シミュレーションデータの貼り付け!T27*シミュレーション!$D$14+シミュレーションデータの貼り付け!X27*シミュレーション!$D$15</f>
        <v>0</v>
      </c>
      <c r="E27" s="29">
        <f>シミュレーションデータの貼り付け!E27*シミュレーション!$D$10+シミュレーションデータの貼り付け!I27*シミュレーション!$D$11+シミュレーションデータの貼り付け!M27*シミュレーション!$D$12+シミュレーションデータの貼り付け!Q27*シミュレーション!$D$13+シミュレーションデータの貼り付け!U27*シミュレーション!$D$14+シミュレーションデータの貼り付け!Y27*シミュレーション!$D$15</f>
        <v>0</v>
      </c>
      <c r="F27" s="30">
        <f>シミュレーションデータの貼り付け!F27*シミュレーション!$D$10+シミュレーションデータの貼り付け!J27*シミュレーション!$D$11+シミュレーションデータの貼り付け!N27*シミュレーション!$D$12+シミュレーションデータの貼り付け!R27*シミュレーション!$D$13+シミュレーションデータの貼り付け!V27*シミュレーション!$D$14+シミュレーションデータの貼り付け!Z27*シミュレーション!$D$15</f>
        <v>0</v>
      </c>
      <c r="H27" s="18">
        <v>24</v>
      </c>
      <c r="I27" s="87">
        <f>シミュレーション!$D$19</f>
        <v>0</v>
      </c>
      <c r="J27" s="87">
        <f>I27*(1+'シミュレーション計算用（変更不要）'!C27)</f>
        <v>0</v>
      </c>
      <c r="K27" s="87">
        <f>J27*(1+'シミュレーション計算用（変更不要）'!D27)</f>
        <v>0</v>
      </c>
      <c r="L27" s="87">
        <f>K27*(1+'シミュレーション計算用（変更不要）'!E27)</f>
        <v>0</v>
      </c>
      <c r="M27" s="44">
        <f>L27*(1+'シミュレーション計算用（変更不要）'!F27)</f>
        <v>0</v>
      </c>
      <c r="O27" s="18">
        <v>24</v>
      </c>
      <c r="P27" s="87">
        <f>BarriarOptionPrice(シミュレーション!$K$11,シミュレーション!$H$11,I27,1-P$3,シミュレーション!$I$11,シミュレーション!$J$11,シミュレーション!$D$10:$D$15)</f>
        <v>0</v>
      </c>
      <c r="Q27" s="87">
        <f>BarriarOptionPrice(シミュレーション!$K$11,シミュレーション!$H$11,J27,1-Q$3,シミュレーション!$I$11,シミュレーション!$J$11,シミュレーション!$D$10:$D$15)</f>
        <v>0</v>
      </c>
      <c r="R27" s="87">
        <f>BarriarOptionPrice(シミュレーション!$K$11,シミュレーション!$H$11,K27,1-R$3,シミュレーション!$I$11,シミュレーション!$J$11,シミュレーション!$D$10:$D$15)</f>
        <v>0</v>
      </c>
      <c r="S27" s="87">
        <f>BarriarOptionPrice(シミュレーション!$K$11,シミュレーション!$H$11,L27,1-S$3,シミュレーション!$I$11,シミュレーション!$J$11,シミュレーション!$D$10:$D$15)</f>
        <v>0</v>
      </c>
      <c r="T27" s="44">
        <f>BarriarOptionPrice(シミュレーション!$K$11,シミュレーション!$H$11,M27,1-T$3,シミュレーション!$I$11,シミュレーション!$J$11,シミュレーション!$D$10:$D$15)</f>
        <v>0</v>
      </c>
      <c r="V27" s="18">
        <v>24</v>
      </c>
      <c r="W27" s="87">
        <f>BarriarOptionPrice(シミュレーション!$K$12,シミュレーション!$H$12,I27,1-P$3,シミュレーション!$I$12,シミュレーション!$J$12,シミュレーション!$D$10:$D$15)</f>
        <v>0</v>
      </c>
      <c r="X27" s="87">
        <f>BarriarOptionPrice(シミュレーション!$K$12,シミュレーション!$H$12,J27,1-Q$3,シミュレーション!$I$12,シミュレーション!$J$12,シミュレーション!$D$10:$D$15)</f>
        <v>0</v>
      </c>
      <c r="Y27" s="87">
        <f>BarriarOptionPrice(シミュレーション!$K$12,シミュレーション!$H$12,K27,1-R$3,シミュレーション!$I$12,シミュレーション!$J$12,シミュレーション!$D$10:$D$15)</f>
        <v>0</v>
      </c>
      <c r="Z27" s="87">
        <f>BarriarOptionPrice(シミュレーション!$K$12,シミュレーション!$H$12,L27,1-S$3,シミュレーション!$I$12,シミュレーション!$J$12,シミュレーション!$D$10:$D$15)</f>
        <v>0</v>
      </c>
      <c r="AA27" s="44">
        <f>BarriarOptionPrice(シミュレーション!$K$12,シミュレーション!$H$12,M27,1-T$3,シミュレーション!$I$12,シミュレーション!$J$12,シミュレーション!$D$10:$D$15)</f>
        <v>0</v>
      </c>
    </row>
    <row r="28" spans="2:27" ht="14.25" x14ac:dyDescent="0.15">
      <c r="B28" s="18">
        <v>25</v>
      </c>
      <c r="C28" s="29">
        <f>シミュレーションデータの貼り付け!C28*シミュレーション!$D$10+シミュレーションデータの貼り付け!G28*シミュレーション!$D$11+シミュレーションデータの貼り付け!K28*シミュレーション!$D$12+シミュレーションデータの貼り付け!O28*シミュレーション!$D$13+シミュレーションデータの貼り付け!S28*シミュレーション!$D$14+シミュレーションデータの貼り付け!W28*シミュレーション!$D$15</f>
        <v>0</v>
      </c>
      <c r="D28" s="29">
        <f>シミュレーションデータの貼り付け!D28*シミュレーション!$D$10+シミュレーションデータの貼り付け!H28*シミュレーション!$D$11+シミュレーションデータの貼り付け!L28*シミュレーション!$D$12+シミュレーションデータの貼り付け!P28*シミュレーション!$D$13+シミュレーションデータの貼り付け!T28*シミュレーション!$D$14+シミュレーションデータの貼り付け!X28*シミュレーション!$D$15</f>
        <v>0</v>
      </c>
      <c r="E28" s="29">
        <f>シミュレーションデータの貼り付け!E28*シミュレーション!$D$10+シミュレーションデータの貼り付け!I28*シミュレーション!$D$11+シミュレーションデータの貼り付け!M28*シミュレーション!$D$12+シミュレーションデータの貼り付け!Q28*シミュレーション!$D$13+シミュレーションデータの貼り付け!U28*シミュレーション!$D$14+シミュレーションデータの貼り付け!Y28*シミュレーション!$D$15</f>
        <v>0</v>
      </c>
      <c r="F28" s="30">
        <f>シミュレーションデータの貼り付け!F28*シミュレーション!$D$10+シミュレーションデータの貼り付け!J28*シミュレーション!$D$11+シミュレーションデータの貼り付け!N28*シミュレーション!$D$12+シミュレーションデータの貼り付け!R28*シミュレーション!$D$13+シミュレーションデータの貼り付け!V28*シミュレーション!$D$14+シミュレーションデータの貼り付け!Z28*シミュレーション!$D$15</f>
        <v>0</v>
      </c>
      <c r="H28" s="18">
        <v>25</v>
      </c>
      <c r="I28" s="87">
        <f>シミュレーション!$D$19</f>
        <v>0</v>
      </c>
      <c r="J28" s="87">
        <f>I28*(1+'シミュレーション計算用（変更不要）'!C28)</f>
        <v>0</v>
      </c>
      <c r="K28" s="87">
        <f>J28*(1+'シミュレーション計算用（変更不要）'!D28)</f>
        <v>0</v>
      </c>
      <c r="L28" s="87">
        <f>K28*(1+'シミュレーション計算用（変更不要）'!E28)</f>
        <v>0</v>
      </c>
      <c r="M28" s="44">
        <f>L28*(1+'シミュレーション計算用（変更不要）'!F28)</f>
        <v>0</v>
      </c>
      <c r="O28" s="18">
        <v>25</v>
      </c>
      <c r="P28" s="87">
        <f>BarriarOptionPrice(シミュレーション!$K$11,シミュレーション!$H$11,I28,1-P$3,シミュレーション!$I$11,シミュレーション!$J$11,シミュレーション!$D$10:$D$15)</f>
        <v>0</v>
      </c>
      <c r="Q28" s="87">
        <f>BarriarOptionPrice(シミュレーション!$K$11,シミュレーション!$H$11,J28,1-Q$3,シミュレーション!$I$11,シミュレーション!$J$11,シミュレーション!$D$10:$D$15)</f>
        <v>0</v>
      </c>
      <c r="R28" s="87">
        <f>BarriarOptionPrice(シミュレーション!$K$11,シミュレーション!$H$11,K28,1-R$3,シミュレーション!$I$11,シミュレーション!$J$11,シミュレーション!$D$10:$D$15)</f>
        <v>0</v>
      </c>
      <c r="S28" s="87">
        <f>BarriarOptionPrice(シミュレーション!$K$11,シミュレーション!$H$11,L28,1-S$3,シミュレーション!$I$11,シミュレーション!$J$11,シミュレーション!$D$10:$D$15)</f>
        <v>0</v>
      </c>
      <c r="T28" s="44">
        <f>BarriarOptionPrice(シミュレーション!$K$11,シミュレーション!$H$11,M28,1-T$3,シミュレーション!$I$11,シミュレーション!$J$11,シミュレーション!$D$10:$D$15)</f>
        <v>0</v>
      </c>
      <c r="V28" s="18">
        <v>25</v>
      </c>
      <c r="W28" s="87">
        <f>BarriarOptionPrice(シミュレーション!$K$12,シミュレーション!$H$12,I28,1-P$3,シミュレーション!$I$12,シミュレーション!$J$12,シミュレーション!$D$10:$D$15)</f>
        <v>0</v>
      </c>
      <c r="X28" s="87">
        <f>BarriarOptionPrice(シミュレーション!$K$12,シミュレーション!$H$12,J28,1-Q$3,シミュレーション!$I$12,シミュレーション!$J$12,シミュレーション!$D$10:$D$15)</f>
        <v>0</v>
      </c>
      <c r="Y28" s="87">
        <f>BarriarOptionPrice(シミュレーション!$K$12,シミュレーション!$H$12,K28,1-R$3,シミュレーション!$I$12,シミュレーション!$J$12,シミュレーション!$D$10:$D$15)</f>
        <v>0</v>
      </c>
      <c r="Z28" s="87">
        <f>BarriarOptionPrice(シミュレーション!$K$12,シミュレーション!$H$12,L28,1-S$3,シミュレーション!$I$12,シミュレーション!$J$12,シミュレーション!$D$10:$D$15)</f>
        <v>0</v>
      </c>
      <c r="AA28" s="44">
        <f>BarriarOptionPrice(シミュレーション!$K$12,シミュレーション!$H$12,M28,1-T$3,シミュレーション!$I$12,シミュレーション!$J$12,シミュレーション!$D$10:$D$15)</f>
        <v>0</v>
      </c>
    </row>
    <row r="29" spans="2:27" ht="14.25" x14ac:dyDescent="0.15">
      <c r="B29" s="18">
        <v>26</v>
      </c>
      <c r="C29" s="29">
        <f>シミュレーションデータの貼り付け!C29*シミュレーション!$D$10+シミュレーションデータの貼り付け!G29*シミュレーション!$D$11+シミュレーションデータの貼り付け!K29*シミュレーション!$D$12+シミュレーションデータの貼り付け!O29*シミュレーション!$D$13+シミュレーションデータの貼り付け!S29*シミュレーション!$D$14+シミュレーションデータの貼り付け!W29*シミュレーション!$D$15</f>
        <v>0</v>
      </c>
      <c r="D29" s="29">
        <f>シミュレーションデータの貼り付け!D29*シミュレーション!$D$10+シミュレーションデータの貼り付け!H29*シミュレーション!$D$11+シミュレーションデータの貼り付け!L29*シミュレーション!$D$12+シミュレーションデータの貼り付け!P29*シミュレーション!$D$13+シミュレーションデータの貼り付け!T29*シミュレーション!$D$14+シミュレーションデータの貼り付け!X29*シミュレーション!$D$15</f>
        <v>0</v>
      </c>
      <c r="E29" s="29">
        <f>シミュレーションデータの貼り付け!E29*シミュレーション!$D$10+シミュレーションデータの貼り付け!I29*シミュレーション!$D$11+シミュレーションデータの貼り付け!M29*シミュレーション!$D$12+シミュレーションデータの貼り付け!Q29*シミュレーション!$D$13+シミュレーションデータの貼り付け!U29*シミュレーション!$D$14+シミュレーションデータの貼り付け!Y29*シミュレーション!$D$15</f>
        <v>0</v>
      </c>
      <c r="F29" s="30">
        <f>シミュレーションデータの貼り付け!F29*シミュレーション!$D$10+シミュレーションデータの貼り付け!J29*シミュレーション!$D$11+シミュレーションデータの貼り付け!N29*シミュレーション!$D$12+シミュレーションデータの貼り付け!R29*シミュレーション!$D$13+シミュレーションデータの貼り付け!V29*シミュレーション!$D$14+シミュレーションデータの貼り付け!Z29*シミュレーション!$D$15</f>
        <v>0</v>
      </c>
      <c r="H29" s="18">
        <v>26</v>
      </c>
      <c r="I29" s="87">
        <f>シミュレーション!$D$19</f>
        <v>0</v>
      </c>
      <c r="J29" s="87">
        <f>I29*(1+'シミュレーション計算用（変更不要）'!C29)</f>
        <v>0</v>
      </c>
      <c r="K29" s="87">
        <f>J29*(1+'シミュレーション計算用（変更不要）'!D29)</f>
        <v>0</v>
      </c>
      <c r="L29" s="87">
        <f>K29*(1+'シミュレーション計算用（変更不要）'!E29)</f>
        <v>0</v>
      </c>
      <c r="M29" s="44">
        <f>L29*(1+'シミュレーション計算用（変更不要）'!F29)</f>
        <v>0</v>
      </c>
      <c r="O29" s="18">
        <v>26</v>
      </c>
      <c r="P29" s="87">
        <f>BarriarOptionPrice(シミュレーション!$K$11,シミュレーション!$H$11,I29,1-P$3,シミュレーション!$I$11,シミュレーション!$J$11,シミュレーション!$D$10:$D$15)</f>
        <v>0</v>
      </c>
      <c r="Q29" s="87">
        <f>BarriarOptionPrice(シミュレーション!$K$11,シミュレーション!$H$11,J29,1-Q$3,シミュレーション!$I$11,シミュレーション!$J$11,シミュレーション!$D$10:$D$15)</f>
        <v>0</v>
      </c>
      <c r="R29" s="87">
        <f>BarriarOptionPrice(シミュレーション!$K$11,シミュレーション!$H$11,K29,1-R$3,シミュレーション!$I$11,シミュレーション!$J$11,シミュレーション!$D$10:$D$15)</f>
        <v>0</v>
      </c>
      <c r="S29" s="87">
        <f>BarriarOptionPrice(シミュレーション!$K$11,シミュレーション!$H$11,L29,1-S$3,シミュレーション!$I$11,シミュレーション!$J$11,シミュレーション!$D$10:$D$15)</f>
        <v>0</v>
      </c>
      <c r="T29" s="44">
        <f>BarriarOptionPrice(シミュレーション!$K$11,シミュレーション!$H$11,M29,1-T$3,シミュレーション!$I$11,シミュレーション!$J$11,シミュレーション!$D$10:$D$15)</f>
        <v>0</v>
      </c>
      <c r="V29" s="18">
        <v>26</v>
      </c>
      <c r="W29" s="87">
        <f>BarriarOptionPrice(シミュレーション!$K$12,シミュレーション!$H$12,I29,1-P$3,シミュレーション!$I$12,シミュレーション!$J$12,シミュレーション!$D$10:$D$15)</f>
        <v>0</v>
      </c>
      <c r="X29" s="87">
        <f>BarriarOptionPrice(シミュレーション!$K$12,シミュレーション!$H$12,J29,1-Q$3,シミュレーション!$I$12,シミュレーション!$J$12,シミュレーション!$D$10:$D$15)</f>
        <v>0</v>
      </c>
      <c r="Y29" s="87">
        <f>BarriarOptionPrice(シミュレーション!$K$12,シミュレーション!$H$12,K29,1-R$3,シミュレーション!$I$12,シミュレーション!$J$12,シミュレーション!$D$10:$D$15)</f>
        <v>0</v>
      </c>
      <c r="Z29" s="87">
        <f>BarriarOptionPrice(シミュレーション!$K$12,シミュレーション!$H$12,L29,1-S$3,シミュレーション!$I$12,シミュレーション!$J$12,シミュレーション!$D$10:$D$15)</f>
        <v>0</v>
      </c>
      <c r="AA29" s="44">
        <f>BarriarOptionPrice(シミュレーション!$K$12,シミュレーション!$H$12,M29,1-T$3,シミュレーション!$I$12,シミュレーション!$J$12,シミュレーション!$D$10:$D$15)</f>
        <v>0</v>
      </c>
    </row>
    <row r="30" spans="2:27" ht="14.25" x14ac:dyDescent="0.15">
      <c r="B30" s="18">
        <v>27</v>
      </c>
      <c r="C30" s="29">
        <f>シミュレーションデータの貼り付け!C30*シミュレーション!$D$10+シミュレーションデータの貼り付け!G30*シミュレーション!$D$11+シミュレーションデータの貼り付け!K30*シミュレーション!$D$12+シミュレーションデータの貼り付け!O30*シミュレーション!$D$13+シミュレーションデータの貼り付け!S30*シミュレーション!$D$14+シミュレーションデータの貼り付け!W30*シミュレーション!$D$15</f>
        <v>0</v>
      </c>
      <c r="D30" s="29">
        <f>シミュレーションデータの貼り付け!D30*シミュレーション!$D$10+シミュレーションデータの貼り付け!H30*シミュレーション!$D$11+シミュレーションデータの貼り付け!L30*シミュレーション!$D$12+シミュレーションデータの貼り付け!P30*シミュレーション!$D$13+シミュレーションデータの貼り付け!T30*シミュレーション!$D$14+シミュレーションデータの貼り付け!X30*シミュレーション!$D$15</f>
        <v>0</v>
      </c>
      <c r="E30" s="29">
        <f>シミュレーションデータの貼り付け!E30*シミュレーション!$D$10+シミュレーションデータの貼り付け!I30*シミュレーション!$D$11+シミュレーションデータの貼り付け!M30*シミュレーション!$D$12+シミュレーションデータの貼り付け!Q30*シミュレーション!$D$13+シミュレーションデータの貼り付け!U30*シミュレーション!$D$14+シミュレーションデータの貼り付け!Y30*シミュレーション!$D$15</f>
        <v>0</v>
      </c>
      <c r="F30" s="30">
        <f>シミュレーションデータの貼り付け!F30*シミュレーション!$D$10+シミュレーションデータの貼り付け!J30*シミュレーション!$D$11+シミュレーションデータの貼り付け!N30*シミュレーション!$D$12+シミュレーションデータの貼り付け!R30*シミュレーション!$D$13+シミュレーションデータの貼り付け!V30*シミュレーション!$D$14+シミュレーションデータの貼り付け!Z30*シミュレーション!$D$15</f>
        <v>0</v>
      </c>
      <c r="H30" s="18">
        <v>27</v>
      </c>
      <c r="I30" s="87">
        <f>シミュレーション!$D$19</f>
        <v>0</v>
      </c>
      <c r="J30" s="87">
        <f>I30*(1+'シミュレーション計算用（変更不要）'!C30)</f>
        <v>0</v>
      </c>
      <c r="K30" s="87">
        <f>J30*(1+'シミュレーション計算用（変更不要）'!D30)</f>
        <v>0</v>
      </c>
      <c r="L30" s="87">
        <f>K30*(1+'シミュレーション計算用（変更不要）'!E30)</f>
        <v>0</v>
      </c>
      <c r="M30" s="44">
        <f>L30*(1+'シミュレーション計算用（変更不要）'!F30)</f>
        <v>0</v>
      </c>
      <c r="O30" s="18">
        <v>27</v>
      </c>
      <c r="P30" s="87">
        <f>BarriarOptionPrice(シミュレーション!$K$11,シミュレーション!$H$11,I30,1-P$3,シミュレーション!$I$11,シミュレーション!$J$11,シミュレーション!$D$10:$D$15)</f>
        <v>0</v>
      </c>
      <c r="Q30" s="87">
        <f>BarriarOptionPrice(シミュレーション!$K$11,シミュレーション!$H$11,J30,1-Q$3,シミュレーション!$I$11,シミュレーション!$J$11,シミュレーション!$D$10:$D$15)</f>
        <v>0</v>
      </c>
      <c r="R30" s="87">
        <f>BarriarOptionPrice(シミュレーション!$K$11,シミュレーション!$H$11,K30,1-R$3,シミュレーション!$I$11,シミュレーション!$J$11,シミュレーション!$D$10:$D$15)</f>
        <v>0</v>
      </c>
      <c r="S30" s="87">
        <f>BarriarOptionPrice(シミュレーション!$K$11,シミュレーション!$H$11,L30,1-S$3,シミュレーション!$I$11,シミュレーション!$J$11,シミュレーション!$D$10:$D$15)</f>
        <v>0</v>
      </c>
      <c r="T30" s="44">
        <f>BarriarOptionPrice(シミュレーション!$K$11,シミュレーション!$H$11,M30,1-T$3,シミュレーション!$I$11,シミュレーション!$J$11,シミュレーション!$D$10:$D$15)</f>
        <v>0</v>
      </c>
      <c r="V30" s="18">
        <v>27</v>
      </c>
      <c r="W30" s="87">
        <f>BarriarOptionPrice(シミュレーション!$K$12,シミュレーション!$H$12,I30,1-P$3,シミュレーション!$I$12,シミュレーション!$J$12,シミュレーション!$D$10:$D$15)</f>
        <v>0</v>
      </c>
      <c r="X30" s="87">
        <f>BarriarOptionPrice(シミュレーション!$K$12,シミュレーション!$H$12,J30,1-Q$3,シミュレーション!$I$12,シミュレーション!$J$12,シミュレーション!$D$10:$D$15)</f>
        <v>0</v>
      </c>
      <c r="Y30" s="87">
        <f>BarriarOptionPrice(シミュレーション!$K$12,シミュレーション!$H$12,K30,1-R$3,シミュレーション!$I$12,シミュレーション!$J$12,シミュレーション!$D$10:$D$15)</f>
        <v>0</v>
      </c>
      <c r="Z30" s="87">
        <f>BarriarOptionPrice(シミュレーション!$K$12,シミュレーション!$H$12,L30,1-S$3,シミュレーション!$I$12,シミュレーション!$J$12,シミュレーション!$D$10:$D$15)</f>
        <v>0</v>
      </c>
      <c r="AA30" s="44">
        <f>BarriarOptionPrice(シミュレーション!$K$12,シミュレーション!$H$12,M30,1-T$3,シミュレーション!$I$12,シミュレーション!$J$12,シミュレーション!$D$10:$D$15)</f>
        <v>0</v>
      </c>
    </row>
    <row r="31" spans="2:27" ht="14.25" x14ac:dyDescent="0.15">
      <c r="B31" s="18">
        <v>28</v>
      </c>
      <c r="C31" s="29">
        <f>シミュレーションデータの貼り付け!C31*シミュレーション!$D$10+シミュレーションデータの貼り付け!G31*シミュレーション!$D$11+シミュレーションデータの貼り付け!K31*シミュレーション!$D$12+シミュレーションデータの貼り付け!O31*シミュレーション!$D$13+シミュレーションデータの貼り付け!S31*シミュレーション!$D$14+シミュレーションデータの貼り付け!W31*シミュレーション!$D$15</f>
        <v>0</v>
      </c>
      <c r="D31" s="29">
        <f>シミュレーションデータの貼り付け!D31*シミュレーション!$D$10+シミュレーションデータの貼り付け!H31*シミュレーション!$D$11+シミュレーションデータの貼り付け!L31*シミュレーション!$D$12+シミュレーションデータの貼り付け!P31*シミュレーション!$D$13+シミュレーションデータの貼り付け!T31*シミュレーション!$D$14+シミュレーションデータの貼り付け!X31*シミュレーション!$D$15</f>
        <v>0</v>
      </c>
      <c r="E31" s="29">
        <f>シミュレーションデータの貼り付け!E31*シミュレーション!$D$10+シミュレーションデータの貼り付け!I31*シミュレーション!$D$11+シミュレーションデータの貼り付け!M31*シミュレーション!$D$12+シミュレーションデータの貼り付け!Q31*シミュレーション!$D$13+シミュレーションデータの貼り付け!U31*シミュレーション!$D$14+シミュレーションデータの貼り付け!Y31*シミュレーション!$D$15</f>
        <v>0</v>
      </c>
      <c r="F31" s="30">
        <f>シミュレーションデータの貼り付け!F31*シミュレーション!$D$10+シミュレーションデータの貼り付け!J31*シミュレーション!$D$11+シミュレーションデータの貼り付け!N31*シミュレーション!$D$12+シミュレーションデータの貼り付け!R31*シミュレーション!$D$13+シミュレーションデータの貼り付け!V31*シミュレーション!$D$14+シミュレーションデータの貼り付け!Z31*シミュレーション!$D$15</f>
        <v>0</v>
      </c>
      <c r="H31" s="18">
        <v>28</v>
      </c>
      <c r="I31" s="87">
        <f>シミュレーション!$D$19</f>
        <v>0</v>
      </c>
      <c r="J31" s="87">
        <f>I31*(1+'シミュレーション計算用（変更不要）'!C31)</f>
        <v>0</v>
      </c>
      <c r="K31" s="87">
        <f>J31*(1+'シミュレーション計算用（変更不要）'!D31)</f>
        <v>0</v>
      </c>
      <c r="L31" s="87">
        <f>K31*(1+'シミュレーション計算用（変更不要）'!E31)</f>
        <v>0</v>
      </c>
      <c r="M31" s="44">
        <f>L31*(1+'シミュレーション計算用（変更不要）'!F31)</f>
        <v>0</v>
      </c>
      <c r="O31" s="18">
        <v>28</v>
      </c>
      <c r="P31" s="87">
        <f>BarriarOptionPrice(シミュレーション!$K$11,シミュレーション!$H$11,I31,1-P$3,シミュレーション!$I$11,シミュレーション!$J$11,シミュレーション!$D$10:$D$15)</f>
        <v>0</v>
      </c>
      <c r="Q31" s="87">
        <f>BarriarOptionPrice(シミュレーション!$K$11,シミュレーション!$H$11,J31,1-Q$3,シミュレーション!$I$11,シミュレーション!$J$11,シミュレーション!$D$10:$D$15)</f>
        <v>0</v>
      </c>
      <c r="R31" s="87">
        <f>BarriarOptionPrice(シミュレーション!$K$11,シミュレーション!$H$11,K31,1-R$3,シミュレーション!$I$11,シミュレーション!$J$11,シミュレーション!$D$10:$D$15)</f>
        <v>0</v>
      </c>
      <c r="S31" s="87">
        <f>BarriarOptionPrice(シミュレーション!$K$11,シミュレーション!$H$11,L31,1-S$3,シミュレーション!$I$11,シミュレーション!$J$11,シミュレーション!$D$10:$D$15)</f>
        <v>0</v>
      </c>
      <c r="T31" s="44">
        <f>BarriarOptionPrice(シミュレーション!$K$11,シミュレーション!$H$11,M31,1-T$3,シミュレーション!$I$11,シミュレーション!$J$11,シミュレーション!$D$10:$D$15)</f>
        <v>0</v>
      </c>
      <c r="V31" s="18">
        <v>28</v>
      </c>
      <c r="W31" s="87">
        <f>BarriarOptionPrice(シミュレーション!$K$12,シミュレーション!$H$12,I31,1-P$3,シミュレーション!$I$12,シミュレーション!$J$12,シミュレーション!$D$10:$D$15)</f>
        <v>0</v>
      </c>
      <c r="X31" s="87">
        <f>BarriarOptionPrice(シミュレーション!$K$12,シミュレーション!$H$12,J31,1-Q$3,シミュレーション!$I$12,シミュレーション!$J$12,シミュレーション!$D$10:$D$15)</f>
        <v>0</v>
      </c>
      <c r="Y31" s="87">
        <f>BarriarOptionPrice(シミュレーション!$K$12,シミュレーション!$H$12,K31,1-R$3,シミュレーション!$I$12,シミュレーション!$J$12,シミュレーション!$D$10:$D$15)</f>
        <v>0</v>
      </c>
      <c r="Z31" s="87">
        <f>BarriarOptionPrice(シミュレーション!$K$12,シミュレーション!$H$12,L31,1-S$3,シミュレーション!$I$12,シミュレーション!$J$12,シミュレーション!$D$10:$D$15)</f>
        <v>0</v>
      </c>
      <c r="AA31" s="44">
        <f>BarriarOptionPrice(シミュレーション!$K$12,シミュレーション!$H$12,M31,1-T$3,シミュレーション!$I$12,シミュレーション!$J$12,シミュレーション!$D$10:$D$15)</f>
        <v>0</v>
      </c>
    </row>
    <row r="32" spans="2:27" ht="14.25" x14ac:dyDescent="0.15">
      <c r="B32" s="18">
        <v>29</v>
      </c>
      <c r="C32" s="29">
        <f>シミュレーションデータの貼り付け!C32*シミュレーション!$D$10+シミュレーションデータの貼り付け!G32*シミュレーション!$D$11+シミュレーションデータの貼り付け!K32*シミュレーション!$D$12+シミュレーションデータの貼り付け!O32*シミュレーション!$D$13+シミュレーションデータの貼り付け!S32*シミュレーション!$D$14+シミュレーションデータの貼り付け!W32*シミュレーション!$D$15</f>
        <v>0</v>
      </c>
      <c r="D32" s="29">
        <f>シミュレーションデータの貼り付け!D32*シミュレーション!$D$10+シミュレーションデータの貼り付け!H32*シミュレーション!$D$11+シミュレーションデータの貼り付け!L32*シミュレーション!$D$12+シミュレーションデータの貼り付け!P32*シミュレーション!$D$13+シミュレーションデータの貼り付け!T32*シミュレーション!$D$14+シミュレーションデータの貼り付け!X32*シミュレーション!$D$15</f>
        <v>0</v>
      </c>
      <c r="E32" s="29">
        <f>シミュレーションデータの貼り付け!E32*シミュレーション!$D$10+シミュレーションデータの貼り付け!I32*シミュレーション!$D$11+シミュレーションデータの貼り付け!M32*シミュレーション!$D$12+シミュレーションデータの貼り付け!Q32*シミュレーション!$D$13+シミュレーションデータの貼り付け!U32*シミュレーション!$D$14+シミュレーションデータの貼り付け!Y32*シミュレーション!$D$15</f>
        <v>0</v>
      </c>
      <c r="F32" s="30">
        <f>シミュレーションデータの貼り付け!F32*シミュレーション!$D$10+シミュレーションデータの貼り付け!J32*シミュレーション!$D$11+シミュレーションデータの貼り付け!N32*シミュレーション!$D$12+シミュレーションデータの貼り付け!R32*シミュレーション!$D$13+シミュレーションデータの貼り付け!V32*シミュレーション!$D$14+シミュレーションデータの貼り付け!Z32*シミュレーション!$D$15</f>
        <v>0</v>
      </c>
      <c r="H32" s="18">
        <v>29</v>
      </c>
      <c r="I32" s="87">
        <f>シミュレーション!$D$19</f>
        <v>0</v>
      </c>
      <c r="J32" s="87">
        <f>I32*(1+'シミュレーション計算用（変更不要）'!C32)</f>
        <v>0</v>
      </c>
      <c r="K32" s="87">
        <f>J32*(1+'シミュレーション計算用（変更不要）'!D32)</f>
        <v>0</v>
      </c>
      <c r="L32" s="87">
        <f>K32*(1+'シミュレーション計算用（変更不要）'!E32)</f>
        <v>0</v>
      </c>
      <c r="M32" s="44">
        <f>L32*(1+'シミュレーション計算用（変更不要）'!F32)</f>
        <v>0</v>
      </c>
      <c r="O32" s="18">
        <v>29</v>
      </c>
      <c r="P32" s="87">
        <f>BarriarOptionPrice(シミュレーション!$K$11,シミュレーション!$H$11,I32,1-P$3,シミュレーション!$I$11,シミュレーション!$J$11,シミュレーション!$D$10:$D$15)</f>
        <v>0</v>
      </c>
      <c r="Q32" s="87">
        <f>BarriarOptionPrice(シミュレーション!$K$11,シミュレーション!$H$11,J32,1-Q$3,シミュレーション!$I$11,シミュレーション!$J$11,シミュレーション!$D$10:$D$15)</f>
        <v>0</v>
      </c>
      <c r="R32" s="87">
        <f>BarriarOptionPrice(シミュレーション!$K$11,シミュレーション!$H$11,K32,1-R$3,シミュレーション!$I$11,シミュレーション!$J$11,シミュレーション!$D$10:$D$15)</f>
        <v>0</v>
      </c>
      <c r="S32" s="87">
        <f>BarriarOptionPrice(シミュレーション!$K$11,シミュレーション!$H$11,L32,1-S$3,シミュレーション!$I$11,シミュレーション!$J$11,シミュレーション!$D$10:$D$15)</f>
        <v>0</v>
      </c>
      <c r="T32" s="44">
        <f>BarriarOptionPrice(シミュレーション!$K$11,シミュレーション!$H$11,M32,1-T$3,シミュレーション!$I$11,シミュレーション!$J$11,シミュレーション!$D$10:$D$15)</f>
        <v>0</v>
      </c>
      <c r="V32" s="18">
        <v>29</v>
      </c>
      <c r="W32" s="87">
        <f>BarriarOptionPrice(シミュレーション!$K$12,シミュレーション!$H$12,I32,1-P$3,シミュレーション!$I$12,シミュレーション!$J$12,シミュレーション!$D$10:$D$15)</f>
        <v>0</v>
      </c>
      <c r="X32" s="87">
        <f>BarriarOptionPrice(シミュレーション!$K$12,シミュレーション!$H$12,J32,1-Q$3,シミュレーション!$I$12,シミュレーション!$J$12,シミュレーション!$D$10:$D$15)</f>
        <v>0</v>
      </c>
      <c r="Y32" s="87">
        <f>BarriarOptionPrice(シミュレーション!$K$12,シミュレーション!$H$12,K32,1-R$3,シミュレーション!$I$12,シミュレーション!$J$12,シミュレーション!$D$10:$D$15)</f>
        <v>0</v>
      </c>
      <c r="Z32" s="87">
        <f>BarriarOptionPrice(シミュレーション!$K$12,シミュレーション!$H$12,L32,1-S$3,シミュレーション!$I$12,シミュレーション!$J$12,シミュレーション!$D$10:$D$15)</f>
        <v>0</v>
      </c>
      <c r="AA32" s="44">
        <f>BarriarOptionPrice(シミュレーション!$K$12,シミュレーション!$H$12,M32,1-T$3,シミュレーション!$I$12,シミュレーション!$J$12,シミュレーション!$D$10:$D$15)</f>
        <v>0</v>
      </c>
    </row>
    <row r="33" spans="2:27" ht="14.25" x14ac:dyDescent="0.15">
      <c r="B33" s="18">
        <v>30</v>
      </c>
      <c r="C33" s="29">
        <f>シミュレーションデータの貼り付け!C33*シミュレーション!$D$10+シミュレーションデータの貼り付け!G33*シミュレーション!$D$11+シミュレーションデータの貼り付け!K33*シミュレーション!$D$12+シミュレーションデータの貼り付け!O33*シミュレーション!$D$13+シミュレーションデータの貼り付け!S33*シミュレーション!$D$14+シミュレーションデータの貼り付け!W33*シミュレーション!$D$15</f>
        <v>0</v>
      </c>
      <c r="D33" s="29">
        <f>シミュレーションデータの貼り付け!D33*シミュレーション!$D$10+シミュレーションデータの貼り付け!H33*シミュレーション!$D$11+シミュレーションデータの貼り付け!L33*シミュレーション!$D$12+シミュレーションデータの貼り付け!P33*シミュレーション!$D$13+シミュレーションデータの貼り付け!T33*シミュレーション!$D$14+シミュレーションデータの貼り付け!X33*シミュレーション!$D$15</f>
        <v>0</v>
      </c>
      <c r="E33" s="29">
        <f>シミュレーションデータの貼り付け!E33*シミュレーション!$D$10+シミュレーションデータの貼り付け!I33*シミュレーション!$D$11+シミュレーションデータの貼り付け!M33*シミュレーション!$D$12+シミュレーションデータの貼り付け!Q33*シミュレーション!$D$13+シミュレーションデータの貼り付け!U33*シミュレーション!$D$14+シミュレーションデータの貼り付け!Y33*シミュレーション!$D$15</f>
        <v>0</v>
      </c>
      <c r="F33" s="30">
        <f>シミュレーションデータの貼り付け!F33*シミュレーション!$D$10+シミュレーションデータの貼り付け!J33*シミュレーション!$D$11+シミュレーションデータの貼り付け!N33*シミュレーション!$D$12+シミュレーションデータの貼り付け!R33*シミュレーション!$D$13+シミュレーションデータの貼り付け!V33*シミュレーション!$D$14+シミュレーションデータの貼り付け!Z33*シミュレーション!$D$15</f>
        <v>0</v>
      </c>
      <c r="H33" s="18">
        <v>30</v>
      </c>
      <c r="I33" s="87">
        <f>シミュレーション!$D$19</f>
        <v>0</v>
      </c>
      <c r="J33" s="87">
        <f>I33*(1+'シミュレーション計算用（変更不要）'!C33)</f>
        <v>0</v>
      </c>
      <c r="K33" s="87">
        <f>J33*(1+'シミュレーション計算用（変更不要）'!D33)</f>
        <v>0</v>
      </c>
      <c r="L33" s="87">
        <f>K33*(1+'シミュレーション計算用（変更不要）'!E33)</f>
        <v>0</v>
      </c>
      <c r="M33" s="44">
        <f>L33*(1+'シミュレーション計算用（変更不要）'!F33)</f>
        <v>0</v>
      </c>
      <c r="O33" s="18">
        <v>30</v>
      </c>
      <c r="P33" s="87">
        <f>BarriarOptionPrice(シミュレーション!$K$11,シミュレーション!$H$11,I33,1-P$3,シミュレーション!$I$11,シミュレーション!$J$11,シミュレーション!$D$10:$D$15)</f>
        <v>0</v>
      </c>
      <c r="Q33" s="87">
        <f>BarriarOptionPrice(シミュレーション!$K$11,シミュレーション!$H$11,J33,1-Q$3,シミュレーション!$I$11,シミュレーション!$J$11,シミュレーション!$D$10:$D$15)</f>
        <v>0</v>
      </c>
      <c r="R33" s="87">
        <f>BarriarOptionPrice(シミュレーション!$K$11,シミュレーション!$H$11,K33,1-R$3,シミュレーション!$I$11,シミュレーション!$J$11,シミュレーション!$D$10:$D$15)</f>
        <v>0</v>
      </c>
      <c r="S33" s="87">
        <f>BarriarOptionPrice(シミュレーション!$K$11,シミュレーション!$H$11,L33,1-S$3,シミュレーション!$I$11,シミュレーション!$J$11,シミュレーション!$D$10:$D$15)</f>
        <v>0</v>
      </c>
      <c r="T33" s="44">
        <f>BarriarOptionPrice(シミュレーション!$K$11,シミュレーション!$H$11,M33,1-T$3,シミュレーション!$I$11,シミュレーション!$J$11,シミュレーション!$D$10:$D$15)</f>
        <v>0</v>
      </c>
      <c r="V33" s="18">
        <v>30</v>
      </c>
      <c r="W33" s="87">
        <f>BarriarOptionPrice(シミュレーション!$K$12,シミュレーション!$H$12,I33,1-P$3,シミュレーション!$I$12,シミュレーション!$J$12,シミュレーション!$D$10:$D$15)</f>
        <v>0</v>
      </c>
      <c r="X33" s="87">
        <f>BarriarOptionPrice(シミュレーション!$K$12,シミュレーション!$H$12,J33,1-Q$3,シミュレーション!$I$12,シミュレーション!$J$12,シミュレーション!$D$10:$D$15)</f>
        <v>0</v>
      </c>
      <c r="Y33" s="87">
        <f>BarriarOptionPrice(シミュレーション!$K$12,シミュレーション!$H$12,K33,1-R$3,シミュレーション!$I$12,シミュレーション!$J$12,シミュレーション!$D$10:$D$15)</f>
        <v>0</v>
      </c>
      <c r="Z33" s="87">
        <f>BarriarOptionPrice(シミュレーション!$K$12,シミュレーション!$H$12,L33,1-S$3,シミュレーション!$I$12,シミュレーション!$J$12,シミュレーション!$D$10:$D$15)</f>
        <v>0</v>
      </c>
      <c r="AA33" s="44">
        <f>BarriarOptionPrice(シミュレーション!$K$12,シミュレーション!$H$12,M33,1-T$3,シミュレーション!$I$12,シミュレーション!$J$12,シミュレーション!$D$10:$D$15)</f>
        <v>0</v>
      </c>
    </row>
    <row r="34" spans="2:27" ht="14.25" x14ac:dyDescent="0.15">
      <c r="B34" s="18">
        <v>31</v>
      </c>
      <c r="C34" s="29">
        <f>シミュレーションデータの貼り付け!C34*シミュレーション!$D$10+シミュレーションデータの貼り付け!G34*シミュレーション!$D$11+シミュレーションデータの貼り付け!K34*シミュレーション!$D$12+シミュレーションデータの貼り付け!O34*シミュレーション!$D$13+シミュレーションデータの貼り付け!S34*シミュレーション!$D$14+シミュレーションデータの貼り付け!W34*シミュレーション!$D$15</f>
        <v>0</v>
      </c>
      <c r="D34" s="29">
        <f>シミュレーションデータの貼り付け!D34*シミュレーション!$D$10+シミュレーションデータの貼り付け!H34*シミュレーション!$D$11+シミュレーションデータの貼り付け!L34*シミュレーション!$D$12+シミュレーションデータの貼り付け!P34*シミュレーション!$D$13+シミュレーションデータの貼り付け!T34*シミュレーション!$D$14+シミュレーションデータの貼り付け!X34*シミュレーション!$D$15</f>
        <v>0</v>
      </c>
      <c r="E34" s="29">
        <f>シミュレーションデータの貼り付け!E34*シミュレーション!$D$10+シミュレーションデータの貼り付け!I34*シミュレーション!$D$11+シミュレーションデータの貼り付け!M34*シミュレーション!$D$12+シミュレーションデータの貼り付け!Q34*シミュレーション!$D$13+シミュレーションデータの貼り付け!U34*シミュレーション!$D$14+シミュレーションデータの貼り付け!Y34*シミュレーション!$D$15</f>
        <v>0</v>
      </c>
      <c r="F34" s="30">
        <f>シミュレーションデータの貼り付け!F34*シミュレーション!$D$10+シミュレーションデータの貼り付け!J34*シミュレーション!$D$11+シミュレーションデータの貼り付け!N34*シミュレーション!$D$12+シミュレーションデータの貼り付け!R34*シミュレーション!$D$13+シミュレーションデータの貼り付け!V34*シミュレーション!$D$14+シミュレーションデータの貼り付け!Z34*シミュレーション!$D$15</f>
        <v>0</v>
      </c>
      <c r="H34" s="18">
        <v>31</v>
      </c>
      <c r="I34" s="87">
        <f>シミュレーション!$D$19</f>
        <v>0</v>
      </c>
      <c r="J34" s="87">
        <f>I34*(1+'シミュレーション計算用（変更不要）'!C34)</f>
        <v>0</v>
      </c>
      <c r="K34" s="87">
        <f>J34*(1+'シミュレーション計算用（変更不要）'!D34)</f>
        <v>0</v>
      </c>
      <c r="L34" s="87">
        <f>K34*(1+'シミュレーション計算用（変更不要）'!E34)</f>
        <v>0</v>
      </c>
      <c r="M34" s="44">
        <f>L34*(1+'シミュレーション計算用（変更不要）'!F34)</f>
        <v>0</v>
      </c>
      <c r="O34" s="18">
        <v>31</v>
      </c>
      <c r="P34" s="87">
        <f>BarriarOptionPrice(シミュレーション!$K$11,シミュレーション!$H$11,I34,1-P$3,シミュレーション!$I$11,シミュレーション!$J$11,シミュレーション!$D$10:$D$15)</f>
        <v>0</v>
      </c>
      <c r="Q34" s="87">
        <f>BarriarOptionPrice(シミュレーション!$K$11,シミュレーション!$H$11,J34,1-Q$3,シミュレーション!$I$11,シミュレーション!$J$11,シミュレーション!$D$10:$D$15)</f>
        <v>0</v>
      </c>
      <c r="R34" s="87">
        <f>BarriarOptionPrice(シミュレーション!$K$11,シミュレーション!$H$11,K34,1-R$3,シミュレーション!$I$11,シミュレーション!$J$11,シミュレーション!$D$10:$D$15)</f>
        <v>0</v>
      </c>
      <c r="S34" s="87">
        <f>BarriarOptionPrice(シミュレーション!$K$11,シミュレーション!$H$11,L34,1-S$3,シミュレーション!$I$11,シミュレーション!$J$11,シミュレーション!$D$10:$D$15)</f>
        <v>0</v>
      </c>
      <c r="T34" s="44">
        <f>BarriarOptionPrice(シミュレーション!$K$11,シミュレーション!$H$11,M34,1-T$3,シミュレーション!$I$11,シミュレーション!$J$11,シミュレーション!$D$10:$D$15)</f>
        <v>0</v>
      </c>
      <c r="V34" s="18">
        <v>31</v>
      </c>
      <c r="W34" s="87">
        <f>BarriarOptionPrice(シミュレーション!$K$12,シミュレーション!$H$12,I34,1-P$3,シミュレーション!$I$12,シミュレーション!$J$12,シミュレーション!$D$10:$D$15)</f>
        <v>0</v>
      </c>
      <c r="X34" s="87">
        <f>BarriarOptionPrice(シミュレーション!$K$12,シミュレーション!$H$12,J34,1-Q$3,シミュレーション!$I$12,シミュレーション!$J$12,シミュレーション!$D$10:$D$15)</f>
        <v>0</v>
      </c>
      <c r="Y34" s="87">
        <f>BarriarOptionPrice(シミュレーション!$K$12,シミュレーション!$H$12,K34,1-R$3,シミュレーション!$I$12,シミュレーション!$J$12,シミュレーション!$D$10:$D$15)</f>
        <v>0</v>
      </c>
      <c r="Z34" s="87">
        <f>BarriarOptionPrice(シミュレーション!$K$12,シミュレーション!$H$12,L34,1-S$3,シミュレーション!$I$12,シミュレーション!$J$12,シミュレーション!$D$10:$D$15)</f>
        <v>0</v>
      </c>
      <c r="AA34" s="44">
        <f>BarriarOptionPrice(シミュレーション!$K$12,シミュレーション!$H$12,M34,1-T$3,シミュレーション!$I$12,シミュレーション!$J$12,シミュレーション!$D$10:$D$15)</f>
        <v>0</v>
      </c>
    </row>
    <row r="35" spans="2:27" ht="14.25" x14ac:dyDescent="0.15">
      <c r="B35" s="18">
        <v>32</v>
      </c>
      <c r="C35" s="29">
        <f>シミュレーションデータの貼り付け!C35*シミュレーション!$D$10+シミュレーションデータの貼り付け!G35*シミュレーション!$D$11+シミュレーションデータの貼り付け!K35*シミュレーション!$D$12+シミュレーションデータの貼り付け!O35*シミュレーション!$D$13+シミュレーションデータの貼り付け!S35*シミュレーション!$D$14+シミュレーションデータの貼り付け!W35*シミュレーション!$D$15</f>
        <v>0</v>
      </c>
      <c r="D35" s="29">
        <f>シミュレーションデータの貼り付け!D35*シミュレーション!$D$10+シミュレーションデータの貼り付け!H35*シミュレーション!$D$11+シミュレーションデータの貼り付け!L35*シミュレーション!$D$12+シミュレーションデータの貼り付け!P35*シミュレーション!$D$13+シミュレーションデータの貼り付け!T35*シミュレーション!$D$14+シミュレーションデータの貼り付け!X35*シミュレーション!$D$15</f>
        <v>0</v>
      </c>
      <c r="E35" s="29">
        <f>シミュレーションデータの貼り付け!E35*シミュレーション!$D$10+シミュレーションデータの貼り付け!I35*シミュレーション!$D$11+シミュレーションデータの貼り付け!M35*シミュレーション!$D$12+シミュレーションデータの貼り付け!Q35*シミュレーション!$D$13+シミュレーションデータの貼り付け!U35*シミュレーション!$D$14+シミュレーションデータの貼り付け!Y35*シミュレーション!$D$15</f>
        <v>0</v>
      </c>
      <c r="F35" s="30">
        <f>シミュレーションデータの貼り付け!F35*シミュレーション!$D$10+シミュレーションデータの貼り付け!J35*シミュレーション!$D$11+シミュレーションデータの貼り付け!N35*シミュレーション!$D$12+シミュレーションデータの貼り付け!R35*シミュレーション!$D$13+シミュレーションデータの貼り付け!V35*シミュレーション!$D$14+シミュレーションデータの貼り付け!Z35*シミュレーション!$D$15</f>
        <v>0</v>
      </c>
      <c r="H35" s="18">
        <v>32</v>
      </c>
      <c r="I35" s="87">
        <f>シミュレーション!$D$19</f>
        <v>0</v>
      </c>
      <c r="J35" s="87">
        <f>I35*(1+'シミュレーション計算用（変更不要）'!C35)</f>
        <v>0</v>
      </c>
      <c r="K35" s="87">
        <f>J35*(1+'シミュレーション計算用（変更不要）'!D35)</f>
        <v>0</v>
      </c>
      <c r="L35" s="87">
        <f>K35*(1+'シミュレーション計算用（変更不要）'!E35)</f>
        <v>0</v>
      </c>
      <c r="M35" s="44">
        <f>L35*(1+'シミュレーション計算用（変更不要）'!F35)</f>
        <v>0</v>
      </c>
      <c r="O35" s="18">
        <v>32</v>
      </c>
      <c r="P35" s="87">
        <f>BarriarOptionPrice(シミュレーション!$K$11,シミュレーション!$H$11,I35,1-P$3,シミュレーション!$I$11,シミュレーション!$J$11,シミュレーション!$D$10:$D$15)</f>
        <v>0</v>
      </c>
      <c r="Q35" s="87">
        <f>BarriarOptionPrice(シミュレーション!$K$11,シミュレーション!$H$11,J35,1-Q$3,シミュレーション!$I$11,シミュレーション!$J$11,シミュレーション!$D$10:$D$15)</f>
        <v>0</v>
      </c>
      <c r="R35" s="87">
        <f>BarriarOptionPrice(シミュレーション!$K$11,シミュレーション!$H$11,K35,1-R$3,シミュレーション!$I$11,シミュレーション!$J$11,シミュレーション!$D$10:$D$15)</f>
        <v>0</v>
      </c>
      <c r="S35" s="87">
        <f>BarriarOptionPrice(シミュレーション!$K$11,シミュレーション!$H$11,L35,1-S$3,シミュレーション!$I$11,シミュレーション!$J$11,シミュレーション!$D$10:$D$15)</f>
        <v>0</v>
      </c>
      <c r="T35" s="44">
        <f>BarriarOptionPrice(シミュレーション!$K$11,シミュレーション!$H$11,M35,1-T$3,シミュレーション!$I$11,シミュレーション!$J$11,シミュレーション!$D$10:$D$15)</f>
        <v>0</v>
      </c>
      <c r="V35" s="18">
        <v>32</v>
      </c>
      <c r="W35" s="87">
        <f>BarriarOptionPrice(シミュレーション!$K$12,シミュレーション!$H$12,I35,1-P$3,シミュレーション!$I$12,シミュレーション!$J$12,シミュレーション!$D$10:$D$15)</f>
        <v>0</v>
      </c>
      <c r="X35" s="87">
        <f>BarriarOptionPrice(シミュレーション!$K$12,シミュレーション!$H$12,J35,1-Q$3,シミュレーション!$I$12,シミュレーション!$J$12,シミュレーション!$D$10:$D$15)</f>
        <v>0</v>
      </c>
      <c r="Y35" s="87">
        <f>BarriarOptionPrice(シミュレーション!$K$12,シミュレーション!$H$12,K35,1-R$3,シミュレーション!$I$12,シミュレーション!$J$12,シミュレーション!$D$10:$D$15)</f>
        <v>0</v>
      </c>
      <c r="Z35" s="87">
        <f>BarriarOptionPrice(シミュレーション!$K$12,シミュレーション!$H$12,L35,1-S$3,シミュレーション!$I$12,シミュレーション!$J$12,シミュレーション!$D$10:$D$15)</f>
        <v>0</v>
      </c>
      <c r="AA35" s="44">
        <f>BarriarOptionPrice(シミュレーション!$K$12,シミュレーション!$H$12,M35,1-T$3,シミュレーション!$I$12,シミュレーション!$J$12,シミュレーション!$D$10:$D$15)</f>
        <v>0</v>
      </c>
    </row>
    <row r="36" spans="2:27" ht="14.25" x14ac:dyDescent="0.15">
      <c r="B36" s="18">
        <v>33</v>
      </c>
      <c r="C36" s="29">
        <f>シミュレーションデータの貼り付け!C36*シミュレーション!$D$10+シミュレーションデータの貼り付け!G36*シミュレーション!$D$11+シミュレーションデータの貼り付け!K36*シミュレーション!$D$12+シミュレーションデータの貼り付け!O36*シミュレーション!$D$13+シミュレーションデータの貼り付け!S36*シミュレーション!$D$14+シミュレーションデータの貼り付け!W36*シミュレーション!$D$15</f>
        <v>0</v>
      </c>
      <c r="D36" s="29">
        <f>シミュレーションデータの貼り付け!D36*シミュレーション!$D$10+シミュレーションデータの貼り付け!H36*シミュレーション!$D$11+シミュレーションデータの貼り付け!L36*シミュレーション!$D$12+シミュレーションデータの貼り付け!P36*シミュレーション!$D$13+シミュレーションデータの貼り付け!T36*シミュレーション!$D$14+シミュレーションデータの貼り付け!X36*シミュレーション!$D$15</f>
        <v>0</v>
      </c>
      <c r="E36" s="29">
        <f>シミュレーションデータの貼り付け!E36*シミュレーション!$D$10+シミュレーションデータの貼り付け!I36*シミュレーション!$D$11+シミュレーションデータの貼り付け!M36*シミュレーション!$D$12+シミュレーションデータの貼り付け!Q36*シミュレーション!$D$13+シミュレーションデータの貼り付け!U36*シミュレーション!$D$14+シミュレーションデータの貼り付け!Y36*シミュレーション!$D$15</f>
        <v>0</v>
      </c>
      <c r="F36" s="30">
        <f>シミュレーションデータの貼り付け!F36*シミュレーション!$D$10+シミュレーションデータの貼り付け!J36*シミュレーション!$D$11+シミュレーションデータの貼り付け!N36*シミュレーション!$D$12+シミュレーションデータの貼り付け!R36*シミュレーション!$D$13+シミュレーションデータの貼り付け!V36*シミュレーション!$D$14+シミュレーションデータの貼り付け!Z36*シミュレーション!$D$15</f>
        <v>0</v>
      </c>
      <c r="H36" s="18">
        <v>33</v>
      </c>
      <c r="I36" s="87">
        <f>シミュレーション!$D$19</f>
        <v>0</v>
      </c>
      <c r="J36" s="87">
        <f>I36*(1+'シミュレーション計算用（変更不要）'!C36)</f>
        <v>0</v>
      </c>
      <c r="K36" s="87">
        <f>J36*(1+'シミュレーション計算用（変更不要）'!D36)</f>
        <v>0</v>
      </c>
      <c r="L36" s="87">
        <f>K36*(1+'シミュレーション計算用（変更不要）'!E36)</f>
        <v>0</v>
      </c>
      <c r="M36" s="44">
        <f>L36*(1+'シミュレーション計算用（変更不要）'!F36)</f>
        <v>0</v>
      </c>
      <c r="O36" s="18">
        <v>33</v>
      </c>
      <c r="P36" s="87">
        <f>BarriarOptionPrice(シミュレーション!$K$11,シミュレーション!$H$11,I36,1-P$3,シミュレーション!$I$11,シミュレーション!$J$11,シミュレーション!$D$10:$D$15)</f>
        <v>0</v>
      </c>
      <c r="Q36" s="87">
        <f>BarriarOptionPrice(シミュレーション!$K$11,シミュレーション!$H$11,J36,1-Q$3,シミュレーション!$I$11,シミュレーション!$J$11,シミュレーション!$D$10:$D$15)</f>
        <v>0</v>
      </c>
      <c r="R36" s="87">
        <f>BarriarOptionPrice(シミュレーション!$K$11,シミュレーション!$H$11,K36,1-R$3,シミュレーション!$I$11,シミュレーション!$J$11,シミュレーション!$D$10:$D$15)</f>
        <v>0</v>
      </c>
      <c r="S36" s="87">
        <f>BarriarOptionPrice(シミュレーション!$K$11,シミュレーション!$H$11,L36,1-S$3,シミュレーション!$I$11,シミュレーション!$J$11,シミュレーション!$D$10:$D$15)</f>
        <v>0</v>
      </c>
      <c r="T36" s="44">
        <f>BarriarOptionPrice(シミュレーション!$K$11,シミュレーション!$H$11,M36,1-T$3,シミュレーション!$I$11,シミュレーション!$J$11,シミュレーション!$D$10:$D$15)</f>
        <v>0</v>
      </c>
      <c r="V36" s="18">
        <v>33</v>
      </c>
      <c r="W36" s="87">
        <f>BarriarOptionPrice(シミュレーション!$K$12,シミュレーション!$H$12,I36,1-P$3,シミュレーション!$I$12,シミュレーション!$J$12,シミュレーション!$D$10:$D$15)</f>
        <v>0</v>
      </c>
      <c r="X36" s="87">
        <f>BarriarOptionPrice(シミュレーション!$K$12,シミュレーション!$H$12,J36,1-Q$3,シミュレーション!$I$12,シミュレーション!$J$12,シミュレーション!$D$10:$D$15)</f>
        <v>0</v>
      </c>
      <c r="Y36" s="87">
        <f>BarriarOptionPrice(シミュレーション!$K$12,シミュレーション!$H$12,K36,1-R$3,シミュレーション!$I$12,シミュレーション!$J$12,シミュレーション!$D$10:$D$15)</f>
        <v>0</v>
      </c>
      <c r="Z36" s="87">
        <f>BarriarOptionPrice(シミュレーション!$K$12,シミュレーション!$H$12,L36,1-S$3,シミュレーション!$I$12,シミュレーション!$J$12,シミュレーション!$D$10:$D$15)</f>
        <v>0</v>
      </c>
      <c r="AA36" s="44">
        <f>BarriarOptionPrice(シミュレーション!$K$12,シミュレーション!$H$12,M36,1-T$3,シミュレーション!$I$12,シミュレーション!$J$12,シミュレーション!$D$10:$D$15)</f>
        <v>0</v>
      </c>
    </row>
    <row r="37" spans="2:27" ht="14.25" x14ac:dyDescent="0.15">
      <c r="B37" s="18">
        <v>34</v>
      </c>
      <c r="C37" s="29">
        <f>シミュレーションデータの貼り付け!C37*シミュレーション!$D$10+シミュレーションデータの貼り付け!G37*シミュレーション!$D$11+シミュレーションデータの貼り付け!K37*シミュレーション!$D$12+シミュレーションデータの貼り付け!O37*シミュレーション!$D$13+シミュレーションデータの貼り付け!S37*シミュレーション!$D$14+シミュレーションデータの貼り付け!W37*シミュレーション!$D$15</f>
        <v>0</v>
      </c>
      <c r="D37" s="29">
        <f>シミュレーションデータの貼り付け!D37*シミュレーション!$D$10+シミュレーションデータの貼り付け!H37*シミュレーション!$D$11+シミュレーションデータの貼り付け!L37*シミュレーション!$D$12+シミュレーションデータの貼り付け!P37*シミュレーション!$D$13+シミュレーションデータの貼り付け!T37*シミュレーション!$D$14+シミュレーションデータの貼り付け!X37*シミュレーション!$D$15</f>
        <v>0</v>
      </c>
      <c r="E37" s="29">
        <f>シミュレーションデータの貼り付け!E37*シミュレーション!$D$10+シミュレーションデータの貼り付け!I37*シミュレーション!$D$11+シミュレーションデータの貼り付け!M37*シミュレーション!$D$12+シミュレーションデータの貼り付け!Q37*シミュレーション!$D$13+シミュレーションデータの貼り付け!U37*シミュレーション!$D$14+シミュレーションデータの貼り付け!Y37*シミュレーション!$D$15</f>
        <v>0</v>
      </c>
      <c r="F37" s="30">
        <f>シミュレーションデータの貼り付け!F37*シミュレーション!$D$10+シミュレーションデータの貼り付け!J37*シミュレーション!$D$11+シミュレーションデータの貼り付け!N37*シミュレーション!$D$12+シミュレーションデータの貼り付け!R37*シミュレーション!$D$13+シミュレーションデータの貼り付け!V37*シミュレーション!$D$14+シミュレーションデータの貼り付け!Z37*シミュレーション!$D$15</f>
        <v>0</v>
      </c>
      <c r="H37" s="18">
        <v>34</v>
      </c>
      <c r="I37" s="87">
        <f>シミュレーション!$D$19</f>
        <v>0</v>
      </c>
      <c r="J37" s="87">
        <f>I37*(1+'シミュレーション計算用（変更不要）'!C37)</f>
        <v>0</v>
      </c>
      <c r="K37" s="87">
        <f>J37*(1+'シミュレーション計算用（変更不要）'!D37)</f>
        <v>0</v>
      </c>
      <c r="L37" s="87">
        <f>K37*(1+'シミュレーション計算用（変更不要）'!E37)</f>
        <v>0</v>
      </c>
      <c r="M37" s="44">
        <f>L37*(1+'シミュレーション計算用（変更不要）'!F37)</f>
        <v>0</v>
      </c>
      <c r="O37" s="18">
        <v>34</v>
      </c>
      <c r="P37" s="87">
        <f>BarriarOptionPrice(シミュレーション!$K$11,シミュレーション!$H$11,I37,1-P$3,シミュレーション!$I$11,シミュレーション!$J$11,シミュレーション!$D$10:$D$15)</f>
        <v>0</v>
      </c>
      <c r="Q37" s="87">
        <f>BarriarOptionPrice(シミュレーション!$K$11,シミュレーション!$H$11,J37,1-Q$3,シミュレーション!$I$11,シミュレーション!$J$11,シミュレーション!$D$10:$D$15)</f>
        <v>0</v>
      </c>
      <c r="R37" s="87">
        <f>BarriarOptionPrice(シミュレーション!$K$11,シミュレーション!$H$11,K37,1-R$3,シミュレーション!$I$11,シミュレーション!$J$11,シミュレーション!$D$10:$D$15)</f>
        <v>0</v>
      </c>
      <c r="S37" s="87">
        <f>BarriarOptionPrice(シミュレーション!$K$11,シミュレーション!$H$11,L37,1-S$3,シミュレーション!$I$11,シミュレーション!$J$11,シミュレーション!$D$10:$D$15)</f>
        <v>0</v>
      </c>
      <c r="T37" s="44">
        <f>BarriarOptionPrice(シミュレーション!$K$11,シミュレーション!$H$11,M37,1-T$3,シミュレーション!$I$11,シミュレーション!$J$11,シミュレーション!$D$10:$D$15)</f>
        <v>0</v>
      </c>
      <c r="V37" s="18">
        <v>34</v>
      </c>
      <c r="W37" s="87">
        <f>BarriarOptionPrice(シミュレーション!$K$12,シミュレーション!$H$12,I37,1-P$3,シミュレーション!$I$12,シミュレーション!$J$12,シミュレーション!$D$10:$D$15)</f>
        <v>0</v>
      </c>
      <c r="X37" s="87">
        <f>BarriarOptionPrice(シミュレーション!$K$12,シミュレーション!$H$12,J37,1-Q$3,シミュレーション!$I$12,シミュレーション!$J$12,シミュレーション!$D$10:$D$15)</f>
        <v>0</v>
      </c>
      <c r="Y37" s="87">
        <f>BarriarOptionPrice(シミュレーション!$K$12,シミュレーション!$H$12,K37,1-R$3,シミュレーション!$I$12,シミュレーション!$J$12,シミュレーション!$D$10:$D$15)</f>
        <v>0</v>
      </c>
      <c r="Z37" s="87">
        <f>BarriarOptionPrice(シミュレーション!$K$12,シミュレーション!$H$12,L37,1-S$3,シミュレーション!$I$12,シミュレーション!$J$12,シミュレーション!$D$10:$D$15)</f>
        <v>0</v>
      </c>
      <c r="AA37" s="44">
        <f>BarriarOptionPrice(シミュレーション!$K$12,シミュレーション!$H$12,M37,1-T$3,シミュレーション!$I$12,シミュレーション!$J$12,シミュレーション!$D$10:$D$15)</f>
        <v>0</v>
      </c>
    </row>
    <row r="38" spans="2:27" ht="14.25" x14ac:dyDescent="0.15">
      <c r="B38" s="18">
        <v>35</v>
      </c>
      <c r="C38" s="29">
        <f>シミュレーションデータの貼り付け!C38*シミュレーション!$D$10+シミュレーションデータの貼り付け!G38*シミュレーション!$D$11+シミュレーションデータの貼り付け!K38*シミュレーション!$D$12+シミュレーションデータの貼り付け!O38*シミュレーション!$D$13+シミュレーションデータの貼り付け!S38*シミュレーション!$D$14+シミュレーションデータの貼り付け!W38*シミュレーション!$D$15</f>
        <v>0</v>
      </c>
      <c r="D38" s="29">
        <f>シミュレーションデータの貼り付け!D38*シミュレーション!$D$10+シミュレーションデータの貼り付け!H38*シミュレーション!$D$11+シミュレーションデータの貼り付け!L38*シミュレーション!$D$12+シミュレーションデータの貼り付け!P38*シミュレーション!$D$13+シミュレーションデータの貼り付け!T38*シミュレーション!$D$14+シミュレーションデータの貼り付け!X38*シミュレーション!$D$15</f>
        <v>0</v>
      </c>
      <c r="E38" s="29">
        <f>シミュレーションデータの貼り付け!E38*シミュレーション!$D$10+シミュレーションデータの貼り付け!I38*シミュレーション!$D$11+シミュレーションデータの貼り付け!M38*シミュレーション!$D$12+シミュレーションデータの貼り付け!Q38*シミュレーション!$D$13+シミュレーションデータの貼り付け!U38*シミュレーション!$D$14+シミュレーションデータの貼り付け!Y38*シミュレーション!$D$15</f>
        <v>0</v>
      </c>
      <c r="F38" s="30">
        <f>シミュレーションデータの貼り付け!F38*シミュレーション!$D$10+シミュレーションデータの貼り付け!J38*シミュレーション!$D$11+シミュレーションデータの貼り付け!N38*シミュレーション!$D$12+シミュレーションデータの貼り付け!R38*シミュレーション!$D$13+シミュレーションデータの貼り付け!V38*シミュレーション!$D$14+シミュレーションデータの貼り付け!Z38*シミュレーション!$D$15</f>
        <v>0</v>
      </c>
      <c r="H38" s="18">
        <v>35</v>
      </c>
      <c r="I38" s="87">
        <f>シミュレーション!$D$19</f>
        <v>0</v>
      </c>
      <c r="J38" s="87">
        <f>I38*(1+'シミュレーション計算用（変更不要）'!C38)</f>
        <v>0</v>
      </c>
      <c r="K38" s="87">
        <f>J38*(1+'シミュレーション計算用（変更不要）'!D38)</f>
        <v>0</v>
      </c>
      <c r="L38" s="87">
        <f>K38*(1+'シミュレーション計算用（変更不要）'!E38)</f>
        <v>0</v>
      </c>
      <c r="M38" s="44">
        <f>L38*(1+'シミュレーション計算用（変更不要）'!F38)</f>
        <v>0</v>
      </c>
      <c r="O38" s="18">
        <v>35</v>
      </c>
      <c r="P38" s="87">
        <f>BarriarOptionPrice(シミュレーション!$K$11,シミュレーション!$H$11,I38,1-P$3,シミュレーション!$I$11,シミュレーション!$J$11,シミュレーション!$D$10:$D$15)</f>
        <v>0</v>
      </c>
      <c r="Q38" s="87">
        <f>BarriarOptionPrice(シミュレーション!$K$11,シミュレーション!$H$11,J38,1-Q$3,シミュレーション!$I$11,シミュレーション!$J$11,シミュレーション!$D$10:$D$15)</f>
        <v>0</v>
      </c>
      <c r="R38" s="87">
        <f>BarriarOptionPrice(シミュレーション!$K$11,シミュレーション!$H$11,K38,1-R$3,シミュレーション!$I$11,シミュレーション!$J$11,シミュレーション!$D$10:$D$15)</f>
        <v>0</v>
      </c>
      <c r="S38" s="87">
        <f>BarriarOptionPrice(シミュレーション!$K$11,シミュレーション!$H$11,L38,1-S$3,シミュレーション!$I$11,シミュレーション!$J$11,シミュレーション!$D$10:$D$15)</f>
        <v>0</v>
      </c>
      <c r="T38" s="44">
        <f>BarriarOptionPrice(シミュレーション!$K$11,シミュレーション!$H$11,M38,1-T$3,シミュレーション!$I$11,シミュレーション!$J$11,シミュレーション!$D$10:$D$15)</f>
        <v>0</v>
      </c>
      <c r="V38" s="18">
        <v>35</v>
      </c>
      <c r="W38" s="87">
        <f>BarriarOptionPrice(シミュレーション!$K$12,シミュレーション!$H$12,I38,1-P$3,シミュレーション!$I$12,シミュレーション!$J$12,シミュレーション!$D$10:$D$15)</f>
        <v>0</v>
      </c>
      <c r="X38" s="87">
        <f>BarriarOptionPrice(シミュレーション!$K$12,シミュレーション!$H$12,J38,1-Q$3,シミュレーション!$I$12,シミュレーション!$J$12,シミュレーション!$D$10:$D$15)</f>
        <v>0</v>
      </c>
      <c r="Y38" s="87">
        <f>BarriarOptionPrice(シミュレーション!$K$12,シミュレーション!$H$12,K38,1-R$3,シミュレーション!$I$12,シミュレーション!$J$12,シミュレーション!$D$10:$D$15)</f>
        <v>0</v>
      </c>
      <c r="Z38" s="87">
        <f>BarriarOptionPrice(シミュレーション!$K$12,シミュレーション!$H$12,L38,1-S$3,シミュレーション!$I$12,シミュレーション!$J$12,シミュレーション!$D$10:$D$15)</f>
        <v>0</v>
      </c>
      <c r="AA38" s="44">
        <f>BarriarOptionPrice(シミュレーション!$K$12,シミュレーション!$H$12,M38,1-T$3,シミュレーション!$I$12,シミュレーション!$J$12,シミュレーション!$D$10:$D$15)</f>
        <v>0</v>
      </c>
    </row>
    <row r="39" spans="2:27" ht="14.25" x14ac:dyDescent="0.15">
      <c r="B39" s="18">
        <v>36</v>
      </c>
      <c r="C39" s="29">
        <f>シミュレーションデータの貼り付け!C39*シミュレーション!$D$10+シミュレーションデータの貼り付け!G39*シミュレーション!$D$11+シミュレーションデータの貼り付け!K39*シミュレーション!$D$12+シミュレーションデータの貼り付け!O39*シミュレーション!$D$13+シミュレーションデータの貼り付け!S39*シミュレーション!$D$14+シミュレーションデータの貼り付け!W39*シミュレーション!$D$15</f>
        <v>0</v>
      </c>
      <c r="D39" s="29">
        <f>シミュレーションデータの貼り付け!D39*シミュレーション!$D$10+シミュレーションデータの貼り付け!H39*シミュレーション!$D$11+シミュレーションデータの貼り付け!L39*シミュレーション!$D$12+シミュレーションデータの貼り付け!P39*シミュレーション!$D$13+シミュレーションデータの貼り付け!T39*シミュレーション!$D$14+シミュレーションデータの貼り付け!X39*シミュレーション!$D$15</f>
        <v>0</v>
      </c>
      <c r="E39" s="29">
        <f>シミュレーションデータの貼り付け!E39*シミュレーション!$D$10+シミュレーションデータの貼り付け!I39*シミュレーション!$D$11+シミュレーションデータの貼り付け!M39*シミュレーション!$D$12+シミュレーションデータの貼り付け!Q39*シミュレーション!$D$13+シミュレーションデータの貼り付け!U39*シミュレーション!$D$14+シミュレーションデータの貼り付け!Y39*シミュレーション!$D$15</f>
        <v>0</v>
      </c>
      <c r="F39" s="30">
        <f>シミュレーションデータの貼り付け!F39*シミュレーション!$D$10+シミュレーションデータの貼り付け!J39*シミュレーション!$D$11+シミュレーションデータの貼り付け!N39*シミュレーション!$D$12+シミュレーションデータの貼り付け!R39*シミュレーション!$D$13+シミュレーションデータの貼り付け!V39*シミュレーション!$D$14+シミュレーションデータの貼り付け!Z39*シミュレーション!$D$15</f>
        <v>0</v>
      </c>
      <c r="H39" s="18">
        <v>36</v>
      </c>
      <c r="I39" s="87">
        <f>シミュレーション!$D$19</f>
        <v>0</v>
      </c>
      <c r="J39" s="87">
        <f>I39*(1+'シミュレーション計算用（変更不要）'!C39)</f>
        <v>0</v>
      </c>
      <c r="K39" s="87">
        <f>J39*(1+'シミュレーション計算用（変更不要）'!D39)</f>
        <v>0</v>
      </c>
      <c r="L39" s="87">
        <f>K39*(1+'シミュレーション計算用（変更不要）'!E39)</f>
        <v>0</v>
      </c>
      <c r="M39" s="44">
        <f>L39*(1+'シミュレーション計算用（変更不要）'!F39)</f>
        <v>0</v>
      </c>
      <c r="O39" s="18">
        <v>36</v>
      </c>
      <c r="P39" s="87">
        <f>BarriarOptionPrice(シミュレーション!$K$11,シミュレーション!$H$11,I39,1-P$3,シミュレーション!$I$11,シミュレーション!$J$11,シミュレーション!$D$10:$D$15)</f>
        <v>0</v>
      </c>
      <c r="Q39" s="87">
        <f>BarriarOptionPrice(シミュレーション!$K$11,シミュレーション!$H$11,J39,1-Q$3,シミュレーション!$I$11,シミュレーション!$J$11,シミュレーション!$D$10:$D$15)</f>
        <v>0</v>
      </c>
      <c r="R39" s="87">
        <f>BarriarOptionPrice(シミュレーション!$K$11,シミュレーション!$H$11,K39,1-R$3,シミュレーション!$I$11,シミュレーション!$J$11,シミュレーション!$D$10:$D$15)</f>
        <v>0</v>
      </c>
      <c r="S39" s="87">
        <f>BarriarOptionPrice(シミュレーション!$K$11,シミュレーション!$H$11,L39,1-S$3,シミュレーション!$I$11,シミュレーション!$J$11,シミュレーション!$D$10:$D$15)</f>
        <v>0</v>
      </c>
      <c r="T39" s="44">
        <f>BarriarOptionPrice(シミュレーション!$K$11,シミュレーション!$H$11,M39,1-T$3,シミュレーション!$I$11,シミュレーション!$J$11,シミュレーション!$D$10:$D$15)</f>
        <v>0</v>
      </c>
      <c r="V39" s="18">
        <v>36</v>
      </c>
      <c r="W39" s="87">
        <f>BarriarOptionPrice(シミュレーション!$K$12,シミュレーション!$H$12,I39,1-P$3,シミュレーション!$I$12,シミュレーション!$J$12,シミュレーション!$D$10:$D$15)</f>
        <v>0</v>
      </c>
      <c r="X39" s="87">
        <f>BarriarOptionPrice(シミュレーション!$K$12,シミュレーション!$H$12,J39,1-Q$3,シミュレーション!$I$12,シミュレーション!$J$12,シミュレーション!$D$10:$D$15)</f>
        <v>0</v>
      </c>
      <c r="Y39" s="87">
        <f>BarriarOptionPrice(シミュレーション!$K$12,シミュレーション!$H$12,K39,1-R$3,シミュレーション!$I$12,シミュレーション!$J$12,シミュレーション!$D$10:$D$15)</f>
        <v>0</v>
      </c>
      <c r="Z39" s="87">
        <f>BarriarOptionPrice(シミュレーション!$K$12,シミュレーション!$H$12,L39,1-S$3,シミュレーション!$I$12,シミュレーション!$J$12,シミュレーション!$D$10:$D$15)</f>
        <v>0</v>
      </c>
      <c r="AA39" s="44">
        <f>BarriarOptionPrice(シミュレーション!$K$12,シミュレーション!$H$12,M39,1-T$3,シミュレーション!$I$12,シミュレーション!$J$12,シミュレーション!$D$10:$D$15)</f>
        <v>0</v>
      </c>
    </row>
    <row r="40" spans="2:27" ht="14.25" x14ac:dyDescent="0.15">
      <c r="B40" s="18">
        <v>37</v>
      </c>
      <c r="C40" s="29">
        <f>シミュレーションデータの貼り付け!C40*シミュレーション!$D$10+シミュレーションデータの貼り付け!G40*シミュレーション!$D$11+シミュレーションデータの貼り付け!K40*シミュレーション!$D$12+シミュレーションデータの貼り付け!O40*シミュレーション!$D$13+シミュレーションデータの貼り付け!S40*シミュレーション!$D$14+シミュレーションデータの貼り付け!W40*シミュレーション!$D$15</f>
        <v>0</v>
      </c>
      <c r="D40" s="29">
        <f>シミュレーションデータの貼り付け!D40*シミュレーション!$D$10+シミュレーションデータの貼り付け!H40*シミュレーション!$D$11+シミュレーションデータの貼り付け!L40*シミュレーション!$D$12+シミュレーションデータの貼り付け!P40*シミュレーション!$D$13+シミュレーションデータの貼り付け!T40*シミュレーション!$D$14+シミュレーションデータの貼り付け!X40*シミュレーション!$D$15</f>
        <v>0</v>
      </c>
      <c r="E40" s="29">
        <f>シミュレーションデータの貼り付け!E40*シミュレーション!$D$10+シミュレーションデータの貼り付け!I40*シミュレーション!$D$11+シミュレーションデータの貼り付け!M40*シミュレーション!$D$12+シミュレーションデータの貼り付け!Q40*シミュレーション!$D$13+シミュレーションデータの貼り付け!U40*シミュレーション!$D$14+シミュレーションデータの貼り付け!Y40*シミュレーション!$D$15</f>
        <v>0</v>
      </c>
      <c r="F40" s="30">
        <f>シミュレーションデータの貼り付け!F40*シミュレーション!$D$10+シミュレーションデータの貼り付け!J40*シミュレーション!$D$11+シミュレーションデータの貼り付け!N40*シミュレーション!$D$12+シミュレーションデータの貼り付け!R40*シミュレーション!$D$13+シミュレーションデータの貼り付け!V40*シミュレーション!$D$14+シミュレーションデータの貼り付け!Z40*シミュレーション!$D$15</f>
        <v>0</v>
      </c>
      <c r="H40" s="18">
        <v>37</v>
      </c>
      <c r="I40" s="87">
        <f>シミュレーション!$D$19</f>
        <v>0</v>
      </c>
      <c r="J40" s="87">
        <f>I40*(1+'シミュレーション計算用（変更不要）'!C40)</f>
        <v>0</v>
      </c>
      <c r="K40" s="87">
        <f>J40*(1+'シミュレーション計算用（変更不要）'!D40)</f>
        <v>0</v>
      </c>
      <c r="L40" s="87">
        <f>K40*(1+'シミュレーション計算用（変更不要）'!E40)</f>
        <v>0</v>
      </c>
      <c r="M40" s="44">
        <f>L40*(1+'シミュレーション計算用（変更不要）'!F40)</f>
        <v>0</v>
      </c>
      <c r="O40" s="18">
        <v>37</v>
      </c>
      <c r="P40" s="87">
        <f>BarriarOptionPrice(シミュレーション!$K$11,シミュレーション!$H$11,I40,1-P$3,シミュレーション!$I$11,シミュレーション!$J$11,シミュレーション!$D$10:$D$15)</f>
        <v>0</v>
      </c>
      <c r="Q40" s="87">
        <f>BarriarOptionPrice(シミュレーション!$K$11,シミュレーション!$H$11,J40,1-Q$3,シミュレーション!$I$11,シミュレーション!$J$11,シミュレーション!$D$10:$D$15)</f>
        <v>0</v>
      </c>
      <c r="R40" s="87">
        <f>BarriarOptionPrice(シミュレーション!$K$11,シミュレーション!$H$11,K40,1-R$3,シミュレーション!$I$11,シミュレーション!$J$11,シミュレーション!$D$10:$D$15)</f>
        <v>0</v>
      </c>
      <c r="S40" s="87">
        <f>BarriarOptionPrice(シミュレーション!$K$11,シミュレーション!$H$11,L40,1-S$3,シミュレーション!$I$11,シミュレーション!$J$11,シミュレーション!$D$10:$D$15)</f>
        <v>0</v>
      </c>
      <c r="T40" s="44">
        <f>BarriarOptionPrice(シミュレーション!$K$11,シミュレーション!$H$11,M40,1-T$3,シミュレーション!$I$11,シミュレーション!$J$11,シミュレーション!$D$10:$D$15)</f>
        <v>0</v>
      </c>
      <c r="V40" s="18">
        <v>37</v>
      </c>
      <c r="W40" s="87">
        <f>BarriarOptionPrice(シミュレーション!$K$12,シミュレーション!$H$12,I40,1-P$3,シミュレーション!$I$12,シミュレーション!$J$12,シミュレーション!$D$10:$D$15)</f>
        <v>0</v>
      </c>
      <c r="X40" s="87">
        <f>BarriarOptionPrice(シミュレーション!$K$12,シミュレーション!$H$12,J40,1-Q$3,シミュレーション!$I$12,シミュレーション!$J$12,シミュレーション!$D$10:$D$15)</f>
        <v>0</v>
      </c>
      <c r="Y40" s="87">
        <f>BarriarOptionPrice(シミュレーション!$K$12,シミュレーション!$H$12,K40,1-R$3,シミュレーション!$I$12,シミュレーション!$J$12,シミュレーション!$D$10:$D$15)</f>
        <v>0</v>
      </c>
      <c r="Z40" s="87">
        <f>BarriarOptionPrice(シミュレーション!$K$12,シミュレーション!$H$12,L40,1-S$3,シミュレーション!$I$12,シミュレーション!$J$12,シミュレーション!$D$10:$D$15)</f>
        <v>0</v>
      </c>
      <c r="AA40" s="44">
        <f>BarriarOptionPrice(シミュレーション!$K$12,シミュレーション!$H$12,M40,1-T$3,シミュレーション!$I$12,シミュレーション!$J$12,シミュレーション!$D$10:$D$15)</f>
        <v>0</v>
      </c>
    </row>
    <row r="41" spans="2:27" ht="14.25" x14ac:dyDescent="0.15">
      <c r="B41" s="18">
        <v>38</v>
      </c>
      <c r="C41" s="29">
        <f>シミュレーションデータの貼り付け!C41*シミュレーション!$D$10+シミュレーションデータの貼り付け!G41*シミュレーション!$D$11+シミュレーションデータの貼り付け!K41*シミュレーション!$D$12+シミュレーションデータの貼り付け!O41*シミュレーション!$D$13+シミュレーションデータの貼り付け!S41*シミュレーション!$D$14+シミュレーションデータの貼り付け!W41*シミュレーション!$D$15</f>
        <v>0</v>
      </c>
      <c r="D41" s="29">
        <f>シミュレーションデータの貼り付け!D41*シミュレーション!$D$10+シミュレーションデータの貼り付け!H41*シミュレーション!$D$11+シミュレーションデータの貼り付け!L41*シミュレーション!$D$12+シミュレーションデータの貼り付け!P41*シミュレーション!$D$13+シミュレーションデータの貼り付け!T41*シミュレーション!$D$14+シミュレーションデータの貼り付け!X41*シミュレーション!$D$15</f>
        <v>0</v>
      </c>
      <c r="E41" s="29">
        <f>シミュレーションデータの貼り付け!E41*シミュレーション!$D$10+シミュレーションデータの貼り付け!I41*シミュレーション!$D$11+シミュレーションデータの貼り付け!M41*シミュレーション!$D$12+シミュレーションデータの貼り付け!Q41*シミュレーション!$D$13+シミュレーションデータの貼り付け!U41*シミュレーション!$D$14+シミュレーションデータの貼り付け!Y41*シミュレーション!$D$15</f>
        <v>0</v>
      </c>
      <c r="F41" s="30">
        <f>シミュレーションデータの貼り付け!F41*シミュレーション!$D$10+シミュレーションデータの貼り付け!J41*シミュレーション!$D$11+シミュレーションデータの貼り付け!N41*シミュレーション!$D$12+シミュレーションデータの貼り付け!R41*シミュレーション!$D$13+シミュレーションデータの貼り付け!V41*シミュレーション!$D$14+シミュレーションデータの貼り付け!Z41*シミュレーション!$D$15</f>
        <v>0</v>
      </c>
      <c r="H41" s="18">
        <v>38</v>
      </c>
      <c r="I41" s="87">
        <f>シミュレーション!$D$19</f>
        <v>0</v>
      </c>
      <c r="J41" s="87">
        <f>I41*(1+'シミュレーション計算用（変更不要）'!C41)</f>
        <v>0</v>
      </c>
      <c r="K41" s="87">
        <f>J41*(1+'シミュレーション計算用（変更不要）'!D41)</f>
        <v>0</v>
      </c>
      <c r="L41" s="87">
        <f>K41*(1+'シミュレーション計算用（変更不要）'!E41)</f>
        <v>0</v>
      </c>
      <c r="M41" s="44">
        <f>L41*(1+'シミュレーション計算用（変更不要）'!F41)</f>
        <v>0</v>
      </c>
      <c r="O41" s="18">
        <v>38</v>
      </c>
      <c r="P41" s="87">
        <f>BarriarOptionPrice(シミュレーション!$K$11,シミュレーション!$H$11,I41,1-P$3,シミュレーション!$I$11,シミュレーション!$J$11,シミュレーション!$D$10:$D$15)</f>
        <v>0</v>
      </c>
      <c r="Q41" s="87">
        <f>BarriarOptionPrice(シミュレーション!$K$11,シミュレーション!$H$11,J41,1-Q$3,シミュレーション!$I$11,シミュレーション!$J$11,シミュレーション!$D$10:$D$15)</f>
        <v>0</v>
      </c>
      <c r="R41" s="87">
        <f>BarriarOptionPrice(シミュレーション!$K$11,シミュレーション!$H$11,K41,1-R$3,シミュレーション!$I$11,シミュレーション!$J$11,シミュレーション!$D$10:$D$15)</f>
        <v>0</v>
      </c>
      <c r="S41" s="87">
        <f>BarriarOptionPrice(シミュレーション!$K$11,シミュレーション!$H$11,L41,1-S$3,シミュレーション!$I$11,シミュレーション!$J$11,シミュレーション!$D$10:$D$15)</f>
        <v>0</v>
      </c>
      <c r="T41" s="44">
        <f>BarriarOptionPrice(シミュレーション!$K$11,シミュレーション!$H$11,M41,1-T$3,シミュレーション!$I$11,シミュレーション!$J$11,シミュレーション!$D$10:$D$15)</f>
        <v>0</v>
      </c>
      <c r="V41" s="18">
        <v>38</v>
      </c>
      <c r="W41" s="87">
        <f>BarriarOptionPrice(シミュレーション!$K$12,シミュレーション!$H$12,I41,1-P$3,シミュレーション!$I$12,シミュレーション!$J$12,シミュレーション!$D$10:$D$15)</f>
        <v>0</v>
      </c>
      <c r="X41" s="87">
        <f>BarriarOptionPrice(シミュレーション!$K$12,シミュレーション!$H$12,J41,1-Q$3,シミュレーション!$I$12,シミュレーション!$J$12,シミュレーション!$D$10:$D$15)</f>
        <v>0</v>
      </c>
      <c r="Y41" s="87">
        <f>BarriarOptionPrice(シミュレーション!$K$12,シミュレーション!$H$12,K41,1-R$3,シミュレーション!$I$12,シミュレーション!$J$12,シミュレーション!$D$10:$D$15)</f>
        <v>0</v>
      </c>
      <c r="Z41" s="87">
        <f>BarriarOptionPrice(シミュレーション!$K$12,シミュレーション!$H$12,L41,1-S$3,シミュレーション!$I$12,シミュレーション!$J$12,シミュレーション!$D$10:$D$15)</f>
        <v>0</v>
      </c>
      <c r="AA41" s="44">
        <f>BarriarOptionPrice(シミュレーション!$K$12,シミュレーション!$H$12,M41,1-T$3,シミュレーション!$I$12,シミュレーション!$J$12,シミュレーション!$D$10:$D$15)</f>
        <v>0</v>
      </c>
    </row>
    <row r="42" spans="2:27" ht="14.25" x14ac:dyDescent="0.15">
      <c r="B42" s="18">
        <v>39</v>
      </c>
      <c r="C42" s="29">
        <f>シミュレーションデータの貼り付け!C42*シミュレーション!$D$10+シミュレーションデータの貼り付け!G42*シミュレーション!$D$11+シミュレーションデータの貼り付け!K42*シミュレーション!$D$12+シミュレーションデータの貼り付け!O42*シミュレーション!$D$13+シミュレーションデータの貼り付け!S42*シミュレーション!$D$14+シミュレーションデータの貼り付け!W42*シミュレーション!$D$15</f>
        <v>0</v>
      </c>
      <c r="D42" s="29">
        <f>シミュレーションデータの貼り付け!D42*シミュレーション!$D$10+シミュレーションデータの貼り付け!H42*シミュレーション!$D$11+シミュレーションデータの貼り付け!L42*シミュレーション!$D$12+シミュレーションデータの貼り付け!P42*シミュレーション!$D$13+シミュレーションデータの貼り付け!T42*シミュレーション!$D$14+シミュレーションデータの貼り付け!X42*シミュレーション!$D$15</f>
        <v>0</v>
      </c>
      <c r="E42" s="29">
        <f>シミュレーションデータの貼り付け!E42*シミュレーション!$D$10+シミュレーションデータの貼り付け!I42*シミュレーション!$D$11+シミュレーションデータの貼り付け!M42*シミュレーション!$D$12+シミュレーションデータの貼り付け!Q42*シミュレーション!$D$13+シミュレーションデータの貼り付け!U42*シミュレーション!$D$14+シミュレーションデータの貼り付け!Y42*シミュレーション!$D$15</f>
        <v>0</v>
      </c>
      <c r="F42" s="30">
        <f>シミュレーションデータの貼り付け!F42*シミュレーション!$D$10+シミュレーションデータの貼り付け!J42*シミュレーション!$D$11+シミュレーションデータの貼り付け!N42*シミュレーション!$D$12+シミュレーションデータの貼り付け!R42*シミュレーション!$D$13+シミュレーションデータの貼り付け!V42*シミュレーション!$D$14+シミュレーションデータの貼り付け!Z42*シミュレーション!$D$15</f>
        <v>0</v>
      </c>
      <c r="H42" s="18">
        <v>39</v>
      </c>
      <c r="I42" s="87">
        <f>シミュレーション!$D$19</f>
        <v>0</v>
      </c>
      <c r="J42" s="87">
        <f>I42*(1+'シミュレーション計算用（変更不要）'!C42)</f>
        <v>0</v>
      </c>
      <c r="K42" s="87">
        <f>J42*(1+'シミュレーション計算用（変更不要）'!D42)</f>
        <v>0</v>
      </c>
      <c r="L42" s="87">
        <f>K42*(1+'シミュレーション計算用（変更不要）'!E42)</f>
        <v>0</v>
      </c>
      <c r="M42" s="44">
        <f>L42*(1+'シミュレーション計算用（変更不要）'!F42)</f>
        <v>0</v>
      </c>
      <c r="O42" s="18">
        <v>39</v>
      </c>
      <c r="P42" s="87">
        <f>BarriarOptionPrice(シミュレーション!$K$11,シミュレーション!$H$11,I42,1-P$3,シミュレーション!$I$11,シミュレーション!$J$11,シミュレーション!$D$10:$D$15)</f>
        <v>0</v>
      </c>
      <c r="Q42" s="87">
        <f>BarriarOptionPrice(シミュレーション!$K$11,シミュレーション!$H$11,J42,1-Q$3,シミュレーション!$I$11,シミュレーション!$J$11,シミュレーション!$D$10:$D$15)</f>
        <v>0</v>
      </c>
      <c r="R42" s="87">
        <f>BarriarOptionPrice(シミュレーション!$K$11,シミュレーション!$H$11,K42,1-R$3,シミュレーション!$I$11,シミュレーション!$J$11,シミュレーション!$D$10:$D$15)</f>
        <v>0</v>
      </c>
      <c r="S42" s="87">
        <f>BarriarOptionPrice(シミュレーション!$K$11,シミュレーション!$H$11,L42,1-S$3,シミュレーション!$I$11,シミュレーション!$J$11,シミュレーション!$D$10:$D$15)</f>
        <v>0</v>
      </c>
      <c r="T42" s="44">
        <f>BarriarOptionPrice(シミュレーション!$K$11,シミュレーション!$H$11,M42,1-T$3,シミュレーション!$I$11,シミュレーション!$J$11,シミュレーション!$D$10:$D$15)</f>
        <v>0</v>
      </c>
      <c r="V42" s="18">
        <v>39</v>
      </c>
      <c r="W42" s="87">
        <f>BarriarOptionPrice(シミュレーション!$K$12,シミュレーション!$H$12,I42,1-P$3,シミュレーション!$I$12,シミュレーション!$J$12,シミュレーション!$D$10:$D$15)</f>
        <v>0</v>
      </c>
      <c r="X42" s="87">
        <f>BarriarOptionPrice(シミュレーション!$K$12,シミュレーション!$H$12,J42,1-Q$3,シミュレーション!$I$12,シミュレーション!$J$12,シミュレーション!$D$10:$D$15)</f>
        <v>0</v>
      </c>
      <c r="Y42" s="87">
        <f>BarriarOptionPrice(シミュレーション!$K$12,シミュレーション!$H$12,K42,1-R$3,シミュレーション!$I$12,シミュレーション!$J$12,シミュレーション!$D$10:$D$15)</f>
        <v>0</v>
      </c>
      <c r="Z42" s="87">
        <f>BarriarOptionPrice(シミュレーション!$K$12,シミュレーション!$H$12,L42,1-S$3,シミュレーション!$I$12,シミュレーション!$J$12,シミュレーション!$D$10:$D$15)</f>
        <v>0</v>
      </c>
      <c r="AA42" s="44">
        <f>BarriarOptionPrice(シミュレーション!$K$12,シミュレーション!$H$12,M42,1-T$3,シミュレーション!$I$12,シミュレーション!$J$12,シミュレーション!$D$10:$D$15)</f>
        <v>0</v>
      </c>
    </row>
    <row r="43" spans="2:27" ht="14.25" x14ac:dyDescent="0.15">
      <c r="B43" s="18">
        <v>40</v>
      </c>
      <c r="C43" s="29">
        <f>シミュレーションデータの貼り付け!C43*シミュレーション!$D$10+シミュレーションデータの貼り付け!G43*シミュレーション!$D$11+シミュレーションデータの貼り付け!K43*シミュレーション!$D$12+シミュレーションデータの貼り付け!O43*シミュレーション!$D$13+シミュレーションデータの貼り付け!S43*シミュレーション!$D$14+シミュレーションデータの貼り付け!W43*シミュレーション!$D$15</f>
        <v>0</v>
      </c>
      <c r="D43" s="29">
        <f>シミュレーションデータの貼り付け!D43*シミュレーション!$D$10+シミュレーションデータの貼り付け!H43*シミュレーション!$D$11+シミュレーションデータの貼り付け!L43*シミュレーション!$D$12+シミュレーションデータの貼り付け!P43*シミュレーション!$D$13+シミュレーションデータの貼り付け!T43*シミュレーション!$D$14+シミュレーションデータの貼り付け!X43*シミュレーション!$D$15</f>
        <v>0</v>
      </c>
      <c r="E43" s="29">
        <f>シミュレーションデータの貼り付け!E43*シミュレーション!$D$10+シミュレーションデータの貼り付け!I43*シミュレーション!$D$11+シミュレーションデータの貼り付け!M43*シミュレーション!$D$12+シミュレーションデータの貼り付け!Q43*シミュレーション!$D$13+シミュレーションデータの貼り付け!U43*シミュレーション!$D$14+シミュレーションデータの貼り付け!Y43*シミュレーション!$D$15</f>
        <v>0</v>
      </c>
      <c r="F43" s="30">
        <f>シミュレーションデータの貼り付け!F43*シミュレーション!$D$10+シミュレーションデータの貼り付け!J43*シミュレーション!$D$11+シミュレーションデータの貼り付け!N43*シミュレーション!$D$12+シミュレーションデータの貼り付け!R43*シミュレーション!$D$13+シミュレーションデータの貼り付け!V43*シミュレーション!$D$14+シミュレーションデータの貼り付け!Z43*シミュレーション!$D$15</f>
        <v>0</v>
      </c>
      <c r="H43" s="18">
        <v>40</v>
      </c>
      <c r="I43" s="87">
        <f>シミュレーション!$D$19</f>
        <v>0</v>
      </c>
      <c r="J43" s="87">
        <f>I43*(1+'シミュレーション計算用（変更不要）'!C43)</f>
        <v>0</v>
      </c>
      <c r="K43" s="87">
        <f>J43*(1+'シミュレーション計算用（変更不要）'!D43)</f>
        <v>0</v>
      </c>
      <c r="L43" s="87">
        <f>K43*(1+'シミュレーション計算用（変更不要）'!E43)</f>
        <v>0</v>
      </c>
      <c r="M43" s="44">
        <f>L43*(1+'シミュレーション計算用（変更不要）'!F43)</f>
        <v>0</v>
      </c>
      <c r="O43" s="18">
        <v>40</v>
      </c>
      <c r="P43" s="87">
        <f>BarriarOptionPrice(シミュレーション!$K$11,シミュレーション!$H$11,I43,1-P$3,シミュレーション!$I$11,シミュレーション!$J$11,シミュレーション!$D$10:$D$15)</f>
        <v>0</v>
      </c>
      <c r="Q43" s="87">
        <f>BarriarOptionPrice(シミュレーション!$K$11,シミュレーション!$H$11,J43,1-Q$3,シミュレーション!$I$11,シミュレーション!$J$11,シミュレーション!$D$10:$D$15)</f>
        <v>0</v>
      </c>
      <c r="R43" s="87">
        <f>BarriarOptionPrice(シミュレーション!$K$11,シミュレーション!$H$11,K43,1-R$3,シミュレーション!$I$11,シミュレーション!$J$11,シミュレーション!$D$10:$D$15)</f>
        <v>0</v>
      </c>
      <c r="S43" s="87">
        <f>BarriarOptionPrice(シミュレーション!$K$11,シミュレーション!$H$11,L43,1-S$3,シミュレーション!$I$11,シミュレーション!$J$11,シミュレーション!$D$10:$D$15)</f>
        <v>0</v>
      </c>
      <c r="T43" s="44">
        <f>BarriarOptionPrice(シミュレーション!$K$11,シミュレーション!$H$11,M43,1-T$3,シミュレーション!$I$11,シミュレーション!$J$11,シミュレーション!$D$10:$D$15)</f>
        <v>0</v>
      </c>
      <c r="V43" s="18">
        <v>40</v>
      </c>
      <c r="W43" s="87">
        <f>BarriarOptionPrice(シミュレーション!$K$12,シミュレーション!$H$12,I43,1-P$3,シミュレーション!$I$12,シミュレーション!$J$12,シミュレーション!$D$10:$D$15)</f>
        <v>0</v>
      </c>
      <c r="X43" s="87">
        <f>BarriarOptionPrice(シミュレーション!$K$12,シミュレーション!$H$12,J43,1-Q$3,シミュレーション!$I$12,シミュレーション!$J$12,シミュレーション!$D$10:$D$15)</f>
        <v>0</v>
      </c>
      <c r="Y43" s="87">
        <f>BarriarOptionPrice(シミュレーション!$K$12,シミュレーション!$H$12,K43,1-R$3,シミュレーション!$I$12,シミュレーション!$J$12,シミュレーション!$D$10:$D$15)</f>
        <v>0</v>
      </c>
      <c r="Z43" s="87">
        <f>BarriarOptionPrice(シミュレーション!$K$12,シミュレーション!$H$12,L43,1-S$3,シミュレーション!$I$12,シミュレーション!$J$12,シミュレーション!$D$10:$D$15)</f>
        <v>0</v>
      </c>
      <c r="AA43" s="44">
        <f>BarriarOptionPrice(シミュレーション!$K$12,シミュレーション!$H$12,M43,1-T$3,シミュレーション!$I$12,シミュレーション!$J$12,シミュレーション!$D$10:$D$15)</f>
        <v>0</v>
      </c>
    </row>
    <row r="44" spans="2:27" ht="14.25" x14ac:dyDescent="0.15">
      <c r="B44" s="18">
        <v>41</v>
      </c>
      <c r="C44" s="29">
        <f>シミュレーションデータの貼り付け!C44*シミュレーション!$D$10+シミュレーションデータの貼り付け!G44*シミュレーション!$D$11+シミュレーションデータの貼り付け!K44*シミュレーション!$D$12+シミュレーションデータの貼り付け!O44*シミュレーション!$D$13+シミュレーションデータの貼り付け!S44*シミュレーション!$D$14+シミュレーションデータの貼り付け!W44*シミュレーション!$D$15</f>
        <v>0</v>
      </c>
      <c r="D44" s="29">
        <f>シミュレーションデータの貼り付け!D44*シミュレーション!$D$10+シミュレーションデータの貼り付け!H44*シミュレーション!$D$11+シミュレーションデータの貼り付け!L44*シミュレーション!$D$12+シミュレーションデータの貼り付け!P44*シミュレーション!$D$13+シミュレーションデータの貼り付け!T44*シミュレーション!$D$14+シミュレーションデータの貼り付け!X44*シミュレーション!$D$15</f>
        <v>0</v>
      </c>
      <c r="E44" s="29">
        <f>シミュレーションデータの貼り付け!E44*シミュレーション!$D$10+シミュレーションデータの貼り付け!I44*シミュレーション!$D$11+シミュレーションデータの貼り付け!M44*シミュレーション!$D$12+シミュレーションデータの貼り付け!Q44*シミュレーション!$D$13+シミュレーションデータの貼り付け!U44*シミュレーション!$D$14+シミュレーションデータの貼り付け!Y44*シミュレーション!$D$15</f>
        <v>0</v>
      </c>
      <c r="F44" s="30">
        <f>シミュレーションデータの貼り付け!F44*シミュレーション!$D$10+シミュレーションデータの貼り付け!J44*シミュレーション!$D$11+シミュレーションデータの貼り付け!N44*シミュレーション!$D$12+シミュレーションデータの貼り付け!R44*シミュレーション!$D$13+シミュレーションデータの貼り付け!V44*シミュレーション!$D$14+シミュレーションデータの貼り付け!Z44*シミュレーション!$D$15</f>
        <v>0</v>
      </c>
      <c r="H44" s="18">
        <v>41</v>
      </c>
      <c r="I44" s="87">
        <f>シミュレーション!$D$19</f>
        <v>0</v>
      </c>
      <c r="J44" s="87">
        <f>I44*(1+'シミュレーション計算用（変更不要）'!C44)</f>
        <v>0</v>
      </c>
      <c r="K44" s="87">
        <f>J44*(1+'シミュレーション計算用（変更不要）'!D44)</f>
        <v>0</v>
      </c>
      <c r="L44" s="87">
        <f>K44*(1+'シミュレーション計算用（変更不要）'!E44)</f>
        <v>0</v>
      </c>
      <c r="M44" s="44">
        <f>L44*(1+'シミュレーション計算用（変更不要）'!F44)</f>
        <v>0</v>
      </c>
      <c r="O44" s="18">
        <v>41</v>
      </c>
      <c r="P44" s="87">
        <f>BarriarOptionPrice(シミュレーション!$K$11,シミュレーション!$H$11,I44,1-P$3,シミュレーション!$I$11,シミュレーション!$J$11,シミュレーション!$D$10:$D$15)</f>
        <v>0</v>
      </c>
      <c r="Q44" s="87">
        <f>BarriarOptionPrice(シミュレーション!$K$11,シミュレーション!$H$11,J44,1-Q$3,シミュレーション!$I$11,シミュレーション!$J$11,シミュレーション!$D$10:$D$15)</f>
        <v>0</v>
      </c>
      <c r="R44" s="87">
        <f>BarriarOptionPrice(シミュレーション!$K$11,シミュレーション!$H$11,K44,1-R$3,シミュレーション!$I$11,シミュレーション!$J$11,シミュレーション!$D$10:$D$15)</f>
        <v>0</v>
      </c>
      <c r="S44" s="87">
        <f>BarriarOptionPrice(シミュレーション!$K$11,シミュレーション!$H$11,L44,1-S$3,シミュレーション!$I$11,シミュレーション!$J$11,シミュレーション!$D$10:$D$15)</f>
        <v>0</v>
      </c>
      <c r="T44" s="44">
        <f>BarriarOptionPrice(シミュレーション!$K$11,シミュレーション!$H$11,M44,1-T$3,シミュレーション!$I$11,シミュレーション!$J$11,シミュレーション!$D$10:$D$15)</f>
        <v>0</v>
      </c>
      <c r="V44" s="18">
        <v>41</v>
      </c>
      <c r="W44" s="87">
        <f>BarriarOptionPrice(シミュレーション!$K$12,シミュレーション!$H$12,I44,1-P$3,シミュレーション!$I$12,シミュレーション!$J$12,シミュレーション!$D$10:$D$15)</f>
        <v>0</v>
      </c>
      <c r="X44" s="87">
        <f>BarriarOptionPrice(シミュレーション!$K$12,シミュレーション!$H$12,J44,1-Q$3,シミュレーション!$I$12,シミュレーション!$J$12,シミュレーション!$D$10:$D$15)</f>
        <v>0</v>
      </c>
      <c r="Y44" s="87">
        <f>BarriarOptionPrice(シミュレーション!$K$12,シミュレーション!$H$12,K44,1-R$3,シミュレーション!$I$12,シミュレーション!$J$12,シミュレーション!$D$10:$D$15)</f>
        <v>0</v>
      </c>
      <c r="Z44" s="87">
        <f>BarriarOptionPrice(シミュレーション!$K$12,シミュレーション!$H$12,L44,1-S$3,シミュレーション!$I$12,シミュレーション!$J$12,シミュレーション!$D$10:$D$15)</f>
        <v>0</v>
      </c>
      <c r="AA44" s="44">
        <f>BarriarOptionPrice(シミュレーション!$K$12,シミュレーション!$H$12,M44,1-T$3,シミュレーション!$I$12,シミュレーション!$J$12,シミュレーション!$D$10:$D$15)</f>
        <v>0</v>
      </c>
    </row>
    <row r="45" spans="2:27" ht="14.25" x14ac:dyDescent="0.15">
      <c r="B45" s="18">
        <v>42</v>
      </c>
      <c r="C45" s="29">
        <f>シミュレーションデータの貼り付け!C45*シミュレーション!$D$10+シミュレーションデータの貼り付け!G45*シミュレーション!$D$11+シミュレーションデータの貼り付け!K45*シミュレーション!$D$12+シミュレーションデータの貼り付け!O45*シミュレーション!$D$13+シミュレーションデータの貼り付け!S45*シミュレーション!$D$14+シミュレーションデータの貼り付け!W45*シミュレーション!$D$15</f>
        <v>0</v>
      </c>
      <c r="D45" s="29">
        <f>シミュレーションデータの貼り付け!D45*シミュレーション!$D$10+シミュレーションデータの貼り付け!H45*シミュレーション!$D$11+シミュレーションデータの貼り付け!L45*シミュレーション!$D$12+シミュレーションデータの貼り付け!P45*シミュレーション!$D$13+シミュレーションデータの貼り付け!T45*シミュレーション!$D$14+シミュレーションデータの貼り付け!X45*シミュレーション!$D$15</f>
        <v>0</v>
      </c>
      <c r="E45" s="29">
        <f>シミュレーションデータの貼り付け!E45*シミュレーション!$D$10+シミュレーションデータの貼り付け!I45*シミュレーション!$D$11+シミュレーションデータの貼り付け!M45*シミュレーション!$D$12+シミュレーションデータの貼り付け!Q45*シミュレーション!$D$13+シミュレーションデータの貼り付け!U45*シミュレーション!$D$14+シミュレーションデータの貼り付け!Y45*シミュレーション!$D$15</f>
        <v>0</v>
      </c>
      <c r="F45" s="30">
        <f>シミュレーションデータの貼り付け!F45*シミュレーション!$D$10+シミュレーションデータの貼り付け!J45*シミュレーション!$D$11+シミュレーションデータの貼り付け!N45*シミュレーション!$D$12+シミュレーションデータの貼り付け!R45*シミュレーション!$D$13+シミュレーションデータの貼り付け!V45*シミュレーション!$D$14+シミュレーションデータの貼り付け!Z45*シミュレーション!$D$15</f>
        <v>0</v>
      </c>
      <c r="H45" s="18">
        <v>42</v>
      </c>
      <c r="I45" s="87">
        <f>シミュレーション!$D$19</f>
        <v>0</v>
      </c>
      <c r="J45" s="87">
        <f>I45*(1+'シミュレーション計算用（変更不要）'!C45)</f>
        <v>0</v>
      </c>
      <c r="K45" s="87">
        <f>J45*(1+'シミュレーション計算用（変更不要）'!D45)</f>
        <v>0</v>
      </c>
      <c r="L45" s="87">
        <f>K45*(1+'シミュレーション計算用（変更不要）'!E45)</f>
        <v>0</v>
      </c>
      <c r="M45" s="44">
        <f>L45*(1+'シミュレーション計算用（変更不要）'!F45)</f>
        <v>0</v>
      </c>
      <c r="O45" s="18">
        <v>42</v>
      </c>
      <c r="P45" s="87">
        <f>BarriarOptionPrice(シミュレーション!$K$11,シミュレーション!$H$11,I45,1-P$3,シミュレーション!$I$11,シミュレーション!$J$11,シミュレーション!$D$10:$D$15)</f>
        <v>0</v>
      </c>
      <c r="Q45" s="87">
        <f>BarriarOptionPrice(シミュレーション!$K$11,シミュレーション!$H$11,J45,1-Q$3,シミュレーション!$I$11,シミュレーション!$J$11,シミュレーション!$D$10:$D$15)</f>
        <v>0</v>
      </c>
      <c r="R45" s="87">
        <f>BarriarOptionPrice(シミュレーション!$K$11,シミュレーション!$H$11,K45,1-R$3,シミュレーション!$I$11,シミュレーション!$J$11,シミュレーション!$D$10:$D$15)</f>
        <v>0</v>
      </c>
      <c r="S45" s="87">
        <f>BarriarOptionPrice(シミュレーション!$K$11,シミュレーション!$H$11,L45,1-S$3,シミュレーション!$I$11,シミュレーション!$J$11,シミュレーション!$D$10:$D$15)</f>
        <v>0</v>
      </c>
      <c r="T45" s="44">
        <f>BarriarOptionPrice(シミュレーション!$K$11,シミュレーション!$H$11,M45,1-T$3,シミュレーション!$I$11,シミュレーション!$J$11,シミュレーション!$D$10:$D$15)</f>
        <v>0</v>
      </c>
      <c r="V45" s="18">
        <v>42</v>
      </c>
      <c r="W45" s="87">
        <f>BarriarOptionPrice(シミュレーション!$K$12,シミュレーション!$H$12,I45,1-P$3,シミュレーション!$I$12,シミュレーション!$J$12,シミュレーション!$D$10:$D$15)</f>
        <v>0</v>
      </c>
      <c r="X45" s="87">
        <f>BarriarOptionPrice(シミュレーション!$K$12,シミュレーション!$H$12,J45,1-Q$3,シミュレーション!$I$12,シミュレーション!$J$12,シミュレーション!$D$10:$D$15)</f>
        <v>0</v>
      </c>
      <c r="Y45" s="87">
        <f>BarriarOptionPrice(シミュレーション!$K$12,シミュレーション!$H$12,K45,1-R$3,シミュレーション!$I$12,シミュレーション!$J$12,シミュレーション!$D$10:$D$15)</f>
        <v>0</v>
      </c>
      <c r="Z45" s="87">
        <f>BarriarOptionPrice(シミュレーション!$K$12,シミュレーション!$H$12,L45,1-S$3,シミュレーション!$I$12,シミュレーション!$J$12,シミュレーション!$D$10:$D$15)</f>
        <v>0</v>
      </c>
      <c r="AA45" s="44">
        <f>BarriarOptionPrice(シミュレーション!$K$12,シミュレーション!$H$12,M45,1-T$3,シミュレーション!$I$12,シミュレーション!$J$12,シミュレーション!$D$10:$D$15)</f>
        <v>0</v>
      </c>
    </row>
    <row r="46" spans="2:27" ht="14.25" x14ac:dyDescent="0.15">
      <c r="B46" s="18">
        <v>43</v>
      </c>
      <c r="C46" s="29">
        <f>シミュレーションデータの貼り付け!C46*シミュレーション!$D$10+シミュレーションデータの貼り付け!G46*シミュレーション!$D$11+シミュレーションデータの貼り付け!K46*シミュレーション!$D$12+シミュレーションデータの貼り付け!O46*シミュレーション!$D$13+シミュレーションデータの貼り付け!S46*シミュレーション!$D$14+シミュレーションデータの貼り付け!W46*シミュレーション!$D$15</f>
        <v>0</v>
      </c>
      <c r="D46" s="29">
        <f>シミュレーションデータの貼り付け!D46*シミュレーション!$D$10+シミュレーションデータの貼り付け!H46*シミュレーション!$D$11+シミュレーションデータの貼り付け!L46*シミュレーション!$D$12+シミュレーションデータの貼り付け!P46*シミュレーション!$D$13+シミュレーションデータの貼り付け!T46*シミュレーション!$D$14+シミュレーションデータの貼り付け!X46*シミュレーション!$D$15</f>
        <v>0</v>
      </c>
      <c r="E46" s="29">
        <f>シミュレーションデータの貼り付け!E46*シミュレーション!$D$10+シミュレーションデータの貼り付け!I46*シミュレーション!$D$11+シミュレーションデータの貼り付け!M46*シミュレーション!$D$12+シミュレーションデータの貼り付け!Q46*シミュレーション!$D$13+シミュレーションデータの貼り付け!U46*シミュレーション!$D$14+シミュレーションデータの貼り付け!Y46*シミュレーション!$D$15</f>
        <v>0</v>
      </c>
      <c r="F46" s="30">
        <f>シミュレーションデータの貼り付け!F46*シミュレーション!$D$10+シミュレーションデータの貼り付け!J46*シミュレーション!$D$11+シミュレーションデータの貼り付け!N46*シミュレーション!$D$12+シミュレーションデータの貼り付け!R46*シミュレーション!$D$13+シミュレーションデータの貼り付け!V46*シミュレーション!$D$14+シミュレーションデータの貼り付け!Z46*シミュレーション!$D$15</f>
        <v>0</v>
      </c>
      <c r="H46" s="18">
        <v>43</v>
      </c>
      <c r="I46" s="87">
        <f>シミュレーション!$D$19</f>
        <v>0</v>
      </c>
      <c r="J46" s="87">
        <f>I46*(1+'シミュレーション計算用（変更不要）'!C46)</f>
        <v>0</v>
      </c>
      <c r="K46" s="87">
        <f>J46*(1+'シミュレーション計算用（変更不要）'!D46)</f>
        <v>0</v>
      </c>
      <c r="L46" s="87">
        <f>K46*(1+'シミュレーション計算用（変更不要）'!E46)</f>
        <v>0</v>
      </c>
      <c r="M46" s="44">
        <f>L46*(1+'シミュレーション計算用（変更不要）'!F46)</f>
        <v>0</v>
      </c>
      <c r="O46" s="18">
        <v>43</v>
      </c>
      <c r="P46" s="87">
        <f>BarriarOptionPrice(シミュレーション!$K$11,シミュレーション!$H$11,I46,1-P$3,シミュレーション!$I$11,シミュレーション!$J$11,シミュレーション!$D$10:$D$15)</f>
        <v>0</v>
      </c>
      <c r="Q46" s="87">
        <f>BarriarOptionPrice(シミュレーション!$K$11,シミュレーション!$H$11,J46,1-Q$3,シミュレーション!$I$11,シミュレーション!$J$11,シミュレーション!$D$10:$D$15)</f>
        <v>0</v>
      </c>
      <c r="R46" s="87">
        <f>BarriarOptionPrice(シミュレーション!$K$11,シミュレーション!$H$11,K46,1-R$3,シミュレーション!$I$11,シミュレーション!$J$11,シミュレーション!$D$10:$D$15)</f>
        <v>0</v>
      </c>
      <c r="S46" s="87">
        <f>BarriarOptionPrice(シミュレーション!$K$11,シミュレーション!$H$11,L46,1-S$3,シミュレーション!$I$11,シミュレーション!$J$11,シミュレーション!$D$10:$D$15)</f>
        <v>0</v>
      </c>
      <c r="T46" s="44">
        <f>BarriarOptionPrice(シミュレーション!$K$11,シミュレーション!$H$11,M46,1-T$3,シミュレーション!$I$11,シミュレーション!$J$11,シミュレーション!$D$10:$D$15)</f>
        <v>0</v>
      </c>
      <c r="V46" s="18">
        <v>43</v>
      </c>
      <c r="W46" s="87">
        <f>BarriarOptionPrice(シミュレーション!$K$12,シミュレーション!$H$12,I46,1-P$3,シミュレーション!$I$12,シミュレーション!$J$12,シミュレーション!$D$10:$D$15)</f>
        <v>0</v>
      </c>
      <c r="X46" s="87">
        <f>BarriarOptionPrice(シミュレーション!$K$12,シミュレーション!$H$12,J46,1-Q$3,シミュレーション!$I$12,シミュレーション!$J$12,シミュレーション!$D$10:$D$15)</f>
        <v>0</v>
      </c>
      <c r="Y46" s="87">
        <f>BarriarOptionPrice(シミュレーション!$K$12,シミュレーション!$H$12,K46,1-R$3,シミュレーション!$I$12,シミュレーション!$J$12,シミュレーション!$D$10:$D$15)</f>
        <v>0</v>
      </c>
      <c r="Z46" s="87">
        <f>BarriarOptionPrice(シミュレーション!$K$12,シミュレーション!$H$12,L46,1-S$3,シミュレーション!$I$12,シミュレーション!$J$12,シミュレーション!$D$10:$D$15)</f>
        <v>0</v>
      </c>
      <c r="AA46" s="44">
        <f>BarriarOptionPrice(シミュレーション!$K$12,シミュレーション!$H$12,M46,1-T$3,シミュレーション!$I$12,シミュレーション!$J$12,シミュレーション!$D$10:$D$15)</f>
        <v>0</v>
      </c>
    </row>
    <row r="47" spans="2:27" ht="14.25" x14ac:dyDescent="0.15">
      <c r="B47" s="18">
        <v>44</v>
      </c>
      <c r="C47" s="29">
        <f>シミュレーションデータの貼り付け!C47*シミュレーション!$D$10+シミュレーションデータの貼り付け!G47*シミュレーション!$D$11+シミュレーションデータの貼り付け!K47*シミュレーション!$D$12+シミュレーションデータの貼り付け!O47*シミュレーション!$D$13+シミュレーションデータの貼り付け!S47*シミュレーション!$D$14+シミュレーションデータの貼り付け!W47*シミュレーション!$D$15</f>
        <v>0</v>
      </c>
      <c r="D47" s="29">
        <f>シミュレーションデータの貼り付け!D47*シミュレーション!$D$10+シミュレーションデータの貼り付け!H47*シミュレーション!$D$11+シミュレーションデータの貼り付け!L47*シミュレーション!$D$12+シミュレーションデータの貼り付け!P47*シミュレーション!$D$13+シミュレーションデータの貼り付け!T47*シミュレーション!$D$14+シミュレーションデータの貼り付け!X47*シミュレーション!$D$15</f>
        <v>0</v>
      </c>
      <c r="E47" s="29">
        <f>シミュレーションデータの貼り付け!E47*シミュレーション!$D$10+シミュレーションデータの貼り付け!I47*シミュレーション!$D$11+シミュレーションデータの貼り付け!M47*シミュレーション!$D$12+シミュレーションデータの貼り付け!Q47*シミュレーション!$D$13+シミュレーションデータの貼り付け!U47*シミュレーション!$D$14+シミュレーションデータの貼り付け!Y47*シミュレーション!$D$15</f>
        <v>0</v>
      </c>
      <c r="F47" s="30">
        <f>シミュレーションデータの貼り付け!F47*シミュレーション!$D$10+シミュレーションデータの貼り付け!J47*シミュレーション!$D$11+シミュレーションデータの貼り付け!N47*シミュレーション!$D$12+シミュレーションデータの貼り付け!R47*シミュレーション!$D$13+シミュレーションデータの貼り付け!V47*シミュレーション!$D$14+シミュレーションデータの貼り付け!Z47*シミュレーション!$D$15</f>
        <v>0</v>
      </c>
      <c r="H47" s="18">
        <v>44</v>
      </c>
      <c r="I47" s="87">
        <f>シミュレーション!$D$19</f>
        <v>0</v>
      </c>
      <c r="J47" s="87">
        <f>I47*(1+'シミュレーション計算用（変更不要）'!C47)</f>
        <v>0</v>
      </c>
      <c r="K47" s="87">
        <f>J47*(1+'シミュレーション計算用（変更不要）'!D47)</f>
        <v>0</v>
      </c>
      <c r="L47" s="87">
        <f>K47*(1+'シミュレーション計算用（変更不要）'!E47)</f>
        <v>0</v>
      </c>
      <c r="M47" s="44">
        <f>L47*(1+'シミュレーション計算用（変更不要）'!F47)</f>
        <v>0</v>
      </c>
      <c r="O47" s="18">
        <v>44</v>
      </c>
      <c r="P47" s="87">
        <f>BarriarOptionPrice(シミュレーション!$K$11,シミュレーション!$H$11,I47,1-P$3,シミュレーション!$I$11,シミュレーション!$J$11,シミュレーション!$D$10:$D$15)</f>
        <v>0</v>
      </c>
      <c r="Q47" s="87">
        <f>BarriarOptionPrice(シミュレーション!$K$11,シミュレーション!$H$11,J47,1-Q$3,シミュレーション!$I$11,シミュレーション!$J$11,シミュレーション!$D$10:$D$15)</f>
        <v>0</v>
      </c>
      <c r="R47" s="87">
        <f>BarriarOptionPrice(シミュレーション!$K$11,シミュレーション!$H$11,K47,1-R$3,シミュレーション!$I$11,シミュレーション!$J$11,シミュレーション!$D$10:$D$15)</f>
        <v>0</v>
      </c>
      <c r="S47" s="87">
        <f>BarriarOptionPrice(シミュレーション!$K$11,シミュレーション!$H$11,L47,1-S$3,シミュレーション!$I$11,シミュレーション!$J$11,シミュレーション!$D$10:$D$15)</f>
        <v>0</v>
      </c>
      <c r="T47" s="44">
        <f>BarriarOptionPrice(シミュレーション!$K$11,シミュレーション!$H$11,M47,1-T$3,シミュレーション!$I$11,シミュレーション!$J$11,シミュレーション!$D$10:$D$15)</f>
        <v>0</v>
      </c>
      <c r="V47" s="18">
        <v>44</v>
      </c>
      <c r="W47" s="87">
        <f>BarriarOptionPrice(シミュレーション!$K$12,シミュレーション!$H$12,I47,1-P$3,シミュレーション!$I$12,シミュレーション!$J$12,シミュレーション!$D$10:$D$15)</f>
        <v>0</v>
      </c>
      <c r="X47" s="87">
        <f>BarriarOptionPrice(シミュレーション!$K$12,シミュレーション!$H$12,J47,1-Q$3,シミュレーション!$I$12,シミュレーション!$J$12,シミュレーション!$D$10:$D$15)</f>
        <v>0</v>
      </c>
      <c r="Y47" s="87">
        <f>BarriarOptionPrice(シミュレーション!$K$12,シミュレーション!$H$12,K47,1-R$3,シミュレーション!$I$12,シミュレーション!$J$12,シミュレーション!$D$10:$D$15)</f>
        <v>0</v>
      </c>
      <c r="Z47" s="87">
        <f>BarriarOptionPrice(シミュレーション!$K$12,シミュレーション!$H$12,L47,1-S$3,シミュレーション!$I$12,シミュレーション!$J$12,シミュレーション!$D$10:$D$15)</f>
        <v>0</v>
      </c>
      <c r="AA47" s="44">
        <f>BarriarOptionPrice(シミュレーション!$K$12,シミュレーション!$H$12,M47,1-T$3,シミュレーション!$I$12,シミュレーション!$J$12,シミュレーション!$D$10:$D$15)</f>
        <v>0</v>
      </c>
    </row>
    <row r="48" spans="2:27" ht="14.25" x14ac:dyDescent="0.15">
      <c r="B48" s="18">
        <v>45</v>
      </c>
      <c r="C48" s="29">
        <f>シミュレーションデータの貼り付け!C48*シミュレーション!$D$10+シミュレーションデータの貼り付け!G48*シミュレーション!$D$11+シミュレーションデータの貼り付け!K48*シミュレーション!$D$12+シミュレーションデータの貼り付け!O48*シミュレーション!$D$13+シミュレーションデータの貼り付け!S48*シミュレーション!$D$14+シミュレーションデータの貼り付け!W48*シミュレーション!$D$15</f>
        <v>0</v>
      </c>
      <c r="D48" s="29">
        <f>シミュレーションデータの貼り付け!D48*シミュレーション!$D$10+シミュレーションデータの貼り付け!H48*シミュレーション!$D$11+シミュレーションデータの貼り付け!L48*シミュレーション!$D$12+シミュレーションデータの貼り付け!P48*シミュレーション!$D$13+シミュレーションデータの貼り付け!T48*シミュレーション!$D$14+シミュレーションデータの貼り付け!X48*シミュレーション!$D$15</f>
        <v>0</v>
      </c>
      <c r="E48" s="29">
        <f>シミュレーションデータの貼り付け!E48*シミュレーション!$D$10+シミュレーションデータの貼り付け!I48*シミュレーション!$D$11+シミュレーションデータの貼り付け!M48*シミュレーション!$D$12+シミュレーションデータの貼り付け!Q48*シミュレーション!$D$13+シミュレーションデータの貼り付け!U48*シミュレーション!$D$14+シミュレーションデータの貼り付け!Y48*シミュレーション!$D$15</f>
        <v>0</v>
      </c>
      <c r="F48" s="30">
        <f>シミュレーションデータの貼り付け!F48*シミュレーション!$D$10+シミュレーションデータの貼り付け!J48*シミュレーション!$D$11+シミュレーションデータの貼り付け!N48*シミュレーション!$D$12+シミュレーションデータの貼り付け!R48*シミュレーション!$D$13+シミュレーションデータの貼り付け!V48*シミュレーション!$D$14+シミュレーションデータの貼り付け!Z48*シミュレーション!$D$15</f>
        <v>0</v>
      </c>
      <c r="H48" s="18">
        <v>45</v>
      </c>
      <c r="I48" s="87">
        <f>シミュレーション!$D$19</f>
        <v>0</v>
      </c>
      <c r="J48" s="87">
        <f>I48*(1+'シミュレーション計算用（変更不要）'!C48)</f>
        <v>0</v>
      </c>
      <c r="K48" s="87">
        <f>J48*(1+'シミュレーション計算用（変更不要）'!D48)</f>
        <v>0</v>
      </c>
      <c r="L48" s="87">
        <f>K48*(1+'シミュレーション計算用（変更不要）'!E48)</f>
        <v>0</v>
      </c>
      <c r="M48" s="44">
        <f>L48*(1+'シミュレーション計算用（変更不要）'!F48)</f>
        <v>0</v>
      </c>
      <c r="O48" s="18">
        <v>45</v>
      </c>
      <c r="P48" s="87">
        <f>BarriarOptionPrice(シミュレーション!$K$11,シミュレーション!$H$11,I48,1-P$3,シミュレーション!$I$11,シミュレーション!$J$11,シミュレーション!$D$10:$D$15)</f>
        <v>0</v>
      </c>
      <c r="Q48" s="87">
        <f>BarriarOptionPrice(シミュレーション!$K$11,シミュレーション!$H$11,J48,1-Q$3,シミュレーション!$I$11,シミュレーション!$J$11,シミュレーション!$D$10:$D$15)</f>
        <v>0</v>
      </c>
      <c r="R48" s="87">
        <f>BarriarOptionPrice(シミュレーション!$K$11,シミュレーション!$H$11,K48,1-R$3,シミュレーション!$I$11,シミュレーション!$J$11,シミュレーション!$D$10:$D$15)</f>
        <v>0</v>
      </c>
      <c r="S48" s="87">
        <f>BarriarOptionPrice(シミュレーション!$K$11,シミュレーション!$H$11,L48,1-S$3,シミュレーション!$I$11,シミュレーション!$J$11,シミュレーション!$D$10:$D$15)</f>
        <v>0</v>
      </c>
      <c r="T48" s="44">
        <f>BarriarOptionPrice(シミュレーション!$K$11,シミュレーション!$H$11,M48,1-T$3,シミュレーション!$I$11,シミュレーション!$J$11,シミュレーション!$D$10:$D$15)</f>
        <v>0</v>
      </c>
      <c r="V48" s="18">
        <v>45</v>
      </c>
      <c r="W48" s="87">
        <f>BarriarOptionPrice(シミュレーション!$K$12,シミュレーション!$H$12,I48,1-P$3,シミュレーション!$I$12,シミュレーション!$J$12,シミュレーション!$D$10:$D$15)</f>
        <v>0</v>
      </c>
      <c r="X48" s="87">
        <f>BarriarOptionPrice(シミュレーション!$K$12,シミュレーション!$H$12,J48,1-Q$3,シミュレーション!$I$12,シミュレーション!$J$12,シミュレーション!$D$10:$D$15)</f>
        <v>0</v>
      </c>
      <c r="Y48" s="87">
        <f>BarriarOptionPrice(シミュレーション!$K$12,シミュレーション!$H$12,K48,1-R$3,シミュレーション!$I$12,シミュレーション!$J$12,シミュレーション!$D$10:$D$15)</f>
        <v>0</v>
      </c>
      <c r="Z48" s="87">
        <f>BarriarOptionPrice(シミュレーション!$K$12,シミュレーション!$H$12,L48,1-S$3,シミュレーション!$I$12,シミュレーション!$J$12,シミュレーション!$D$10:$D$15)</f>
        <v>0</v>
      </c>
      <c r="AA48" s="44">
        <f>BarriarOptionPrice(シミュレーション!$K$12,シミュレーション!$H$12,M48,1-T$3,シミュレーション!$I$12,シミュレーション!$J$12,シミュレーション!$D$10:$D$15)</f>
        <v>0</v>
      </c>
    </row>
    <row r="49" spans="2:27" ht="14.25" x14ac:dyDescent="0.15">
      <c r="B49" s="18">
        <v>46</v>
      </c>
      <c r="C49" s="29">
        <f>シミュレーションデータの貼り付け!C49*シミュレーション!$D$10+シミュレーションデータの貼り付け!G49*シミュレーション!$D$11+シミュレーションデータの貼り付け!K49*シミュレーション!$D$12+シミュレーションデータの貼り付け!O49*シミュレーション!$D$13+シミュレーションデータの貼り付け!S49*シミュレーション!$D$14+シミュレーションデータの貼り付け!W49*シミュレーション!$D$15</f>
        <v>0</v>
      </c>
      <c r="D49" s="29">
        <f>シミュレーションデータの貼り付け!D49*シミュレーション!$D$10+シミュレーションデータの貼り付け!H49*シミュレーション!$D$11+シミュレーションデータの貼り付け!L49*シミュレーション!$D$12+シミュレーションデータの貼り付け!P49*シミュレーション!$D$13+シミュレーションデータの貼り付け!T49*シミュレーション!$D$14+シミュレーションデータの貼り付け!X49*シミュレーション!$D$15</f>
        <v>0</v>
      </c>
      <c r="E49" s="29">
        <f>シミュレーションデータの貼り付け!E49*シミュレーション!$D$10+シミュレーションデータの貼り付け!I49*シミュレーション!$D$11+シミュレーションデータの貼り付け!M49*シミュレーション!$D$12+シミュレーションデータの貼り付け!Q49*シミュレーション!$D$13+シミュレーションデータの貼り付け!U49*シミュレーション!$D$14+シミュレーションデータの貼り付け!Y49*シミュレーション!$D$15</f>
        <v>0</v>
      </c>
      <c r="F49" s="30">
        <f>シミュレーションデータの貼り付け!F49*シミュレーション!$D$10+シミュレーションデータの貼り付け!J49*シミュレーション!$D$11+シミュレーションデータの貼り付け!N49*シミュレーション!$D$12+シミュレーションデータの貼り付け!R49*シミュレーション!$D$13+シミュレーションデータの貼り付け!V49*シミュレーション!$D$14+シミュレーションデータの貼り付け!Z49*シミュレーション!$D$15</f>
        <v>0</v>
      </c>
      <c r="H49" s="18">
        <v>46</v>
      </c>
      <c r="I49" s="87">
        <f>シミュレーション!$D$19</f>
        <v>0</v>
      </c>
      <c r="J49" s="87">
        <f>I49*(1+'シミュレーション計算用（変更不要）'!C49)</f>
        <v>0</v>
      </c>
      <c r="K49" s="87">
        <f>J49*(1+'シミュレーション計算用（変更不要）'!D49)</f>
        <v>0</v>
      </c>
      <c r="L49" s="87">
        <f>K49*(1+'シミュレーション計算用（変更不要）'!E49)</f>
        <v>0</v>
      </c>
      <c r="M49" s="44">
        <f>L49*(1+'シミュレーション計算用（変更不要）'!F49)</f>
        <v>0</v>
      </c>
      <c r="O49" s="18">
        <v>46</v>
      </c>
      <c r="P49" s="87">
        <f>BarriarOptionPrice(シミュレーション!$K$11,シミュレーション!$H$11,I49,1-P$3,シミュレーション!$I$11,シミュレーション!$J$11,シミュレーション!$D$10:$D$15)</f>
        <v>0</v>
      </c>
      <c r="Q49" s="87">
        <f>BarriarOptionPrice(シミュレーション!$K$11,シミュレーション!$H$11,J49,1-Q$3,シミュレーション!$I$11,シミュレーション!$J$11,シミュレーション!$D$10:$D$15)</f>
        <v>0</v>
      </c>
      <c r="R49" s="87">
        <f>BarriarOptionPrice(シミュレーション!$K$11,シミュレーション!$H$11,K49,1-R$3,シミュレーション!$I$11,シミュレーション!$J$11,シミュレーション!$D$10:$D$15)</f>
        <v>0</v>
      </c>
      <c r="S49" s="87">
        <f>BarriarOptionPrice(シミュレーション!$K$11,シミュレーション!$H$11,L49,1-S$3,シミュレーション!$I$11,シミュレーション!$J$11,シミュレーション!$D$10:$D$15)</f>
        <v>0</v>
      </c>
      <c r="T49" s="44">
        <f>BarriarOptionPrice(シミュレーション!$K$11,シミュレーション!$H$11,M49,1-T$3,シミュレーション!$I$11,シミュレーション!$J$11,シミュレーション!$D$10:$D$15)</f>
        <v>0</v>
      </c>
      <c r="V49" s="18">
        <v>46</v>
      </c>
      <c r="W49" s="87">
        <f>BarriarOptionPrice(シミュレーション!$K$12,シミュレーション!$H$12,I49,1-P$3,シミュレーション!$I$12,シミュレーション!$J$12,シミュレーション!$D$10:$D$15)</f>
        <v>0</v>
      </c>
      <c r="X49" s="87">
        <f>BarriarOptionPrice(シミュレーション!$K$12,シミュレーション!$H$12,J49,1-Q$3,シミュレーション!$I$12,シミュレーション!$J$12,シミュレーション!$D$10:$D$15)</f>
        <v>0</v>
      </c>
      <c r="Y49" s="87">
        <f>BarriarOptionPrice(シミュレーション!$K$12,シミュレーション!$H$12,K49,1-R$3,シミュレーション!$I$12,シミュレーション!$J$12,シミュレーション!$D$10:$D$15)</f>
        <v>0</v>
      </c>
      <c r="Z49" s="87">
        <f>BarriarOptionPrice(シミュレーション!$K$12,シミュレーション!$H$12,L49,1-S$3,シミュレーション!$I$12,シミュレーション!$J$12,シミュレーション!$D$10:$D$15)</f>
        <v>0</v>
      </c>
      <c r="AA49" s="44">
        <f>BarriarOptionPrice(シミュレーション!$K$12,シミュレーション!$H$12,M49,1-T$3,シミュレーション!$I$12,シミュレーション!$J$12,シミュレーション!$D$10:$D$15)</f>
        <v>0</v>
      </c>
    </row>
    <row r="50" spans="2:27" ht="14.25" x14ac:dyDescent="0.15">
      <c r="B50" s="18">
        <v>47</v>
      </c>
      <c r="C50" s="29">
        <f>シミュレーションデータの貼り付け!C50*シミュレーション!$D$10+シミュレーションデータの貼り付け!G50*シミュレーション!$D$11+シミュレーションデータの貼り付け!K50*シミュレーション!$D$12+シミュレーションデータの貼り付け!O50*シミュレーション!$D$13+シミュレーションデータの貼り付け!S50*シミュレーション!$D$14+シミュレーションデータの貼り付け!W50*シミュレーション!$D$15</f>
        <v>0</v>
      </c>
      <c r="D50" s="29">
        <f>シミュレーションデータの貼り付け!D50*シミュレーション!$D$10+シミュレーションデータの貼り付け!H50*シミュレーション!$D$11+シミュレーションデータの貼り付け!L50*シミュレーション!$D$12+シミュレーションデータの貼り付け!P50*シミュレーション!$D$13+シミュレーションデータの貼り付け!T50*シミュレーション!$D$14+シミュレーションデータの貼り付け!X50*シミュレーション!$D$15</f>
        <v>0</v>
      </c>
      <c r="E50" s="29">
        <f>シミュレーションデータの貼り付け!E50*シミュレーション!$D$10+シミュレーションデータの貼り付け!I50*シミュレーション!$D$11+シミュレーションデータの貼り付け!M50*シミュレーション!$D$12+シミュレーションデータの貼り付け!Q50*シミュレーション!$D$13+シミュレーションデータの貼り付け!U50*シミュレーション!$D$14+シミュレーションデータの貼り付け!Y50*シミュレーション!$D$15</f>
        <v>0</v>
      </c>
      <c r="F50" s="30">
        <f>シミュレーションデータの貼り付け!F50*シミュレーション!$D$10+シミュレーションデータの貼り付け!J50*シミュレーション!$D$11+シミュレーションデータの貼り付け!N50*シミュレーション!$D$12+シミュレーションデータの貼り付け!R50*シミュレーション!$D$13+シミュレーションデータの貼り付け!V50*シミュレーション!$D$14+シミュレーションデータの貼り付け!Z50*シミュレーション!$D$15</f>
        <v>0</v>
      </c>
      <c r="H50" s="18">
        <v>47</v>
      </c>
      <c r="I50" s="87">
        <f>シミュレーション!$D$19</f>
        <v>0</v>
      </c>
      <c r="J50" s="87">
        <f>I50*(1+'シミュレーション計算用（変更不要）'!C50)</f>
        <v>0</v>
      </c>
      <c r="K50" s="87">
        <f>J50*(1+'シミュレーション計算用（変更不要）'!D50)</f>
        <v>0</v>
      </c>
      <c r="L50" s="87">
        <f>K50*(1+'シミュレーション計算用（変更不要）'!E50)</f>
        <v>0</v>
      </c>
      <c r="M50" s="44">
        <f>L50*(1+'シミュレーション計算用（変更不要）'!F50)</f>
        <v>0</v>
      </c>
      <c r="O50" s="18">
        <v>47</v>
      </c>
      <c r="P50" s="87">
        <f>BarriarOptionPrice(シミュレーション!$K$11,シミュレーション!$H$11,I50,1-P$3,シミュレーション!$I$11,シミュレーション!$J$11,シミュレーション!$D$10:$D$15)</f>
        <v>0</v>
      </c>
      <c r="Q50" s="87">
        <f>BarriarOptionPrice(シミュレーション!$K$11,シミュレーション!$H$11,J50,1-Q$3,シミュレーション!$I$11,シミュレーション!$J$11,シミュレーション!$D$10:$D$15)</f>
        <v>0</v>
      </c>
      <c r="R50" s="87">
        <f>BarriarOptionPrice(シミュレーション!$K$11,シミュレーション!$H$11,K50,1-R$3,シミュレーション!$I$11,シミュレーション!$J$11,シミュレーション!$D$10:$D$15)</f>
        <v>0</v>
      </c>
      <c r="S50" s="87">
        <f>BarriarOptionPrice(シミュレーション!$K$11,シミュレーション!$H$11,L50,1-S$3,シミュレーション!$I$11,シミュレーション!$J$11,シミュレーション!$D$10:$D$15)</f>
        <v>0</v>
      </c>
      <c r="T50" s="44">
        <f>BarriarOptionPrice(シミュレーション!$K$11,シミュレーション!$H$11,M50,1-T$3,シミュレーション!$I$11,シミュレーション!$J$11,シミュレーション!$D$10:$D$15)</f>
        <v>0</v>
      </c>
      <c r="V50" s="18">
        <v>47</v>
      </c>
      <c r="W50" s="87">
        <f>BarriarOptionPrice(シミュレーション!$K$12,シミュレーション!$H$12,I50,1-P$3,シミュレーション!$I$12,シミュレーション!$J$12,シミュレーション!$D$10:$D$15)</f>
        <v>0</v>
      </c>
      <c r="X50" s="87">
        <f>BarriarOptionPrice(シミュレーション!$K$12,シミュレーション!$H$12,J50,1-Q$3,シミュレーション!$I$12,シミュレーション!$J$12,シミュレーション!$D$10:$D$15)</f>
        <v>0</v>
      </c>
      <c r="Y50" s="87">
        <f>BarriarOptionPrice(シミュレーション!$K$12,シミュレーション!$H$12,K50,1-R$3,シミュレーション!$I$12,シミュレーション!$J$12,シミュレーション!$D$10:$D$15)</f>
        <v>0</v>
      </c>
      <c r="Z50" s="87">
        <f>BarriarOptionPrice(シミュレーション!$K$12,シミュレーション!$H$12,L50,1-S$3,シミュレーション!$I$12,シミュレーション!$J$12,シミュレーション!$D$10:$D$15)</f>
        <v>0</v>
      </c>
      <c r="AA50" s="44">
        <f>BarriarOptionPrice(シミュレーション!$K$12,シミュレーション!$H$12,M50,1-T$3,シミュレーション!$I$12,シミュレーション!$J$12,シミュレーション!$D$10:$D$15)</f>
        <v>0</v>
      </c>
    </row>
    <row r="51" spans="2:27" ht="14.25" x14ac:dyDescent="0.15">
      <c r="B51" s="18">
        <v>48</v>
      </c>
      <c r="C51" s="29">
        <f>シミュレーションデータの貼り付け!C51*シミュレーション!$D$10+シミュレーションデータの貼り付け!G51*シミュレーション!$D$11+シミュレーションデータの貼り付け!K51*シミュレーション!$D$12+シミュレーションデータの貼り付け!O51*シミュレーション!$D$13+シミュレーションデータの貼り付け!S51*シミュレーション!$D$14+シミュレーションデータの貼り付け!W51*シミュレーション!$D$15</f>
        <v>0</v>
      </c>
      <c r="D51" s="29">
        <f>シミュレーションデータの貼り付け!D51*シミュレーション!$D$10+シミュレーションデータの貼り付け!H51*シミュレーション!$D$11+シミュレーションデータの貼り付け!L51*シミュレーション!$D$12+シミュレーションデータの貼り付け!P51*シミュレーション!$D$13+シミュレーションデータの貼り付け!T51*シミュレーション!$D$14+シミュレーションデータの貼り付け!X51*シミュレーション!$D$15</f>
        <v>0</v>
      </c>
      <c r="E51" s="29">
        <f>シミュレーションデータの貼り付け!E51*シミュレーション!$D$10+シミュレーションデータの貼り付け!I51*シミュレーション!$D$11+シミュレーションデータの貼り付け!M51*シミュレーション!$D$12+シミュレーションデータの貼り付け!Q51*シミュレーション!$D$13+シミュレーションデータの貼り付け!U51*シミュレーション!$D$14+シミュレーションデータの貼り付け!Y51*シミュレーション!$D$15</f>
        <v>0</v>
      </c>
      <c r="F51" s="30">
        <f>シミュレーションデータの貼り付け!F51*シミュレーション!$D$10+シミュレーションデータの貼り付け!J51*シミュレーション!$D$11+シミュレーションデータの貼り付け!N51*シミュレーション!$D$12+シミュレーションデータの貼り付け!R51*シミュレーション!$D$13+シミュレーションデータの貼り付け!V51*シミュレーション!$D$14+シミュレーションデータの貼り付け!Z51*シミュレーション!$D$15</f>
        <v>0</v>
      </c>
      <c r="H51" s="18">
        <v>48</v>
      </c>
      <c r="I51" s="87">
        <f>シミュレーション!$D$19</f>
        <v>0</v>
      </c>
      <c r="J51" s="87">
        <f>I51*(1+'シミュレーション計算用（変更不要）'!C51)</f>
        <v>0</v>
      </c>
      <c r="K51" s="87">
        <f>J51*(1+'シミュレーション計算用（変更不要）'!D51)</f>
        <v>0</v>
      </c>
      <c r="L51" s="87">
        <f>K51*(1+'シミュレーション計算用（変更不要）'!E51)</f>
        <v>0</v>
      </c>
      <c r="M51" s="44">
        <f>L51*(1+'シミュレーション計算用（変更不要）'!F51)</f>
        <v>0</v>
      </c>
      <c r="O51" s="18">
        <v>48</v>
      </c>
      <c r="P51" s="87">
        <f>BarriarOptionPrice(シミュレーション!$K$11,シミュレーション!$H$11,I51,1-P$3,シミュレーション!$I$11,シミュレーション!$J$11,シミュレーション!$D$10:$D$15)</f>
        <v>0</v>
      </c>
      <c r="Q51" s="87">
        <f>BarriarOptionPrice(シミュレーション!$K$11,シミュレーション!$H$11,J51,1-Q$3,シミュレーション!$I$11,シミュレーション!$J$11,シミュレーション!$D$10:$D$15)</f>
        <v>0</v>
      </c>
      <c r="R51" s="87">
        <f>BarriarOptionPrice(シミュレーション!$K$11,シミュレーション!$H$11,K51,1-R$3,シミュレーション!$I$11,シミュレーション!$J$11,シミュレーション!$D$10:$D$15)</f>
        <v>0</v>
      </c>
      <c r="S51" s="87">
        <f>BarriarOptionPrice(シミュレーション!$K$11,シミュレーション!$H$11,L51,1-S$3,シミュレーション!$I$11,シミュレーション!$J$11,シミュレーション!$D$10:$D$15)</f>
        <v>0</v>
      </c>
      <c r="T51" s="44">
        <f>BarriarOptionPrice(シミュレーション!$K$11,シミュレーション!$H$11,M51,1-T$3,シミュレーション!$I$11,シミュレーション!$J$11,シミュレーション!$D$10:$D$15)</f>
        <v>0</v>
      </c>
      <c r="V51" s="18">
        <v>48</v>
      </c>
      <c r="W51" s="87">
        <f>BarriarOptionPrice(シミュレーション!$K$12,シミュレーション!$H$12,I51,1-P$3,シミュレーション!$I$12,シミュレーション!$J$12,シミュレーション!$D$10:$D$15)</f>
        <v>0</v>
      </c>
      <c r="X51" s="87">
        <f>BarriarOptionPrice(シミュレーション!$K$12,シミュレーション!$H$12,J51,1-Q$3,シミュレーション!$I$12,シミュレーション!$J$12,シミュレーション!$D$10:$D$15)</f>
        <v>0</v>
      </c>
      <c r="Y51" s="87">
        <f>BarriarOptionPrice(シミュレーション!$K$12,シミュレーション!$H$12,K51,1-R$3,シミュレーション!$I$12,シミュレーション!$J$12,シミュレーション!$D$10:$D$15)</f>
        <v>0</v>
      </c>
      <c r="Z51" s="87">
        <f>BarriarOptionPrice(シミュレーション!$K$12,シミュレーション!$H$12,L51,1-S$3,シミュレーション!$I$12,シミュレーション!$J$12,シミュレーション!$D$10:$D$15)</f>
        <v>0</v>
      </c>
      <c r="AA51" s="44">
        <f>BarriarOptionPrice(シミュレーション!$K$12,シミュレーション!$H$12,M51,1-T$3,シミュレーション!$I$12,シミュレーション!$J$12,シミュレーション!$D$10:$D$15)</f>
        <v>0</v>
      </c>
    </row>
    <row r="52" spans="2:27" ht="14.25" x14ac:dyDescent="0.15">
      <c r="B52" s="18">
        <v>49</v>
      </c>
      <c r="C52" s="29">
        <f>シミュレーションデータの貼り付け!C52*シミュレーション!$D$10+シミュレーションデータの貼り付け!G52*シミュレーション!$D$11+シミュレーションデータの貼り付け!K52*シミュレーション!$D$12+シミュレーションデータの貼り付け!O52*シミュレーション!$D$13+シミュレーションデータの貼り付け!S52*シミュレーション!$D$14+シミュレーションデータの貼り付け!W52*シミュレーション!$D$15</f>
        <v>0</v>
      </c>
      <c r="D52" s="29">
        <f>シミュレーションデータの貼り付け!D52*シミュレーション!$D$10+シミュレーションデータの貼り付け!H52*シミュレーション!$D$11+シミュレーションデータの貼り付け!L52*シミュレーション!$D$12+シミュレーションデータの貼り付け!P52*シミュレーション!$D$13+シミュレーションデータの貼り付け!T52*シミュレーション!$D$14+シミュレーションデータの貼り付け!X52*シミュレーション!$D$15</f>
        <v>0</v>
      </c>
      <c r="E52" s="29">
        <f>シミュレーションデータの貼り付け!E52*シミュレーション!$D$10+シミュレーションデータの貼り付け!I52*シミュレーション!$D$11+シミュレーションデータの貼り付け!M52*シミュレーション!$D$12+シミュレーションデータの貼り付け!Q52*シミュレーション!$D$13+シミュレーションデータの貼り付け!U52*シミュレーション!$D$14+シミュレーションデータの貼り付け!Y52*シミュレーション!$D$15</f>
        <v>0</v>
      </c>
      <c r="F52" s="30">
        <f>シミュレーションデータの貼り付け!F52*シミュレーション!$D$10+シミュレーションデータの貼り付け!J52*シミュレーション!$D$11+シミュレーションデータの貼り付け!N52*シミュレーション!$D$12+シミュレーションデータの貼り付け!R52*シミュレーション!$D$13+シミュレーションデータの貼り付け!V52*シミュレーション!$D$14+シミュレーションデータの貼り付け!Z52*シミュレーション!$D$15</f>
        <v>0</v>
      </c>
      <c r="H52" s="18">
        <v>49</v>
      </c>
      <c r="I52" s="87">
        <f>シミュレーション!$D$19</f>
        <v>0</v>
      </c>
      <c r="J52" s="87">
        <f>I52*(1+'シミュレーション計算用（変更不要）'!C52)</f>
        <v>0</v>
      </c>
      <c r="K52" s="87">
        <f>J52*(1+'シミュレーション計算用（変更不要）'!D52)</f>
        <v>0</v>
      </c>
      <c r="L52" s="87">
        <f>K52*(1+'シミュレーション計算用（変更不要）'!E52)</f>
        <v>0</v>
      </c>
      <c r="M52" s="44">
        <f>L52*(1+'シミュレーション計算用（変更不要）'!F52)</f>
        <v>0</v>
      </c>
      <c r="O52" s="18">
        <v>49</v>
      </c>
      <c r="P52" s="87">
        <f>BarriarOptionPrice(シミュレーション!$K$11,シミュレーション!$H$11,I52,1-P$3,シミュレーション!$I$11,シミュレーション!$J$11,シミュレーション!$D$10:$D$15)</f>
        <v>0</v>
      </c>
      <c r="Q52" s="87">
        <f>BarriarOptionPrice(シミュレーション!$K$11,シミュレーション!$H$11,J52,1-Q$3,シミュレーション!$I$11,シミュレーション!$J$11,シミュレーション!$D$10:$D$15)</f>
        <v>0</v>
      </c>
      <c r="R52" s="87">
        <f>BarriarOptionPrice(シミュレーション!$K$11,シミュレーション!$H$11,K52,1-R$3,シミュレーション!$I$11,シミュレーション!$J$11,シミュレーション!$D$10:$D$15)</f>
        <v>0</v>
      </c>
      <c r="S52" s="87">
        <f>BarriarOptionPrice(シミュレーション!$K$11,シミュレーション!$H$11,L52,1-S$3,シミュレーション!$I$11,シミュレーション!$J$11,シミュレーション!$D$10:$D$15)</f>
        <v>0</v>
      </c>
      <c r="T52" s="44">
        <f>BarriarOptionPrice(シミュレーション!$K$11,シミュレーション!$H$11,M52,1-T$3,シミュレーション!$I$11,シミュレーション!$J$11,シミュレーション!$D$10:$D$15)</f>
        <v>0</v>
      </c>
      <c r="V52" s="18">
        <v>49</v>
      </c>
      <c r="W52" s="87">
        <f>BarriarOptionPrice(シミュレーション!$K$12,シミュレーション!$H$12,I52,1-P$3,シミュレーション!$I$12,シミュレーション!$J$12,シミュレーション!$D$10:$D$15)</f>
        <v>0</v>
      </c>
      <c r="X52" s="87">
        <f>BarriarOptionPrice(シミュレーション!$K$12,シミュレーション!$H$12,J52,1-Q$3,シミュレーション!$I$12,シミュレーション!$J$12,シミュレーション!$D$10:$D$15)</f>
        <v>0</v>
      </c>
      <c r="Y52" s="87">
        <f>BarriarOptionPrice(シミュレーション!$K$12,シミュレーション!$H$12,K52,1-R$3,シミュレーション!$I$12,シミュレーション!$J$12,シミュレーション!$D$10:$D$15)</f>
        <v>0</v>
      </c>
      <c r="Z52" s="87">
        <f>BarriarOptionPrice(シミュレーション!$K$12,シミュレーション!$H$12,L52,1-S$3,シミュレーション!$I$12,シミュレーション!$J$12,シミュレーション!$D$10:$D$15)</f>
        <v>0</v>
      </c>
      <c r="AA52" s="44">
        <f>BarriarOptionPrice(シミュレーション!$K$12,シミュレーション!$H$12,M52,1-T$3,シミュレーション!$I$12,シミュレーション!$J$12,シミュレーション!$D$10:$D$15)</f>
        <v>0</v>
      </c>
    </row>
    <row r="53" spans="2:27" ht="14.25" x14ac:dyDescent="0.15">
      <c r="B53" s="18">
        <v>50</v>
      </c>
      <c r="C53" s="29">
        <f>シミュレーションデータの貼り付け!C53*シミュレーション!$D$10+シミュレーションデータの貼り付け!G53*シミュレーション!$D$11+シミュレーションデータの貼り付け!K53*シミュレーション!$D$12+シミュレーションデータの貼り付け!O53*シミュレーション!$D$13+シミュレーションデータの貼り付け!S53*シミュレーション!$D$14+シミュレーションデータの貼り付け!W53*シミュレーション!$D$15</f>
        <v>0</v>
      </c>
      <c r="D53" s="29">
        <f>シミュレーションデータの貼り付け!D53*シミュレーション!$D$10+シミュレーションデータの貼り付け!H53*シミュレーション!$D$11+シミュレーションデータの貼り付け!L53*シミュレーション!$D$12+シミュレーションデータの貼り付け!P53*シミュレーション!$D$13+シミュレーションデータの貼り付け!T53*シミュレーション!$D$14+シミュレーションデータの貼り付け!X53*シミュレーション!$D$15</f>
        <v>0</v>
      </c>
      <c r="E53" s="29">
        <f>シミュレーションデータの貼り付け!E53*シミュレーション!$D$10+シミュレーションデータの貼り付け!I53*シミュレーション!$D$11+シミュレーションデータの貼り付け!M53*シミュレーション!$D$12+シミュレーションデータの貼り付け!Q53*シミュレーション!$D$13+シミュレーションデータの貼り付け!U53*シミュレーション!$D$14+シミュレーションデータの貼り付け!Y53*シミュレーション!$D$15</f>
        <v>0</v>
      </c>
      <c r="F53" s="30">
        <f>シミュレーションデータの貼り付け!F53*シミュレーション!$D$10+シミュレーションデータの貼り付け!J53*シミュレーション!$D$11+シミュレーションデータの貼り付け!N53*シミュレーション!$D$12+シミュレーションデータの貼り付け!R53*シミュレーション!$D$13+シミュレーションデータの貼り付け!V53*シミュレーション!$D$14+シミュレーションデータの貼り付け!Z53*シミュレーション!$D$15</f>
        <v>0</v>
      </c>
      <c r="H53" s="18">
        <v>50</v>
      </c>
      <c r="I53" s="87">
        <f>シミュレーション!$D$19</f>
        <v>0</v>
      </c>
      <c r="J53" s="87">
        <f>I53*(1+'シミュレーション計算用（変更不要）'!C53)</f>
        <v>0</v>
      </c>
      <c r="K53" s="87">
        <f>J53*(1+'シミュレーション計算用（変更不要）'!D53)</f>
        <v>0</v>
      </c>
      <c r="L53" s="87">
        <f>K53*(1+'シミュレーション計算用（変更不要）'!E53)</f>
        <v>0</v>
      </c>
      <c r="M53" s="44">
        <f>L53*(1+'シミュレーション計算用（変更不要）'!F53)</f>
        <v>0</v>
      </c>
      <c r="O53" s="18">
        <v>50</v>
      </c>
      <c r="P53" s="87">
        <f>BarriarOptionPrice(シミュレーション!$K$11,シミュレーション!$H$11,I53,1-P$3,シミュレーション!$I$11,シミュレーション!$J$11,シミュレーション!$D$10:$D$15)</f>
        <v>0</v>
      </c>
      <c r="Q53" s="87">
        <f>BarriarOptionPrice(シミュレーション!$K$11,シミュレーション!$H$11,J53,1-Q$3,シミュレーション!$I$11,シミュレーション!$J$11,シミュレーション!$D$10:$D$15)</f>
        <v>0</v>
      </c>
      <c r="R53" s="87">
        <f>BarriarOptionPrice(シミュレーション!$K$11,シミュレーション!$H$11,K53,1-R$3,シミュレーション!$I$11,シミュレーション!$J$11,シミュレーション!$D$10:$D$15)</f>
        <v>0</v>
      </c>
      <c r="S53" s="87">
        <f>BarriarOptionPrice(シミュレーション!$K$11,シミュレーション!$H$11,L53,1-S$3,シミュレーション!$I$11,シミュレーション!$J$11,シミュレーション!$D$10:$D$15)</f>
        <v>0</v>
      </c>
      <c r="T53" s="44">
        <f>BarriarOptionPrice(シミュレーション!$K$11,シミュレーション!$H$11,M53,1-T$3,シミュレーション!$I$11,シミュレーション!$J$11,シミュレーション!$D$10:$D$15)</f>
        <v>0</v>
      </c>
      <c r="V53" s="18">
        <v>50</v>
      </c>
      <c r="W53" s="87">
        <f>BarriarOptionPrice(シミュレーション!$K$12,シミュレーション!$H$12,I53,1-P$3,シミュレーション!$I$12,シミュレーション!$J$12,シミュレーション!$D$10:$D$15)</f>
        <v>0</v>
      </c>
      <c r="X53" s="87">
        <f>BarriarOptionPrice(シミュレーション!$K$12,シミュレーション!$H$12,J53,1-Q$3,シミュレーション!$I$12,シミュレーション!$J$12,シミュレーション!$D$10:$D$15)</f>
        <v>0</v>
      </c>
      <c r="Y53" s="87">
        <f>BarriarOptionPrice(シミュレーション!$K$12,シミュレーション!$H$12,K53,1-R$3,シミュレーション!$I$12,シミュレーション!$J$12,シミュレーション!$D$10:$D$15)</f>
        <v>0</v>
      </c>
      <c r="Z53" s="87">
        <f>BarriarOptionPrice(シミュレーション!$K$12,シミュレーション!$H$12,L53,1-S$3,シミュレーション!$I$12,シミュレーション!$J$12,シミュレーション!$D$10:$D$15)</f>
        <v>0</v>
      </c>
      <c r="AA53" s="44">
        <f>BarriarOptionPrice(シミュレーション!$K$12,シミュレーション!$H$12,M53,1-T$3,シミュレーション!$I$12,シミュレーション!$J$12,シミュレーション!$D$10:$D$15)</f>
        <v>0</v>
      </c>
    </row>
    <row r="54" spans="2:27" ht="14.25" x14ac:dyDescent="0.15">
      <c r="B54" s="18">
        <v>51</v>
      </c>
      <c r="C54" s="29">
        <f>シミュレーションデータの貼り付け!C54*シミュレーション!$D$10+シミュレーションデータの貼り付け!G54*シミュレーション!$D$11+シミュレーションデータの貼り付け!K54*シミュレーション!$D$12+シミュレーションデータの貼り付け!O54*シミュレーション!$D$13+シミュレーションデータの貼り付け!S54*シミュレーション!$D$14+シミュレーションデータの貼り付け!W54*シミュレーション!$D$15</f>
        <v>0</v>
      </c>
      <c r="D54" s="29">
        <f>シミュレーションデータの貼り付け!D54*シミュレーション!$D$10+シミュレーションデータの貼り付け!H54*シミュレーション!$D$11+シミュレーションデータの貼り付け!L54*シミュレーション!$D$12+シミュレーションデータの貼り付け!P54*シミュレーション!$D$13+シミュレーションデータの貼り付け!T54*シミュレーション!$D$14+シミュレーションデータの貼り付け!X54*シミュレーション!$D$15</f>
        <v>0</v>
      </c>
      <c r="E54" s="29">
        <f>シミュレーションデータの貼り付け!E54*シミュレーション!$D$10+シミュレーションデータの貼り付け!I54*シミュレーション!$D$11+シミュレーションデータの貼り付け!M54*シミュレーション!$D$12+シミュレーションデータの貼り付け!Q54*シミュレーション!$D$13+シミュレーションデータの貼り付け!U54*シミュレーション!$D$14+シミュレーションデータの貼り付け!Y54*シミュレーション!$D$15</f>
        <v>0</v>
      </c>
      <c r="F54" s="30">
        <f>シミュレーションデータの貼り付け!F54*シミュレーション!$D$10+シミュレーションデータの貼り付け!J54*シミュレーション!$D$11+シミュレーションデータの貼り付け!N54*シミュレーション!$D$12+シミュレーションデータの貼り付け!R54*シミュレーション!$D$13+シミュレーションデータの貼り付け!V54*シミュレーション!$D$14+シミュレーションデータの貼り付け!Z54*シミュレーション!$D$15</f>
        <v>0</v>
      </c>
      <c r="H54" s="18">
        <v>51</v>
      </c>
      <c r="I54" s="87">
        <f>シミュレーション!$D$19</f>
        <v>0</v>
      </c>
      <c r="J54" s="87">
        <f>I54*(1+'シミュレーション計算用（変更不要）'!C54)</f>
        <v>0</v>
      </c>
      <c r="K54" s="87">
        <f>J54*(1+'シミュレーション計算用（変更不要）'!D54)</f>
        <v>0</v>
      </c>
      <c r="L54" s="87">
        <f>K54*(1+'シミュレーション計算用（変更不要）'!E54)</f>
        <v>0</v>
      </c>
      <c r="M54" s="44">
        <f>L54*(1+'シミュレーション計算用（変更不要）'!F54)</f>
        <v>0</v>
      </c>
      <c r="O54" s="18">
        <v>51</v>
      </c>
      <c r="P54" s="87">
        <f>BarriarOptionPrice(シミュレーション!$K$11,シミュレーション!$H$11,I54,1-P$3,シミュレーション!$I$11,シミュレーション!$J$11,シミュレーション!$D$10:$D$15)</f>
        <v>0</v>
      </c>
      <c r="Q54" s="87">
        <f>BarriarOptionPrice(シミュレーション!$K$11,シミュレーション!$H$11,J54,1-Q$3,シミュレーション!$I$11,シミュレーション!$J$11,シミュレーション!$D$10:$D$15)</f>
        <v>0</v>
      </c>
      <c r="R54" s="87">
        <f>BarriarOptionPrice(シミュレーション!$K$11,シミュレーション!$H$11,K54,1-R$3,シミュレーション!$I$11,シミュレーション!$J$11,シミュレーション!$D$10:$D$15)</f>
        <v>0</v>
      </c>
      <c r="S54" s="87">
        <f>BarriarOptionPrice(シミュレーション!$K$11,シミュレーション!$H$11,L54,1-S$3,シミュレーション!$I$11,シミュレーション!$J$11,シミュレーション!$D$10:$D$15)</f>
        <v>0</v>
      </c>
      <c r="T54" s="44">
        <f>BarriarOptionPrice(シミュレーション!$K$11,シミュレーション!$H$11,M54,1-T$3,シミュレーション!$I$11,シミュレーション!$J$11,シミュレーション!$D$10:$D$15)</f>
        <v>0</v>
      </c>
      <c r="V54" s="18">
        <v>51</v>
      </c>
      <c r="W54" s="87">
        <f>BarriarOptionPrice(シミュレーション!$K$12,シミュレーション!$H$12,I54,1-P$3,シミュレーション!$I$12,シミュレーション!$J$12,シミュレーション!$D$10:$D$15)</f>
        <v>0</v>
      </c>
      <c r="X54" s="87">
        <f>BarriarOptionPrice(シミュレーション!$K$12,シミュレーション!$H$12,J54,1-Q$3,シミュレーション!$I$12,シミュレーション!$J$12,シミュレーション!$D$10:$D$15)</f>
        <v>0</v>
      </c>
      <c r="Y54" s="87">
        <f>BarriarOptionPrice(シミュレーション!$K$12,シミュレーション!$H$12,K54,1-R$3,シミュレーション!$I$12,シミュレーション!$J$12,シミュレーション!$D$10:$D$15)</f>
        <v>0</v>
      </c>
      <c r="Z54" s="87">
        <f>BarriarOptionPrice(シミュレーション!$K$12,シミュレーション!$H$12,L54,1-S$3,シミュレーション!$I$12,シミュレーション!$J$12,シミュレーション!$D$10:$D$15)</f>
        <v>0</v>
      </c>
      <c r="AA54" s="44">
        <f>BarriarOptionPrice(シミュレーション!$K$12,シミュレーション!$H$12,M54,1-T$3,シミュレーション!$I$12,シミュレーション!$J$12,シミュレーション!$D$10:$D$15)</f>
        <v>0</v>
      </c>
    </row>
    <row r="55" spans="2:27" ht="14.25" x14ac:dyDescent="0.15">
      <c r="B55" s="18">
        <v>52</v>
      </c>
      <c r="C55" s="29">
        <f>シミュレーションデータの貼り付け!C55*シミュレーション!$D$10+シミュレーションデータの貼り付け!G55*シミュレーション!$D$11+シミュレーションデータの貼り付け!K55*シミュレーション!$D$12+シミュレーションデータの貼り付け!O55*シミュレーション!$D$13+シミュレーションデータの貼り付け!S55*シミュレーション!$D$14+シミュレーションデータの貼り付け!W55*シミュレーション!$D$15</f>
        <v>0</v>
      </c>
      <c r="D55" s="29">
        <f>シミュレーションデータの貼り付け!D55*シミュレーション!$D$10+シミュレーションデータの貼り付け!H55*シミュレーション!$D$11+シミュレーションデータの貼り付け!L55*シミュレーション!$D$12+シミュレーションデータの貼り付け!P55*シミュレーション!$D$13+シミュレーションデータの貼り付け!T55*シミュレーション!$D$14+シミュレーションデータの貼り付け!X55*シミュレーション!$D$15</f>
        <v>0</v>
      </c>
      <c r="E55" s="29">
        <f>シミュレーションデータの貼り付け!E55*シミュレーション!$D$10+シミュレーションデータの貼り付け!I55*シミュレーション!$D$11+シミュレーションデータの貼り付け!M55*シミュレーション!$D$12+シミュレーションデータの貼り付け!Q55*シミュレーション!$D$13+シミュレーションデータの貼り付け!U55*シミュレーション!$D$14+シミュレーションデータの貼り付け!Y55*シミュレーション!$D$15</f>
        <v>0</v>
      </c>
      <c r="F55" s="30">
        <f>シミュレーションデータの貼り付け!F55*シミュレーション!$D$10+シミュレーションデータの貼り付け!J55*シミュレーション!$D$11+シミュレーションデータの貼り付け!N55*シミュレーション!$D$12+シミュレーションデータの貼り付け!R55*シミュレーション!$D$13+シミュレーションデータの貼り付け!V55*シミュレーション!$D$14+シミュレーションデータの貼り付け!Z55*シミュレーション!$D$15</f>
        <v>0</v>
      </c>
      <c r="H55" s="18">
        <v>52</v>
      </c>
      <c r="I55" s="87">
        <f>シミュレーション!$D$19</f>
        <v>0</v>
      </c>
      <c r="J55" s="87">
        <f>I55*(1+'シミュレーション計算用（変更不要）'!C55)</f>
        <v>0</v>
      </c>
      <c r="K55" s="87">
        <f>J55*(1+'シミュレーション計算用（変更不要）'!D55)</f>
        <v>0</v>
      </c>
      <c r="L55" s="87">
        <f>K55*(1+'シミュレーション計算用（変更不要）'!E55)</f>
        <v>0</v>
      </c>
      <c r="M55" s="44">
        <f>L55*(1+'シミュレーション計算用（変更不要）'!F55)</f>
        <v>0</v>
      </c>
      <c r="O55" s="18">
        <v>52</v>
      </c>
      <c r="P55" s="87">
        <f>BarriarOptionPrice(シミュレーション!$K$11,シミュレーション!$H$11,I55,1-P$3,シミュレーション!$I$11,シミュレーション!$J$11,シミュレーション!$D$10:$D$15)</f>
        <v>0</v>
      </c>
      <c r="Q55" s="87">
        <f>BarriarOptionPrice(シミュレーション!$K$11,シミュレーション!$H$11,J55,1-Q$3,シミュレーション!$I$11,シミュレーション!$J$11,シミュレーション!$D$10:$D$15)</f>
        <v>0</v>
      </c>
      <c r="R55" s="87">
        <f>BarriarOptionPrice(シミュレーション!$K$11,シミュレーション!$H$11,K55,1-R$3,シミュレーション!$I$11,シミュレーション!$J$11,シミュレーション!$D$10:$D$15)</f>
        <v>0</v>
      </c>
      <c r="S55" s="87">
        <f>BarriarOptionPrice(シミュレーション!$K$11,シミュレーション!$H$11,L55,1-S$3,シミュレーション!$I$11,シミュレーション!$J$11,シミュレーション!$D$10:$D$15)</f>
        <v>0</v>
      </c>
      <c r="T55" s="44">
        <f>BarriarOptionPrice(シミュレーション!$K$11,シミュレーション!$H$11,M55,1-T$3,シミュレーション!$I$11,シミュレーション!$J$11,シミュレーション!$D$10:$D$15)</f>
        <v>0</v>
      </c>
      <c r="V55" s="18">
        <v>52</v>
      </c>
      <c r="W55" s="87">
        <f>BarriarOptionPrice(シミュレーション!$K$12,シミュレーション!$H$12,I55,1-P$3,シミュレーション!$I$12,シミュレーション!$J$12,シミュレーション!$D$10:$D$15)</f>
        <v>0</v>
      </c>
      <c r="X55" s="87">
        <f>BarriarOptionPrice(シミュレーション!$K$12,シミュレーション!$H$12,J55,1-Q$3,シミュレーション!$I$12,シミュレーション!$J$12,シミュレーション!$D$10:$D$15)</f>
        <v>0</v>
      </c>
      <c r="Y55" s="87">
        <f>BarriarOptionPrice(シミュレーション!$K$12,シミュレーション!$H$12,K55,1-R$3,シミュレーション!$I$12,シミュレーション!$J$12,シミュレーション!$D$10:$D$15)</f>
        <v>0</v>
      </c>
      <c r="Z55" s="87">
        <f>BarriarOptionPrice(シミュレーション!$K$12,シミュレーション!$H$12,L55,1-S$3,シミュレーション!$I$12,シミュレーション!$J$12,シミュレーション!$D$10:$D$15)</f>
        <v>0</v>
      </c>
      <c r="AA55" s="44">
        <f>BarriarOptionPrice(シミュレーション!$K$12,シミュレーション!$H$12,M55,1-T$3,シミュレーション!$I$12,シミュレーション!$J$12,シミュレーション!$D$10:$D$15)</f>
        <v>0</v>
      </c>
    </row>
    <row r="56" spans="2:27" ht="14.25" x14ac:dyDescent="0.15">
      <c r="B56" s="18">
        <v>53</v>
      </c>
      <c r="C56" s="29">
        <f>シミュレーションデータの貼り付け!C56*シミュレーション!$D$10+シミュレーションデータの貼り付け!G56*シミュレーション!$D$11+シミュレーションデータの貼り付け!K56*シミュレーション!$D$12+シミュレーションデータの貼り付け!O56*シミュレーション!$D$13+シミュレーションデータの貼り付け!S56*シミュレーション!$D$14+シミュレーションデータの貼り付け!W56*シミュレーション!$D$15</f>
        <v>0</v>
      </c>
      <c r="D56" s="29">
        <f>シミュレーションデータの貼り付け!D56*シミュレーション!$D$10+シミュレーションデータの貼り付け!H56*シミュレーション!$D$11+シミュレーションデータの貼り付け!L56*シミュレーション!$D$12+シミュレーションデータの貼り付け!P56*シミュレーション!$D$13+シミュレーションデータの貼り付け!T56*シミュレーション!$D$14+シミュレーションデータの貼り付け!X56*シミュレーション!$D$15</f>
        <v>0</v>
      </c>
      <c r="E56" s="29">
        <f>シミュレーションデータの貼り付け!E56*シミュレーション!$D$10+シミュレーションデータの貼り付け!I56*シミュレーション!$D$11+シミュレーションデータの貼り付け!M56*シミュレーション!$D$12+シミュレーションデータの貼り付け!Q56*シミュレーション!$D$13+シミュレーションデータの貼り付け!U56*シミュレーション!$D$14+シミュレーションデータの貼り付け!Y56*シミュレーション!$D$15</f>
        <v>0</v>
      </c>
      <c r="F56" s="30">
        <f>シミュレーションデータの貼り付け!F56*シミュレーション!$D$10+シミュレーションデータの貼り付け!J56*シミュレーション!$D$11+シミュレーションデータの貼り付け!N56*シミュレーション!$D$12+シミュレーションデータの貼り付け!R56*シミュレーション!$D$13+シミュレーションデータの貼り付け!V56*シミュレーション!$D$14+シミュレーションデータの貼り付け!Z56*シミュレーション!$D$15</f>
        <v>0</v>
      </c>
      <c r="H56" s="18">
        <v>53</v>
      </c>
      <c r="I56" s="87">
        <f>シミュレーション!$D$19</f>
        <v>0</v>
      </c>
      <c r="J56" s="87">
        <f>I56*(1+'シミュレーション計算用（変更不要）'!C56)</f>
        <v>0</v>
      </c>
      <c r="K56" s="87">
        <f>J56*(1+'シミュレーション計算用（変更不要）'!D56)</f>
        <v>0</v>
      </c>
      <c r="L56" s="87">
        <f>K56*(1+'シミュレーション計算用（変更不要）'!E56)</f>
        <v>0</v>
      </c>
      <c r="M56" s="44">
        <f>L56*(1+'シミュレーション計算用（変更不要）'!F56)</f>
        <v>0</v>
      </c>
      <c r="O56" s="18">
        <v>53</v>
      </c>
      <c r="P56" s="87">
        <f>BarriarOptionPrice(シミュレーション!$K$11,シミュレーション!$H$11,I56,1-P$3,シミュレーション!$I$11,シミュレーション!$J$11,シミュレーション!$D$10:$D$15)</f>
        <v>0</v>
      </c>
      <c r="Q56" s="87">
        <f>BarriarOptionPrice(シミュレーション!$K$11,シミュレーション!$H$11,J56,1-Q$3,シミュレーション!$I$11,シミュレーション!$J$11,シミュレーション!$D$10:$D$15)</f>
        <v>0</v>
      </c>
      <c r="R56" s="87">
        <f>BarriarOptionPrice(シミュレーション!$K$11,シミュレーション!$H$11,K56,1-R$3,シミュレーション!$I$11,シミュレーション!$J$11,シミュレーション!$D$10:$D$15)</f>
        <v>0</v>
      </c>
      <c r="S56" s="87">
        <f>BarriarOptionPrice(シミュレーション!$K$11,シミュレーション!$H$11,L56,1-S$3,シミュレーション!$I$11,シミュレーション!$J$11,シミュレーション!$D$10:$D$15)</f>
        <v>0</v>
      </c>
      <c r="T56" s="44">
        <f>BarriarOptionPrice(シミュレーション!$K$11,シミュレーション!$H$11,M56,1-T$3,シミュレーション!$I$11,シミュレーション!$J$11,シミュレーション!$D$10:$D$15)</f>
        <v>0</v>
      </c>
      <c r="V56" s="18">
        <v>53</v>
      </c>
      <c r="W56" s="87">
        <f>BarriarOptionPrice(シミュレーション!$K$12,シミュレーション!$H$12,I56,1-P$3,シミュレーション!$I$12,シミュレーション!$J$12,シミュレーション!$D$10:$D$15)</f>
        <v>0</v>
      </c>
      <c r="X56" s="87">
        <f>BarriarOptionPrice(シミュレーション!$K$12,シミュレーション!$H$12,J56,1-Q$3,シミュレーション!$I$12,シミュレーション!$J$12,シミュレーション!$D$10:$D$15)</f>
        <v>0</v>
      </c>
      <c r="Y56" s="87">
        <f>BarriarOptionPrice(シミュレーション!$K$12,シミュレーション!$H$12,K56,1-R$3,シミュレーション!$I$12,シミュレーション!$J$12,シミュレーション!$D$10:$D$15)</f>
        <v>0</v>
      </c>
      <c r="Z56" s="87">
        <f>BarriarOptionPrice(シミュレーション!$K$12,シミュレーション!$H$12,L56,1-S$3,シミュレーション!$I$12,シミュレーション!$J$12,シミュレーション!$D$10:$D$15)</f>
        <v>0</v>
      </c>
      <c r="AA56" s="44">
        <f>BarriarOptionPrice(シミュレーション!$K$12,シミュレーション!$H$12,M56,1-T$3,シミュレーション!$I$12,シミュレーション!$J$12,シミュレーション!$D$10:$D$15)</f>
        <v>0</v>
      </c>
    </row>
    <row r="57" spans="2:27" ht="14.25" x14ac:dyDescent="0.15">
      <c r="B57" s="18">
        <v>54</v>
      </c>
      <c r="C57" s="29">
        <f>シミュレーションデータの貼り付け!C57*シミュレーション!$D$10+シミュレーションデータの貼り付け!G57*シミュレーション!$D$11+シミュレーションデータの貼り付け!K57*シミュレーション!$D$12+シミュレーションデータの貼り付け!O57*シミュレーション!$D$13+シミュレーションデータの貼り付け!S57*シミュレーション!$D$14+シミュレーションデータの貼り付け!W57*シミュレーション!$D$15</f>
        <v>0</v>
      </c>
      <c r="D57" s="29">
        <f>シミュレーションデータの貼り付け!D57*シミュレーション!$D$10+シミュレーションデータの貼り付け!H57*シミュレーション!$D$11+シミュレーションデータの貼り付け!L57*シミュレーション!$D$12+シミュレーションデータの貼り付け!P57*シミュレーション!$D$13+シミュレーションデータの貼り付け!T57*シミュレーション!$D$14+シミュレーションデータの貼り付け!X57*シミュレーション!$D$15</f>
        <v>0</v>
      </c>
      <c r="E57" s="29">
        <f>シミュレーションデータの貼り付け!E57*シミュレーション!$D$10+シミュレーションデータの貼り付け!I57*シミュレーション!$D$11+シミュレーションデータの貼り付け!M57*シミュレーション!$D$12+シミュレーションデータの貼り付け!Q57*シミュレーション!$D$13+シミュレーションデータの貼り付け!U57*シミュレーション!$D$14+シミュレーションデータの貼り付け!Y57*シミュレーション!$D$15</f>
        <v>0</v>
      </c>
      <c r="F57" s="30">
        <f>シミュレーションデータの貼り付け!F57*シミュレーション!$D$10+シミュレーションデータの貼り付け!J57*シミュレーション!$D$11+シミュレーションデータの貼り付け!N57*シミュレーション!$D$12+シミュレーションデータの貼り付け!R57*シミュレーション!$D$13+シミュレーションデータの貼り付け!V57*シミュレーション!$D$14+シミュレーションデータの貼り付け!Z57*シミュレーション!$D$15</f>
        <v>0</v>
      </c>
      <c r="H57" s="18">
        <v>54</v>
      </c>
      <c r="I57" s="87">
        <f>シミュレーション!$D$19</f>
        <v>0</v>
      </c>
      <c r="J57" s="87">
        <f>I57*(1+'シミュレーション計算用（変更不要）'!C57)</f>
        <v>0</v>
      </c>
      <c r="K57" s="87">
        <f>J57*(1+'シミュレーション計算用（変更不要）'!D57)</f>
        <v>0</v>
      </c>
      <c r="L57" s="87">
        <f>K57*(1+'シミュレーション計算用（変更不要）'!E57)</f>
        <v>0</v>
      </c>
      <c r="M57" s="44">
        <f>L57*(1+'シミュレーション計算用（変更不要）'!F57)</f>
        <v>0</v>
      </c>
      <c r="O57" s="18">
        <v>54</v>
      </c>
      <c r="P57" s="87">
        <f>BarriarOptionPrice(シミュレーション!$K$11,シミュレーション!$H$11,I57,1-P$3,シミュレーション!$I$11,シミュレーション!$J$11,シミュレーション!$D$10:$D$15)</f>
        <v>0</v>
      </c>
      <c r="Q57" s="87">
        <f>BarriarOptionPrice(シミュレーション!$K$11,シミュレーション!$H$11,J57,1-Q$3,シミュレーション!$I$11,シミュレーション!$J$11,シミュレーション!$D$10:$D$15)</f>
        <v>0</v>
      </c>
      <c r="R57" s="87">
        <f>BarriarOptionPrice(シミュレーション!$K$11,シミュレーション!$H$11,K57,1-R$3,シミュレーション!$I$11,シミュレーション!$J$11,シミュレーション!$D$10:$D$15)</f>
        <v>0</v>
      </c>
      <c r="S57" s="87">
        <f>BarriarOptionPrice(シミュレーション!$K$11,シミュレーション!$H$11,L57,1-S$3,シミュレーション!$I$11,シミュレーション!$J$11,シミュレーション!$D$10:$D$15)</f>
        <v>0</v>
      </c>
      <c r="T57" s="44">
        <f>BarriarOptionPrice(シミュレーション!$K$11,シミュレーション!$H$11,M57,1-T$3,シミュレーション!$I$11,シミュレーション!$J$11,シミュレーション!$D$10:$D$15)</f>
        <v>0</v>
      </c>
      <c r="V57" s="18">
        <v>54</v>
      </c>
      <c r="W57" s="87">
        <f>BarriarOptionPrice(シミュレーション!$K$12,シミュレーション!$H$12,I57,1-P$3,シミュレーション!$I$12,シミュレーション!$J$12,シミュレーション!$D$10:$D$15)</f>
        <v>0</v>
      </c>
      <c r="X57" s="87">
        <f>BarriarOptionPrice(シミュレーション!$K$12,シミュレーション!$H$12,J57,1-Q$3,シミュレーション!$I$12,シミュレーション!$J$12,シミュレーション!$D$10:$D$15)</f>
        <v>0</v>
      </c>
      <c r="Y57" s="87">
        <f>BarriarOptionPrice(シミュレーション!$K$12,シミュレーション!$H$12,K57,1-R$3,シミュレーション!$I$12,シミュレーション!$J$12,シミュレーション!$D$10:$D$15)</f>
        <v>0</v>
      </c>
      <c r="Z57" s="87">
        <f>BarriarOptionPrice(シミュレーション!$K$12,シミュレーション!$H$12,L57,1-S$3,シミュレーション!$I$12,シミュレーション!$J$12,シミュレーション!$D$10:$D$15)</f>
        <v>0</v>
      </c>
      <c r="AA57" s="44">
        <f>BarriarOptionPrice(シミュレーション!$K$12,シミュレーション!$H$12,M57,1-T$3,シミュレーション!$I$12,シミュレーション!$J$12,シミュレーション!$D$10:$D$15)</f>
        <v>0</v>
      </c>
    </row>
    <row r="58" spans="2:27" ht="14.25" x14ac:dyDescent="0.15">
      <c r="B58" s="18">
        <v>55</v>
      </c>
      <c r="C58" s="29">
        <f>シミュレーションデータの貼り付け!C58*シミュレーション!$D$10+シミュレーションデータの貼り付け!G58*シミュレーション!$D$11+シミュレーションデータの貼り付け!K58*シミュレーション!$D$12+シミュレーションデータの貼り付け!O58*シミュレーション!$D$13+シミュレーションデータの貼り付け!S58*シミュレーション!$D$14+シミュレーションデータの貼り付け!W58*シミュレーション!$D$15</f>
        <v>0</v>
      </c>
      <c r="D58" s="29">
        <f>シミュレーションデータの貼り付け!D58*シミュレーション!$D$10+シミュレーションデータの貼り付け!H58*シミュレーション!$D$11+シミュレーションデータの貼り付け!L58*シミュレーション!$D$12+シミュレーションデータの貼り付け!P58*シミュレーション!$D$13+シミュレーションデータの貼り付け!T58*シミュレーション!$D$14+シミュレーションデータの貼り付け!X58*シミュレーション!$D$15</f>
        <v>0</v>
      </c>
      <c r="E58" s="29">
        <f>シミュレーションデータの貼り付け!E58*シミュレーション!$D$10+シミュレーションデータの貼り付け!I58*シミュレーション!$D$11+シミュレーションデータの貼り付け!M58*シミュレーション!$D$12+シミュレーションデータの貼り付け!Q58*シミュレーション!$D$13+シミュレーションデータの貼り付け!U58*シミュレーション!$D$14+シミュレーションデータの貼り付け!Y58*シミュレーション!$D$15</f>
        <v>0</v>
      </c>
      <c r="F58" s="30">
        <f>シミュレーションデータの貼り付け!F58*シミュレーション!$D$10+シミュレーションデータの貼り付け!J58*シミュレーション!$D$11+シミュレーションデータの貼り付け!N58*シミュレーション!$D$12+シミュレーションデータの貼り付け!R58*シミュレーション!$D$13+シミュレーションデータの貼り付け!V58*シミュレーション!$D$14+シミュレーションデータの貼り付け!Z58*シミュレーション!$D$15</f>
        <v>0</v>
      </c>
      <c r="H58" s="18">
        <v>55</v>
      </c>
      <c r="I58" s="87">
        <f>シミュレーション!$D$19</f>
        <v>0</v>
      </c>
      <c r="J58" s="87">
        <f>I58*(1+'シミュレーション計算用（変更不要）'!C58)</f>
        <v>0</v>
      </c>
      <c r="K58" s="87">
        <f>J58*(1+'シミュレーション計算用（変更不要）'!D58)</f>
        <v>0</v>
      </c>
      <c r="L58" s="87">
        <f>K58*(1+'シミュレーション計算用（変更不要）'!E58)</f>
        <v>0</v>
      </c>
      <c r="M58" s="44">
        <f>L58*(1+'シミュレーション計算用（変更不要）'!F58)</f>
        <v>0</v>
      </c>
      <c r="O58" s="18">
        <v>55</v>
      </c>
      <c r="P58" s="87">
        <f>BarriarOptionPrice(シミュレーション!$K$11,シミュレーション!$H$11,I58,1-P$3,シミュレーション!$I$11,シミュレーション!$J$11,シミュレーション!$D$10:$D$15)</f>
        <v>0</v>
      </c>
      <c r="Q58" s="87">
        <f>BarriarOptionPrice(シミュレーション!$K$11,シミュレーション!$H$11,J58,1-Q$3,シミュレーション!$I$11,シミュレーション!$J$11,シミュレーション!$D$10:$D$15)</f>
        <v>0</v>
      </c>
      <c r="R58" s="87">
        <f>BarriarOptionPrice(シミュレーション!$K$11,シミュレーション!$H$11,K58,1-R$3,シミュレーション!$I$11,シミュレーション!$J$11,シミュレーション!$D$10:$D$15)</f>
        <v>0</v>
      </c>
      <c r="S58" s="87">
        <f>BarriarOptionPrice(シミュレーション!$K$11,シミュレーション!$H$11,L58,1-S$3,シミュレーション!$I$11,シミュレーション!$J$11,シミュレーション!$D$10:$D$15)</f>
        <v>0</v>
      </c>
      <c r="T58" s="44">
        <f>BarriarOptionPrice(シミュレーション!$K$11,シミュレーション!$H$11,M58,1-T$3,シミュレーション!$I$11,シミュレーション!$J$11,シミュレーション!$D$10:$D$15)</f>
        <v>0</v>
      </c>
      <c r="V58" s="18">
        <v>55</v>
      </c>
      <c r="W58" s="87">
        <f>BarriarOptionPrice(シミュレーション!$K$12,シミュレーション!$H$12,I58,1-P$3,シミュレーション!$I$12,シミュレーション!$J$12,シミュレーション!$D$10:$D$15)</f>
        <v>0</v>
      </c>
      <c r="X58" s="87">
        <f>BarriarOptionPrice(シミュレーション!$K$12,シミュレーション!$H$12,J58,1-Q$3,シミュレーション!$I$12,シミュレーション!$J$12,シミュレーション!$D$10:$D$15)</f>
        <v>0</v>
      </c>
      <c r="Y58" s="87">
        <f>BarriarOptionPrice(シミュレーション!$K$12,シミュレーション!$H$12,K58,1-R$3,シミュレーション!$I$12,シミュレーション!$J$12,シミュレーション!$D$10:$D$15)</f>
        <v>0</v>
      </c>
      <c r="Z58" s="87">
        <f>BarriarOptionPrice(シミュレーション!$K$12,シミュレーション!$H$12,L58,1-S$3,シミュレーション!$I$12,シミュレーション!$J$12,シミュレーション!$D$10:$D$15)</f>
        <v>0</v>
      </c>
      <c r="AA58" s="44">
        <f>BarriarOptionPrice(シミュレーション!$K$12,シミュレーション!$H$12,M58,1-T$3,シミュレーション!$I$12,シミュレーション!$J$12,シミュレーション!$D$10:$D$15)</f>
        <v>0</v>
      </c>
    </row>
    <row r="59" spans="2:27" ht="14.25" x14ac:dyDescent="0.15">
      <c r="B59" s="18">
        <v>56</v>
      </c>
      <c r="C59" s="29">
        <f>シミュレーションデータの貼り付け!C59*シミュレーション!$D$10+シミュレーションデータの貼り付け!G59*シミュレーション!$D$11+シミュレーションデータの貼り付け!K59*シミュレーション!$D$12+シミュレーションデータの貼り付け!O59*シミュレーション!$D$13+シミュレーションデータの貼り付け!S59*シミュレーション!$D$14+シミュレーションデータの貼り付け!W59*シミュレーション!$D$15</f>
        <v>0</v>
      </c>
      <c r="D59" s="29">
        <f>シミュレーションデータの貼り付け!D59*シミュレーション!$D$10+シミュレーションデータの貼り付け!H59*シミュレーション!$D$11+シミュレーションデータの貼り付け!L59*シミュレーション!$D$12+シミュレーションデータの貼り付け!P59*シミュレーション!$D$13+シミュレーションデータの貼り付け!T59*シミュレーション!$D$14+シミュレーションデータの貼り付け!X59*シミュレーション!$D$15</f>
        <v>0</v>
      </c>
      <c r="E59" s="29">
        <f>シミュレーションデータの貼り付け!E59*シミュレーション!$D$10+シミュレーションデータの貼り付け!I59*シミュレーション!$D$11+シミュレーションデータの貼り付け!M59*シミュレーション!$D$12+シミュレーションデータの貼り付け!Q59*シミュレーション!$D$13+シミュレーションデータの貼り付け!U59*シミュレーション!$D$14+シミュレーションデータの貼り付け!Y59*シミュレーション!$D$15</f>
        <v>0</v>
      </c>
      <c r="F59" s="30">
        <f>シミュレーションデータの貼り付け!F59*シミュレーション!$D$10+シミュレーションデータの貼り付け!J59*シミュレーション!$D$11+シミュレーションデータの貼り付け!N59*シミュレーション!$D$12+シミュレーションデータの貼り付け!R59*シミュレーション!$D$13+シミュレーションデータの貼り付け!V59*シミュレーション!$D$14+シミュレーションデータの貼り付け!Z59*シミュレーション!$D$15</f>
        <v>0</v>
      </c>
      <c r="H59" s="18">
        <v>56</v>
      </c>
      <c r="I59" s="87">
        <f>シミュレーション!$D$19</f>
        <v>0</v>
      </c>
      <c r="J59" s="87">
        <f>I59*(1+'シミュレーション計算用（変更不要）'!C59)</f>
        <v>0</v>
      </c>
      <c r="K59" s="87">
        <f>J59*(1+'シミュレーション計算用（変更不要）'!D59)</f>
        <v>0</v>
      </c>
      <c r="L59" s="87">
        <f>K59*(1+'シミュレーション計算用（変更不要）'!E59)</f>
        <v>0</v>
      </c>
      <c r="M59" s="44">
        <f>L59*(1+'シミュレーション計算用（変更不要）'!F59)</f>
        <v>0</v>
      </c>
      <c r="O59" s="18">
        <v>56</v>
      </c>
      <c r="P59" s="87">
        <f>BarriarOptionPrice(シミュレーション!$K$11,シミュレーション!$H$11,I59,1-P$3,シミュレーション!$I$11,シミュレーション!$J$11,シミュレーション!$D$10:$D$15)</f>
        <v>0</v>
      </c>
      <c r="Q59" s="87">
        <f>BarriarOptionPrice(シミュレーション!$K$11,シミュレーション!$H$11,J59,1-Q$3,シミュレーション!$I$11,シミュレーション!$J$11,シミュレーション!$D$10:$D$15)</f>
        <v>0</v>
      </c>
      <c r="R59" s="87">
        <f>BarriarOptionPrice(シミュレーション!$K$11,シミュレーション!$H$11,K59,1-R$3,シミュレーション!$I$11,シミュレーション!$J$11,シミュレーション!$D$10:$D$15)</f>
        <v>0</v>
      </c>
      <c r="S59" s="87">
        <f>BarriarOptionPrice(シミュレーション!$K$11,シミュレーション!$H$11,L59,1-S$3,シミュレーション!$I$11,シミュレーション!$J$11,シミュレーション!$D$10:$D$15)</f>
        <v>0</v>
      </c>
      <c r="T59" s="44">
        <f>BarriarOptionPrice(シミュレーション!$K$11,シミュレーション!$H$11,M59,1-T$3,シミュレーション!$I$11,シミュレーション!$J$11,シミュレーション!$D$10:$D$15)</f>
        <v>0</v>
      </c>
      <c r="V59" s="18">
        <v>56</v>
      </c>
      <c r="W59" s="87">
        <f>BarriarOptionPrice(シミュレーション!$K$12,シミュレーション!$H$12,I59,1-P$3,シミュレーション!$I$12,シミュレーション!$J$12,シミュレーション!$D$10:$D$15)</f>
        <v>0</v>
      </c>
      <c r="X59" s="87">
        <f>BarriarOptionPrice(シミュレーション!$K$12,シミュレーション!$H$12,J59,1-Q$3,シミュレーション!$I$12,シミュレーション!$J$12,シミュレーション!$D$10:$D$15)</f>
        <v>0</v>
      </c>
      <c r="Y59" s="87">
        <f>BarriarOptionPrice(シミュレーション!$K$12,シミュレーション!$H$12,K59,1-R$3,シミュレーション!$I$12,シミュレーション!$J$12,シミュレーション!$D$10:$D$15)</f>
        <v>0</v>
      </c>
      <c r="Z59" s="87">
        <f>BarriarOptionPrice(シミュレーション!$K$12,シミュレーション!$H$12,L59,1-S$3,シミュレーション!$I$12,シミュレーション!$J$12,シミュレーション!$D$10:$D$15)</f>
        <v>0</v>
      </c>
      <c r="AA59" s="44">
        <f>BarriarOptionPrice(シミュレーション!$K$12,シミュレーション!$H$12,M59,1-T$3,シミュレーション!$I$12,シミュレーション!$J$12,シミュレーション!$D$10:$D$15)</f>
        <v>0</v>
      </c>
    </row>
    <row r="60" spans="2:27" ht="14.25" x14ac:dyDescent="0.15">
      <c r="B60" s="18">
        <v>57</v>
      </c>
      <c r="C60" s="29">
        <f>シミュレーションデータの貼り付け!C60*シミュレーション!$D$10+シミュレーションデータの貼り付け!G60*シミュレーション!$D$11+シミュレーションデータの貼り付け!K60*シミュレーション!$D$12+シミュレーションデータの貼り付け!O60*シミュレーション!$D$13+シミュレーションデータの貼り付け!S60*シミュレーション!$D$14+シミュレーションデータの貼り付け!W60*シミュレーション!$D$15</f>
        <v>0</v>
      </c>
      <c r="D60" s="29">
        <f>シミュレーションデータの貼り付け!D60*シミュレーション!$D$10+シミュレーションデータの貼り付け!H60*シミュレーション!$D$11+シミュレーションデータの貼り付け!L60*シミュレーション!$D$12+シミュレーションデータの貼り付け!P60*シミュレーション!$D$13+シミュレーションデータの貼り付け!T60*シミュレーション!$D$14+シミュレーションデータの貼り付け!X60*シミュレーション!$D$15</f>
        <v>0</v>
      </c>
      <c r="E60" s="29">
        <f>シミュレーションデータの貼り付け!E60*シミュレーション!$D$10+シミュレーションデータの貼り付け!I60*シミュレーション!$D$11+シミュレーションデータの貼り付け!M60*シミュレーション!$D$12+シミュレーションデータの貼り付け!Q60*シミュレーション!$D$13+シミュレーションデータの貼り付け!U60*シミュレーション!$D$14+シミュレーションデータの貼り付け!Y60*シミュレーション!$D$15</f>
        <v>0</v>
      </c>
      <c r="F60" s="30">
        <f>シミュレーションデータの貼り付け!F60*シミュレーション!$D$10+シミュレーションデータの貼り付け!J60*シミュレーション!$D$11+シミュレーションデータの貼り付け!N60*シミュレーション!$D$12+シミュレーションデータの貼り付け!R60*シミュレーション!$D$13+シミュレーションデータの貼り付け!V60*シミュレーション!$D$14+シミュレーションデータの貼り付け!Z60*シミュレーション!$D$15</f>
        <v>0</v>
      </c>
      <c r="H60" s="18">
        <v>57</v>
      </c>
      <c r="I60" s="87">
        <f>シミュレーション!$D$19</f>
        <v>0</v>
      </c>
      <c r="J60" s="87">
        <f>I60*(1+'シミュレーション計算用（変更不要）'!C60)</f>
        <v>0</v>
      </c>
      <c r="K60" s="87">
        <f>J60*(1+'シミュレーション計算用（変更不要）'!D60)</f>
        <v>0</v>
      </c>
      <c r="L60" s="87">
        <f>K60*(1+'シミュレーション計算用（変更不要）'!E60)</f>
        <v>0</v>
      </c>
      <c r="M60" s="44">
        <f>L60*(1+'シミュレーション計算用（変更不要）'!F60)</f>
        <v>0</v>
      </c>
      <c r="O60" s="18">
        <v>57</v>
      </c>
      <c r="P60" s="87">
        <f>BarriarOptionPrice(シミュレーション!$K$11,シミュレーション!$H$11,I60,1-P$3,シミュレーション!$I$11,シミュレーション!$J$11,シミュレーション!$D$10:$D$15)</f>
        <v>0</v>
      </c>
      <c r="Q60" s="87">
        <f>BarriarOptionPrice(シミュレーション!$K$11,シミュレーション!$H$11,J60,1-Q$3,シミュレーション!$I$11,シミュレーション!$J$11,シミュレーション!$D$10:$D$15)</f>
        <v>0</v>
      </c>
      <c r="R60" s="87">
        <f>BarriarOptionPrice(シミュレーション!$K$11,シミュレーション!$H$11,K60,1-R$3,シミュレーション!$I$11,シミュレーション!$J$11,シミュレーション!$D$10:$D$15)</f>
        <v>0</v>
      </c>
      <c r="S60" s="87">
        <f>BarriarOptionPrice(シミュレーション!$K$11,シミュレーション!$H$11,L60,1-S$3,シミュレーション!$I$11,シミュレーション!$J$11,シミュレーション!$D$10:$D$15)</f>
        <v>0</v>
      </c>
      <c r="T60" s="44">
        <f>BarriarOptionPrice(シミュレーション!$K$11,シミュレーション!$H$11,M60,1-T$3,シミュレーション!$I$11,シミュレーション!$J$11,シミュレーション!$D$10:$D$15)</f>
        <v>0</v>
      </c>
      <c r="V60" s="18">
        <v>57</v>
      </c>
      <c r="W60" s="87">
        <f>BarriarOptionPrice(シミュレーション!$K$12,シミュレーション!$H$12,I60,1-P$3,シミュレーション!$I$12,シミュレーション!$J$12,シミュレーション!$D$10:$D$15)</f>
        <v>0</v>
      </c>
      <c r="X60" s="87">
        <f>BarriarOptionPrice(シミュレーション!$K$12,シミュレーション!$H$12,J60,1-Q$3,シミュレーション!$I$12,シミュレーション!$J$12,シミュレーション!$D$10:$D$15)</f>
        <v>0</v>
      </c>
      <c r="Y60" s="87">
        <f>BarriarOptionPrice(シミュレーション!$K$12,シミュレーション!$H$12,K60,1-R$3,シミュレーション!$I$12,シミュレーション!$J$12,シミュレーション!$D$10:$D$15)</f>
        <v>0</v>
      </c>
      <c r="Z60" s="87">
        <f>BarriarOptionPrice(シミュレーション!$K$12,シミュレーション!$H$12,L60,1-S$3,シミュレーション!$I$12,シミュレーション!$J$12,シミュレーション!$D$10:$D$15)</f>
        <v>0</v>
      </c>
      <c r="AA60" s="44">
        <f>BarriarOptionPrice(シミュレーション!$K$12,シミュレーション!$H$12,M60,1-T$3,シミュレーション!$I$12,シミュレーション!$J$12,シミュレーション!$D$10:$D$15)</f>
        <v>0</v>
      </c>
    </row>
    <row r="61" spans="2:27" ht="14.25" x14ac:dyDescent="0.15">
      <c r="B61" s="18">
        <v>58</v>
      </c>
      <c r="C61" s="29">
        <f>シミュレーションデータの貼り付け!C61*シミュレーション!$D$10+シミュレーションデータの貼り付け!G61*シミュレーション!$D$11+シミュレーションデータの貼り付け!K61*シミュレーション!$D$12+シミュレーションデータの貼り付け!O61*シミュレーション!$D$13+シミュレーションデータの貼り付け!S61*シミュレーション!$D$14+シミュレーションデータの貼り付け!W61*シミュレーション!$D$15</f>
        <v>0</v>
      </c>
      <c r="D61" s="29">
        <f>シミュレーションデータの貼り付け!D61*シミュレーション!$D$10+シミュレーションデータの貼り付け!H61*シミュレーション!$D$11+シミュレーションデータの貼り付け!L61*シミュレーション!$D$12+シミュレーションデータの貼り付け!P61*シミュレーション!$D$13+シミュレーションデータの貼り付け!T61*シミュレーション!$D$14+シミュレーションデータの貼り付け!X61*シミュレーション!$D$15</f>
        <v>0</v>
      </c>
      <c r="E61" s="29">
        <f>シミュレーションデータの貼り付け!E61*シミュレーション!$D$10+シミュレーションデータの貼り付け!I61*シミュレーション!$D$11+シミュレーションデータの貼り付け!M61*シミュレーション!$D$12+シミュレーションデータの貼り付け!Q61*シミュレーション!$D$13+シミュレーションデータの貼り付け!U61*シミュレーション!$D$14+シミュレーションデータの貼り付け!Y61*シミュレーション!$D$15</f>
        <v>0</v>
      </c>
      <c r="F61" s="30">
        <f>シミュレーションデータの貼り付け!F61*シミュレーション!$D$10+シミュレーションデータの貼り付け!J61*シミュレーション!$D$11+シミュレーションデータの貼り付け!N61*シミュレーション!$D$12+シミュレーションデータの貼り付け!R61*シミュレーション!$D$13+シミュレーションデータの貼り付け!V61*シミュレーション!$D$14+シミュレーションデータの貼り付け!Z61*シミュレーション!$D$15</f>
        <v>0</v>
      </c>
      <c r="H61" s="18">
        <v>58</v>
      </c>
      <c r="I61" s="87">
        <f>シミュレーション!$D$19</f>
        <v>0</v>
      </c>
      <c r="J61" s="87">
        <f>I61*(1+'シミュレーション計算用（変更不要）'!C61)</f>
        <v>0</v>
      </c>
      <c r="K61" s="87">
        <f>J61*(1+'シミュレーション計算用（変更不要）'!D61)</f>
        <v>0</v>
      </c>
      <c r="L61" s="87">
        <f>K61*(1+'シミュレーション計算用（変更不要）'!E61)</f>
        <v>0</v>
      </c>
      <c r="M61" s="44">
        <f>L61*(1+'シミュレーション計算用（変更不要）'!F61)</f>
        <v>0</v>
      </c>
      <c r="O61" s="18">
        <v>58</v>
      </c>
      <c r="P61" s="87">
        <f>BarriarOptionPrice(シミュレーション!$K$11,シミュレーション!$H$11,I61,1-P$3,シミュレーション!$I$11,シミュレーション!$J$11,シミュレーション!$D$10:$D$15)</f>
        <v>0</v>
      </c>
      <c r="Q61" s="87">
        <f>BarriarOptionPrice(シミュレーション!$K$11,シミュレーション!$H$11,J61,1-Q$3,シミュレーション!$I$11,シミュレーション!$J$11,シミュレーション!$D$10:$D$15)</f>
        <v>0</v>
      </c>
      <c r="R61" s="87">
        <f>BarriarOptionPrice(シミュレーション!$K$11,シミュレーション!$H$11,K61,1-R$3,シミュレーション!$I$11,シミュレーション!$J$11,シミュレーション!$D$10:$D$15)</f>
        <v>0</v>
      </c>
      <c r="S61" s="87">
        <f>BarriarOptionPrice(シミュレーション!$K$11,シミュレーション!$H$11,L61,1-S$3,シミュレーション!$I$11,シミュレーション!$J$11,シミュレーション!$D$10:$D$15)</f>
        <v>0</v>
      </c>
      <c r="T61" s="44">
        <f>BarriarOptionPrice(シミュレーション!$K$11,シミュレーション!$H$11,M61,1-T$3,シミュレーション!$I$11,シミュレーション!$J$11,シミュレーション!$D$10:$D$15)</f>
        <v>0</v>
      </c>
      <c r="V61" s="18">
        <v>58</v>
      </c>
      <c r="W61" s="87">
        <f>BarriarOptionPrice(シミュレーション!$K$12,シミュレーション!$H$12,I61,1-P$3,シミュレーション!$I$12,シミュレーション!$J$12,シミュレーション!$D$10:$D$15)</f>
        <v>0</v>
      </c>
      <c r="X61" s="87">
        <f>BarriarOptionPrice(シミュレーション!$K$12,シミュレーション!$H$12,J61,1-Q$3,シミュレーション!$I$12,シミュレーション!$J$12,シミュレーション!$D$10:$D$15)</f>
        <v>0</v>
      </c>
      <c r="Y61" s="87">
        <f>BarriarOptionPrice(シミュレーション!$K$12,シミュレーション!$H$12,K61,1-R$3,シミュレーション!$I$12,シミュレーション!$J$12,シミュレーション!$D$10:$D$15)</f>
        <v>0</v>
      </c>
      <c r="Z61" s="87">
        <f>BarriarOptionPrice(シミュレーション!$K$12,シミュレーション!$H$12,L61,1-S$3,シミュレーション!$I$12,シミュレーション!$J$12,シミュレーション!$D$10:$D$15)</f>
        <v>0</v>
      </c>
      <c r="AA61" s="44">
        <f>BarriarOptionPrice(シミュレーション!$K$12,シミュレーション!$H$12,M61,1-T$3,シミュレーション!$I$12,シミュレーション!$J$12,シミュレーション!$D$10:$D$15)</f>
        <v>0</v>
      </c>
    </row>
    <row r="62" spans="2:27" ht="14.25" x14ac:dyDescent="0.15">
      <c r="B62" s="18">
        <v>59</v>
      </c>
      <c r="C62" s="29">
        <f>シミュレーションデータの貼り付け!C62*シミュレーション!$D$10+シミュレーションデータの貼り付け!G62*シミュレーション!$D$11+シミュレーションデータの貼り付け!K62*シミュレーション!$D$12+シミュレーションデータの貼り付け!O62*シミュレーション!$D$13+シミュレーションデータの貼り付け!S62*シミュレーション!$D$14+シミュレーションデータの貼り付け!W62*シミュレーション!$D$15</f>
        <v>0</v>
      </c>
      <c r="D62" s="29">
        <f>シミュレーションデータの貼り付け!D62*シミュレーション!$D$10+シミュレーションデータの貼り付け!H62*シミュレーション!$D$11+シミュレーションデータの貼り付け!L62*シミュレーション!$D$12+シミュレーションデータの貼り付け!P62*シミュレーション!$D$13+シミュレーションデータの貼り付け!T62*シミュレーション!$D$14+シミュレーションデータの貼り付け!X62*シミュレーション!$D$15</f>
        <v>0</v>
      </c>
      <c r="E62" s="29">
        <f>シミュレーションデータの貼り付け!E62*シミュレーション!$D$10+シミュレーションデータの貼り付け!I62*シミュレーション!$D$11+シミュレーションデータの貼り付け!M62*シミュレーション!$D$12+シミュレーションデータの貼り付け!Q62*シミュレーション!$D$13+シミュレーションデータの貼り付け!U62*シミュレーション!$D$14+シミュレーションデータの貼り付け!Y62*シミュレーション!$D$15</f>
        <v>0</v>
      </c>
      <c r="F62" s="30">
        <f>シミュレーションデータの貼り付け!F62*シミュレーション!$D$10+シミュレーションデータの貼り付け!J62*シミュレーション!$D$11+シミュレーションデータの貼り付け!N62*シミュレーション!$D$12+シミュレーションデータの貼り付け!R62*シミュレーション!$D$13+シミュレーションデータの貼り付け!V62*シミュレーション!$D$14+シミュレーションデータの貼り付け!Z62*シミュレーション!$D$15</f>
        <v>0</v>
      </c>
      <c r="H62" s="18">
        <v>59</v>
      </c>
      <c r="I62" s="87">
        <f>シミュレーション!$D$19</f>
        <v>0</v>
      </c>
      <c r="J62" s="87">
        <f>I62*(1+'シミュレーション計算用（変更不要）'!C62)</f>
        <v>0</v>
      </c>
      <c r="K62" s="87">
        <f>J62*(1+'シミュレーション計算用（変更不要）'!D62)</f>
        <v>0</v>
      </c>
      <c r="L62" s="87">
        <f>K62*(1+'シミュレーション計算用（変更不要）'!E62)</f>
        <v>0</v>
      </c>
      <c r="M62" s="44">
        <f>L62*(1+'シミュレーション計算用（変更不要）'!F62)</f>
        <v>0</v>
      </c>
      <c r="O62" s="18">
        <v>59</v>
      </c>
      <c r="P62" s="87">
        <f>BarriarOptionPrice(シミュレーション!$K$11,シミュレーション!$H$11,I62,1-P$3,シミュレーション!$I$11,シミュレーション!$J$11,シミュレーション!$D$10:$D$15)</f>
        <v>0</v>
      </c>
      <c r="Q62" s="87">
        <f>BarriarOptionPrice(シミュレーション!$K$11,シミュレーション!$H$11,J62,1-Q$3,シミュレーション!$I$11,シミュレーション!$J$11,シミュレーション!$D$10:$D$15)</f>
        <v>0</v>
      </c>
      <c r="R62" s="87">
        <f>BarriarOptionPrice(シミュレーション!$K$11,シミュレーション!$H$11,K62,1-R$3,シミュレーション!$I$11,シミュレーション!$J$11,シミュレーション!$D$10:$D$15)</f>
        <v>0</v>
      </c>
      <c r="S62" s="87">
        <f>BarriarOptionPrice(シミュレーション!$K$11,シミュレーション!$H$11,L62,1-S$3,シミュレーション!$I$11,シミュレーション!$J$11,シミュレーション!$D$10:$D$15)</f>
        <v>0</v>
      </c>
      <c r="T62" s="44">
        <f>BarriarOptionPrice(シミュレーション!$K$11,シミュレーション!$H$11,M62,1-T$3,シミュレーション!$I$11,シミュレーション!$J$11,シミュレーション!$D$10:$D$15)</f>
        <v>0</v>
      </c>
      <c r="V62" s="18">
        <v>59</v>
      </c>
      <c r="W62" s="87">
        <f>BarriarOptionPrice(シミュレーション!$K$12,シミュレーション!$H$12,I62,1-P$3,シミュレーション!$I$12,シミュレーション!$J$12,シミュレーション!$D$10:$D$15)</f>
        <v>0</v>
      </c>
      <c r="X62" s="87">
        <f>BarriarOptionPrice(シミュレーション!$K$12,シミュレーション!$H$12,J62,1-Q$3,シミュレーション!$I$12,シミュレーション!$J$12,シミュレーション!$D$10:$D$15)</f>
        <v>0</v>
      </c>
      <c r="Y62" s="87">
        <f>BarriarOptionPrice(シミュレーション!$K$12,シミュレーション!$H$12,K62,1-R$3,シミュレーション!$I$12,シミュレーション!$J$12,シミュレーション!$D$10:$D$15)</f>
        <v>0</v>
      </c>
      <c r="Z62" s="87">
        <f>BarriarOptionPrice(シミュレーション!$K$12,シミュレーション!$H$12,L62,1-S$3,シミュレーション!$I$12,シミュレーション!$J$12,シミュレーション!$D$10:$D$15)</f>
        <v>0</v>
      </c>
      <c r="AA62" s="44">
        <f>BarriarOptionPrice(シミュレーション!$K$12,シミュレーション!$H$12,M62,1-T$3,シミュレーション!$I$12,シミュレーション!$J$12,シミュレーション!$D$10:$D$15)</f>
        <v>0</v>
      </c>
    </row>
    <row r="63" spans="2:27" ht="14.25" x14ac:dyDescent="0.15">
      <c r="B63" s="18">
        <v>60</v>
      </c>
      <c r="C63" s="29">
        <f>シミュレーションデータの貼り付け!C63*シミュレーション!$D$10+シミュレーションデータの貼り付け!G63*シミュレーション!$D$11+シミュレーションデータの貼り付け!K63*シミュレーション!$D$12+シミュレーションデータの貼り付け!O63*シミュレーション!$D$13+シミュレーションデータの貼り付け!S63*シミュレーション!$D$14+シミュレーションデータの貼り付け!W63*シミュレーション!$D$15</f>
        <v>0</v>
      </c>
      <c r="D63" s="29">
        <f>シミュレーションデータの貼り付け!D63*シミュレーション!$D$10+シミュレーションデータの貼り付け!H63*シミュレーション!$D$11+シミュレーションデータの貼り付け!L63*シミュレーション!$D$12+シミュレーションデータの貼り付け!P63*シミュレーション!$D$13+シミュレーションデータの貼り付け!T63*シミュレーション!$D$14+シミュレーションデータの貼り付け!X63*シミュレーション!$D$15</f>
        <v>0</v>
      </c>
      <c r="E63" s="29">
        <f>シミュレーションデータの貼り付け!E63*シミュレーション!$D$10+シミュレーションデータの貼り付け!I63*シミュレーション!$D$11+シミュレーションデータの貼り付け!M63*シミュレーション!$D$12+シミュレーションデータの貼り付け!Q63*シミュレーション!$D$13+シミュレーションデータの貼り付け!U63*シミュレーション!$D$14+シミュレーションデータの貼り付け!Y63*シミュレーション!$D$15</f>
        <v>0</v>
      </c>
      <c r="F63" s="30">
        <f>シミュレーションデータの貼り付け!F63*シミュレーション!$D$10+シミュレーションデータの貼り付け!J63*シミュレーション!$D$11+シミュレーションデータの貼り付け!N63*シミュレーション!$D$12+シミュレーションデータの貼り付け!R63*シミュレーション!$D$13+シミュレーションデータの貼り付け!V63*シミュレーション!$D$14+シミュレーションデータの貼り付け!Z63*シミュレーション!$D$15</f>
        <v>0</v>
      </c>
      <c r="H63" s="18">
        <v>60</v>
      </c>
      <c r="I63" s="87">
        <f>シミュレーション!$D$19</f>
        <v>0</v>
      </c>
      <c r="J63" s="87">
        <f>I63*(1+'シミュレーション計算用（変更不要）'!C63)</f>
        <v>0</v>
      </c>
      <c r="K63" s="87">
        <f>J63*(1+'シミュレーション計算用（変更不要）'!D63)</f>
        <v>0</v>
      </c>
      <c r="L63" s="87">
        <f>K63*(1+'シミュレーション計算用（変更不要）'!E63)</f>
        <v>0</v>
      </c>
      <c r="M63" s="44">
        <f>L63*(1+'シミュレーション計算用（変更不要）'!F63)</f>
        <v>0</v>
      </c>
      <c r="O63" s="18">
        <v>60</v>
      </c>
      <c r="P63" s="87">
        <f>BarriarOptionPrice(シミュレーション!$K$11,シミュレーション!$H$11,I63,1-P$3,シミュレーション!$I$11,シミュレーション!$J$11,シミュレーション!$D$10:$D$15)</f>
        <v>0</v>
      </c>
      <c r="Q63" s="87">
        <f>BarriarOptionPrice(シミュレーション!$K$11,シミュレーション!$H$11,J63,1-Q$3,シミュレーション!$I$11,シミュレーション!$J$11,シミュレーション!$D$10:$D$15)</f>
        <v>0</v>
      </c>
      <c r="R63" s="87">
        <f>BarriarOptionPrice(シミュレーション!$K$11,シミュレーション!$H$11,K63,1-R$3,シミュレーション!$I$11,シミュレーション!$J$11,シミュレーション!$D$10:$D$15)</f>
        <v>0</v>
      </c>
      <c r="S63" s="87">
        <f>BarriarOptionPrice(シミュレーション!$K$11,シミュレーション!$H$11,L63,1-S$3,シミュレーション!$I$11,シミュレーション!$J$11,シミュレーション!$D$10:$D$15)</f>
        <v>0</v>
      </c>
      <c r="T63" s="44">
        <f>BarriarOptionPrice(シミュレーション!$K$11,シミュレーション!$H$11,M63,1-T$3,シミュレーション!$I$11,シミュレーション!$J$11,シミュレーション!$D$10:$D$15)</f>
        <v>0</v>
      </c>
      <c r="V63" s="18">
        <v>60</v>
      </c>
      <c r="W63" s="87">
        <f>BarriarOptionPrice(シミュレーション!$K$12,シミュレーション!$H$12,I63,1-P$3,シミュレーション!$I$12,シミュレーション!$J$12,シミュレーション!$D$10:$D$15)</f>
        <v>0</v>
      </c>
      <c r="X63" s="87">
        <f>BarriarOptionPrice(シミュレーション!$K$12,シミュレーション!$H$12,J63,1-Q$3,シミュレーション!$I$12,シミュレーション!$J$12,シミュレーション!$D$10:$D$15)</f>
        <v>0</v>
      </c>
      <c r="Y63" s="87">
        <f>BarriarOptionPrice(シミュレーション!$K$12,シミュレーション!$H$12,K63,1-R$3,シミュレーション!$I$12,シミュレーション!$J$12,シミュレーション!$D$10:$D$15)</f>
        <v>0</v>
      </c>
      <c r="Z63" s="87">
        <f>BarriarOptionPrice(シミュレーション!$K$12,シミュレーション!$H$12,L63,1-S$3,シミュレーション!$I$12,シミュレーション!$J$12,シミュレーション!$D$10:$D$15)</f>
        <v>0</v>
      </c>
      <c r="AA63" s="44">
        <f>BarriarOptionPrice(シミュレーション!$K$12,シミュレーション!$H$12,M63,1-T$3,シミュレーション!$I$12,シミュレーション!$J$12,シミュレーション!$D$10:$D$15)</f>
        <v>0</v>
      </c>
    </row>
    <row r="64" spans="2:27" ht="14.25" x14ac:dyDescent="0.15">
      <c r="B64" s="18">
        <v>61</v>
      </c>
      <c r="C64" s="29">
        <f>シミュレーションデータの貼り付け!C64*シミュレーション!$D$10+シミュレーションデータの貼り付け!G64*シミュレーション!$D$11+シミュレーションデータの貼り付け!K64*シミュレーション!$D$12+シミュレーションデータの貼り付け!O64*シミュレーション!$D$13+シミュレーションデータの貼り付け!S64*シミュレーション!$D$14+シミュレーションデータの貼り付け!W64*シミュレーション!$D$15</f>
        <v>0</v>
      </c>
      <c r="D64" s="29">
        <f>シミュレーションデータの貼り付け!D64*シミュレーション!$D$10+シミュレーションデータの貼り付け!H64*シミュレーション!$D$11+シミュレーションデータの貼り付け!L64*シミュレーション!$D$12+シミュレーションデータの貼り付け!P64*シミュレーション!$D$13+シミュレーションデータの貼り付け!T64*シミュレーション!$D$14+シミュレーションデータの貼り付け!X64*シミュレーション!$D$15</f>
        <v>0</v>
      </c>
      <c r="E64" s="29">
        <f>シミュレーションデータの貼り付け!E64*シミュレーション!$D$10+シミュレーションデータの貼り付け!I64*シミュレーション!$D$11+シミュレーションデータの貼り付け!M64*シミュレーション!$D$12+シミュレーションデータの貼り付け!Q64*シミュレーション!$D$13+シミュレーションデータの貼り付け!U64*シミュレーション!$D$14+シミュレーションデータの貼り付け!Y64*シミュレーション!$D$15</f>
        <v>0</v>
      </c>
      <c r="F64" s="30">
        <f>シミュレーションデータの貼り付け!F64*シミュレーション!$D$10+シミュレーションデータの貼り付け!J64*シミュレーション!$D$11+シミュレーションデータの貼り付け!N64*シミュレーション!$D$12+シミュレーションデータの貼り付け!R64*シミュレーション!$D$13+シミュレーションデータの貼り付け!V64*シミュレーション!$D$14+シミュレーションデータの貼り付け!Z64*シミュレーション!$D$15</f>
        <v>0</v>
      </c>
      <c r="H64" s="18">
        <v>61</v>
      </c>
      <c r="I64" s="87">
        <f>シミュレーション!$D$19</f>
        <v>0</v>
      </c>
      <c r="J64" s="87">
        <f>I64*(1+'シミュレーション計算用（変更不要）'!C64)</f>
        <v>0</v>
      </c>
      <c r="K64" s="87">
        <f>J64*(1+'シミュレーション計算用（変更不要）'!D64)</f>
        <v>0</v>
      </c>
      <c r="L64" s="87">
        <f>K64*(1+'シミュレーション計算用（変更不要）'!E64)</f>
        <v>0</v>
      </c>
      <c r="M64" s="44">
        <f>L64*(1+'シミュレーション計算用（変更不要）'!F64)</f>
        <v>0</v>
      </c>
      <c r="O64" s="18">
        <v>61</v>
      </c>
      <c r="P64" s="87">
        <f>BarriarOptionPrice(シミュレーション!$K$11,シミュレーション!$H$11,I64,1-P$3,シミュレーション!$I$11,シミュレーション!$J$11,シミュレーション!$D$10:$D$15)</f>
        <v>0</v>
      </c>
      <c r="Q64" s="87">
        <f>BarriarOptionPrice(シミュレーション!$K$11,シミュレーション!$H$11,J64,1-Q$3,シミュレーション!$I$11,シミュレーション!$J$11,シミュレーション!$D$10:$D$15)</f>
        <v>0</v>
      </c>
      <c r="R64" s="87">
        <f>BarriarOptionPrice(シミュレーション!$K$11,シミュレーション!$H$11,K64,1-R$3,シミュレーション!$I$11,シミュレーション!$J$11,シミュレーション!$D$10:$D$15)</f>
        <v>0</v>
      </c>
      <c r="S64" s="87">
        <f>BarriarOptionPrice(シミュレーション!$K$11,シミュレーション!$H$11,L64,1-S$3,シミュレーション!$I$11,シミュレーション!$J$11,シミュレーション!$D$10:$D$15)</f>
        <v>0</v>
      </c>
      <c r="T64" s="44">
        <f>BarriarOptionPrice(シミュレーション!$K$11,シミュレーション!$H$11,M64,1-T$3,シミュレーション!$I$11,シミュレーション!$J$11,シミュレーション!$D$10:$D$15)</f>
        <v>0</v>
      </c>
      <c r="V64" s="18">
        <v>61</v>
      </c>
      <c r="W64" s="87">
        <f>BarriarOptionPrice(シミュレーション!$K$12,シミュレーション!$H$12,I64,1-P$3,シミュレーション!$I$12,シミュレーション!$J$12,シミュレーション!$D$10:$D$15)</f>
        <v>0</v>
      </c>
      <c r="X64" s="87">
        <f>BarriarOptionPrice(シミュレーション!$K$12,シミュレーション!$H$12,J64,1-Q$3,シミュレーション!$I$12,シミュレーション!$J$12,シミュレーション!$D$10:$D$15)</f>
        <v>0</v>
      </c>
      <c r="Y64" s="87">
        <f>BarriarOptionPrice(シミュレーション!$K$12,シミュレーション!$H$12,K64,1-R$3,シミュレーション!$I$12,シミュレーション!$J$12,シミュレーション!$D$10:$D$15)</f>
        <v>0</v>
      </c>
      <c r="Z64" s="87">
        <f>BarriarOptionPrice(シミュレーション!$K$12,シミュレーション!$H$12,L64,1-S$3,シミュレーション!$I$12,シミュレーション!$J$12,シミュレーション!$D$10:$D$15)</f>
        <v>0</v>
      </c>
      <c r="AA64" s="44">
        <f>BarriarOptionPrice(シミュレーション!$K$12,シミュレーション!$H$12,M64,1-T$3,シミュレーション!$I$12,シミュレーション!$J$12,シミュレーション!$D$10:$D$15)</f>
        <v>0</v>
      </c>
    </row>
    <row r="65" spans="2:27" ht="14.25" x14ac:dyDescent="0.15">
      <c r="B65" s="18">
        <v>62</v>
      </c>
      <c r="C65" s="29">
        <f>シミュレーションデータの貼り付け!C65*シミュレーション!$D$10+シミュレーションデータの貼り付け!G65*シミュレーション!$D$11+シミュレーションデータの貼り付け!K65*シミュレーション!$D$12+シミュレーションデータの貼り付け!O65*シミュレーション!$D$13+シミュレーションデータの貼り付け!S65*シミュレーション!$D$14+シミュレーションデータの貼り付け!W65*シミュレーション!$D$15</f>
        <v>0</v>
      </c>
      <c r="D65" s="29">
        <f>シミュレーションデータの貼り付け!D65*シミュレーション!$D$10+シミュレーションデータの貼り付け!H65*シミュレーション!$D$11+シミュレーションデータの貼り付け!L65*シミュレーション!$D$12+シミュレーションデータの貼り付け!P65*シミュレーション!$D$13+シミュレーションデータの貼り付け!T65*シミュレーション!$D$14+シミュレーションデータの貼り付け!X65*シミュレーション!$D$15</f>
        <v>0</v>
      </c>
      <c r="E65" s="29">
        <f>シミュレーションデータの貼り付け!E65*シミュレーション!$D$10+シミュレーションデータの貼り付け!I65*シミュレーション!$D$11+シミュレーションデータの貼り付け!M65*シミュレーション!$D$12+シミュレーションデータの貼り付け!Q65*シミュレーション!$D$13+シミュレーションデータの貼り付け!U65*シミュレーション!$D$14+シミュレーションデータの貼り付け!Y65*シミュレーション!$D$15</f>
        <v>0</v>
      </c>
      <c r="F65" s="30">
        <f>シミュレーションデータの貼り付け!F65*シミュレーション!$D$10+シミュレーションデータの貼り付け!J65*シミュレーション!$D$11+シミュレーションデータの貼り付け!N65*シミュレーション!$D$12+シミュレーションデータの貼り付け!R65*シミュレーション!$D$13+シミュレーションデータの貼り付け!V65*シミュレーション!$D$14+シミュレーションデータの貼り付け!Z65*シミュレーション!$D$15</f>
        <v>0</v>
      </c>
      <c r="H65" s="18">
        <v>62</v>
      </c>
      <c r="I65" s="87">
        <f>シミュレーション!$D$19</f>
        <v>0</v>
      </c>
      <c r="J65" s="87">
        <f>I65*(1+'シミュレーション計算用（変更不要）'!C65)</f>
        <v>0</v>
      </c>
      <c r="K65" s="87">
        <f>J65*(1+'シミュレーション計算用（変更不要）'!D65)</f>
        <v>0</v>
      </c>
      <c r="L65" s="87">
        <f>K65*(1+'シミュレーション計算用（変更不要）'!E65)</f>
        <v>0</v>
      </c>
      <c r="M65" s="44">
        <f>L65*(1+'シミュレーション計算用（変更不要）'!F65)</f>
        <v>0</v>
      </c>
      <c r="O65" s="18">
        <v>62</v>
      </c>
      <c r="P65" s="87">
        <f>BarriarOptionPrice(シミュレーション!$K$11,シミュレーション!$H$11,I65,1-P$3,シミュレーション!$I$11,シミュレーション!$J$11,シミュレーション!$D$10:$D$15)</f>
        <v>0</v>
      </c>
      <c r="Q65" s="87">
        <f>BarriarOptionPrice(シミュレーション!$K$11,シミュレーション!$H$11,J65,1-Q$3,シミュレーション!$I$11,シミュレーション!$J$11,シミュレーション!$D$10:$D$15)</f>
        <v>0</v>
      </c>
      <c r="R65" s="87">
        <f>BarriarOptionPrice(シミュレーション!$K$11,シミュレーション!$H$11,K65,1-R$3,シミュレーション!$I$11,シミュレーション!$J$11,シミュレーション!$D$10:$D$15)</f>
        <v>0</v>
      </c>
      <c r="S65" s="87">
        <f>BarriarOptionPrice(シミュレーション!$K$11,シミュレーション!$H$11,L65,1-S$3,シミュレーション!$I$11,シミュレーション!$J$11,シミュレーション!$D$10:$D$15)</f>
        <v>0</v>
      </c>
      <c r="T65" s="44">
        <f>BarriarOptionPrice(シミュレーション!$K$11,シミュレーション!$H$11,M65,1-T$3,シミュレーション!$I$11,シミュレーション!$J$11,シミュレーション!$D$10:$D$15)</f>
        <v>0</v>
      </c>
      <c r="V65" s="18">
        <v>62</v>
      </c>
      <c r="W65" s="87">
        <f>BarriarOptionPrice(シミュレーション!$K$12,シミュレーション!$H$12,I65,1-P$3,シミュレーション!$I$12,シミュレーション!$J$12,シミュレーション!$D$10:$D$15)</f>
        <v>0</v>
      </c>
      <c r="X65" s="87">
        <f>BarriarOptionPrice(シミュレーション!$K$12,シミュレーション!$H$12,J65,1-Q$3,シミュレーション!$I$12,シミュレーション!$J$12,シミュレーション!$D$10:$D$15)</f>
        <v>0</v>
      </c>
      <c r="Y65" s="87">
        <f>BarriarOptionPrice(シミュレーション!$K$12,シミュレーション!$H$12,K65,1-R$3,シミュレーション!$I$12,シミュレーション!$J$12,シミュレーション!$D$10:$D$15)</f>
        <v>0</v>
      </c>
      <c r="Z65" s="87">
        <f>BarriarOptionPrice(シミュレーション!$K$12,シミュレーション!$H$12,L65,1-S$3,シミュレーション!$I$12,シミュレーション!$J$12,シミュレーション!$D$10:$D$15)</f>
        <v>0</v>
      </c>
      <c r="AA65" s="44">
        <f>BarriarOptionPrice(シミュレーション!$K$12,シミュレーション!$H$12,M65,1-T$3,シミュレーション!$I$12,シミュレーション!$J$12,シミュレーション!$D$10:$D$15)</f>
        <v>0</v>
      </c>
    </row>
    <row r="66" spans="2:27" ht="14.25" x14ac:dyDescent="0.15">
      <c r="B66" s="18">
        <v>63</v>
      </c>
      <c r="C66" s="29">
        <f>シミュレーションデータの貼り付け!C66*シミュレーション!$D$10+シミュレーションデータの貼り付け!G66*シミュレーション!$D$11+シミュレーションデータの貼り付け!K66*シミュレーション!$D$12+シミュレーションデータの貼り付け!O66*シミュレーション!$D$13+シミュレーションデータの貼り付け!S66*シミュレーション!$D$14+シミュレーションデータの貼り付け!W66*シミュレーション!$D$15</f>
        <v>0</v>
      </c>
      <c r="D66" s="29">
        <f>シミュレーションデータの貼り付け!D66*シミュレーション!$D$10+シミュレーションデータの貼り付け!H66*シミュレーション!$D$11+シミュレーションデータの貼り付け!L66*シミュレーション!$D$12+シミュレーションデータの貼り付け!P66*シミュレーション!$D$13+シミュレーションデータの貼り付け!T66*シミュレーション!$D$14+シミュレーションデータの貼り付け!X66*シミュレーション!$D$15</f>
        <v>0</v>
      </c>
      <c r="E66" s="29">
        <f>シミュレーションデータの貼り付け!E66*シミュレーション!$D$10+シミュレーションデータの貼り付け!I66*シミュレーション!$D$11+シミュレーションデータの貼り付け!M66*シミュレーション!$D$12+シミュレーションデータの貼り付け!Q66*シミュレーション!$D$13+シミュレーションデータの貼り付け!U66*シミュレーション!$D$14+シミュレーションデータの貼り付け!Y66*シミュレーション!$D$15</f>
        <v>0</v>
      </c>
      <c r="F66" s="30">
        <f>シミュレーションデータの貼り付け!F66*シミュレーション!$D$10+シミュレーションデータの貼り付け!J66*シミュレーション!$D$11+シミュレーションデータの貼り付け!N66*シミュレーション!$D$12+シミュレーションデータの貼り付け!R66*シミュレーション!$D$13+シミュレーションデータの貼り付け!V66*シミュレーション!$D$14+シミュレーションデータの貼り付け!Z66*シミュレーション!$D$15</f>
        <v>0</v>
      </c>
      <c r="H66" s="18">
        <v>63</v>
      </c>
      <c r="I66" s="87">
        <f>シミュレーション!$D$19</f>
        <v>0</v>
      </c>
      <c r="J66" s="87">
        <f>I66*(1+'シミュレーション計算用（変更不要）'!C66)</f>
        <v>0</v>
      </c>
      <c r="K66" s="87">
        <f>J66*(1+'シミュレーション計算用（変更不要）'!D66)</f>
        <v>0</v>
      </c>
      <c r="L66" s="87">
        <f>K66*(1+'シミュレーション計算用（変更不要）'!E66)</f>
        <v>0</v>
      </c>
      <c r="M66" s="44">
        <f>L66*(1+'シミュレーション計算用（変更不要）'!F66)</f>
        <v>0</v>
      </c>
      <c r="O66" s="18">
        <v>63</v>
      </c>
      <c r="P66" s="87">
        <f>BarriarOptionPrice(シミュレーション!$K$11,シミュレーション!$H$11,I66,1-P$3,シミュレーション!$I$11,シミュレーション!$J$11,シミュレーション!$D$10:$D$15)</f>
        <v>0</v>
      </c>
      <c r="Q66" s="87">
        <f>BarriarOptionPrice(シミュレーション!$K$11,シミュレーション!$H$11,J66,1-Q$3,シミュレーション!$I$11,シミュレーション!$J$11,シミュレーション!$D$10:$D$15)</f>
        <v>0</v>
      </c>
      <c r="R66" s="87">
        <f>BarriarOptionPrice(シミュレーション!$K$11,シミュレーション!$H$11,K66,1-R$3,シミュレーション!$I$11,シミュレーション!$J$11,シミュレーション!$D$10:$D$15)</f>
        <v>0</v>
      </c>
      <c r="S66" s="87">
        <f>BarriarOptionPrice(シミュレーション!$K$11,シミュレーション!$H$11,L66,1-S$3,シミュレーション!$I$11,シミュレーション!$J$11,シミュレーション!$D$10:$D$15)</f>
        <v>0</v>
      </c>
      <c r="T66" s="44">
        <f>BarriarOptionPrice(シミュレーション!$K$11,シミュレーション!$H$11,M66,1-T$3,シミュレーション!$I$11,シミュレーション!$J$11,シミュレーション!$D$10:$D$15)</f>
        <v>0</v>
      </c>
      <c r="V66" s="18">
        <v>63</v>
      </c>
      <c r="W66" s="87">
        <f>BarriarOptionPrice(シミュレーション!$K$12,シミュレーション!$H$12,I66,1-P$3,シミュレーション!$I$12,シミュレーション!$J$12,シミュレーション!$D$10:$D$15)</f>
        <v>0</v>
      </c>
      <c r="X66" s="87">
        <f>BarriarOptionPrice(シミュレーション!$K$12,シミュレーション!$H$12,J66,1-Q$3,シミュレーション!$I$12,シミュレーション!$J$12,シミュレーション!$D$10:$D$15)</f>
        <v>0</v>
      </c>
      <c r="Y66" s="87">
        <f>BarriarOptionPrice(シミュレーション!$K$12,シミュレーション!$H$12,K66,1-R$3,シミュレーション!$I$12,シミュレーション!$J$12,シミュレーション!$D$10:$D$15)</f>
        <v>0</v>
      </c>
      <c r="Z66" s="87">
        <f>BarriarOptionPrice(シミュレーション!$K$12,シミュレーション!$H$12,L66,1-S$3,シミュレーション!$I$12,シミュレーション!$J$12,シミュレーション!$D$10:$D$15)</f>
        <v>0</v>
      </c>
      <c r="AA66" s="44">
        <f>BarriarOptionPrice(シミュレーション!$K$12,シミュレーション!$H$12,M66,1-T$3,シミュレーション!$I$12,シミュレーション!$J$12,シミュレーション!$D$10:$D$15)</f>
        <v>0</v>
      </c>
    </row>
    <row r="67" spans="2:27" ht="14.25" x14ac:dyDescent="0.15">
      <c r="B67" s="18">
        <v>64</v>
      </c>
      <c r="C67" s="29">
        <f>シミュレーションデータの貼り付け!C67*シミュレーション!$D$10+シミュレーションデータの貼り付け!G67*シミュレーション!$D$11+シミュレーションデータの貼り付け!K67*シミュレーション!$D$12+シミュレーションデータの貼り付け!O67*シミュレーション!$D$13+シミュレーションデータの貼り付け!S67*シミュレーション!$D$14+シミュレーションデータの貼り付け!W67*シミュレーション!$D$15</f>
        <v>0</v>
      </c>
      <c r="D67" s="29">
        <f>シミュレーションデータの貼り付け!D67*シミュレーション!$D$10+シミュレーションデータの貼り付け!H67*シミュレーション!$D$11+シミュレーションデータの貼り付け!L67*シミュレーション!$D$12+シミュレーションデータの貼り付け!P67*シミュレーション!$D$13+シミュレーションデータの貼り付け!T67*シミュレーション!$D$14+シミュレーションデータの貼り付け!X67*シミュレーション!$D$15</f>
        <v>0</v>
      </c>
      <c r="E67" s="29">
        <f>シミュレーションデータの貼り付け!E67*シミュレーション!$D$10+シミュレーションデータの貼り付け!I67*シミュレーション!$D$11+シミュレーションデータの貼り付け!M67*シミュレーション!$D$12+シミュレーションデータの貼り付け!Q67*シミュレーション!$D$13+シミュレーションデータの貼り付け!U67*シミュレーション!$D$14+シミュレーションデータの貼り付け!Y67*シミュレーション!$D$15</f>
        <v>0</v>
      </c>
      <c r="F67" s="30">
        <f>シミュレーションデータの貼り付け!F67*シミュレーション!$D$10+シミュレーションデータの貼り付け!J67*シミュレーション!$D$11+シミュレーションデータの貼り付け!N67*シミュレーション!$D$12+シミュレーションデータの貼り付け!R67*シミュレーション!$D$13+シミュレーションデータの貼り付け!V67*シミュレーション!$D$14+シミュレーションデータの貼り付け!Z67*シミュレーション!$D$15</f>
        <v>0</v>
      </c>
      <c r="H67" s="18">
        <v>64</v>
      </c>
      <c r="I67" s="87">
        <f>シミュレーション!$D$19</f>
        <v>0</v>
      </c>
      <c r="J67" s="87">
        <f>I67*(1+'シミュレーション計算用（変更不要）'!C67)</f>
        <v>0</v>
      </c>
      <c r="K67" s="87">
        <f>J67*(1+'シミュレーション計算用（変更不要）'!D67)</f>
        <v>0</v>
      </c>
      <c r="L67" s="87">
        <f>K67*(1+'シミュレーション計算用（変更不要）'!E67)</f>
        <v>0</v>
      </c>
      <c r="M67" s="44">
        <f>L67*(1+'シミュレーション計算用（変更不要）'!F67)</f>
        <v>0</v>
      </c>
      <c r="O67" s="18">
        <v>64</v>
      </c>
      <c r="P67" s="87">
        <f>BarriarOptionPrice(シミュレーション!$K$11,シミュレーション!$H$11,I67,1-P$3,シミュレーション!$I$11,シミュレーション!$J$11,シミュレーション!$D$10:$D$15)</f>
        <v>0</v>
      </c>
      <c r="Q67" s="87">
        <f>BarriarOptionPrice(シミュレーション!$K$11,シミュレーション!$H$11,J67,1-Q$3,シミュレーション!$I$11,シミュレーション!$J$11,シミュレーション!$D$10:$D$15)</f>
        <v>0</v>
      </c>
      <c r="R67" s="87">
        <f>BarriarOptionPrice(シミュレーション!$K$11,シミュレーション!$H$11,K67,1-R$3,シミュレーション!$I$11,シミュレーション!$J$11,シミュレーション!$D$10:$D$15)</f>
        <v>0</v>
      </c>
      <c r="S67" s="87">
        <f>BarriarOptionPrice(シミュレーション!$K$11,シミュレーション!$H$11,L67,1-S$3,シミュレーション!$I$11,シミュレーション!$J$11,シミュレーション!$D$10:$D$15)</f>
        <v>0</v>
      </c>
      <c r="T67" s="44">
        <f>BarriarOptionPrice(シミュレーション!$K$11,シミュレーション!$H$11,M67,1-T$3,シミュレーション!$I$11,シミュレーション!$J$11,シミュレーション!$D$10:$D$15)</f>
        <v>0</v>
      </c>
      <c r="V67" s="18">
        <v>64</v>
      </c>
      <c r="W67" s="87">
        <f>BarriarOptionPrice(シミュレーション!$K$12,シミュレーション!$H$12,I67,1-P$3,シミュレーション!$I$12,シミュレーション!$J$12,シミュレーション!$D$10:$D$15)</f>
        <v>0</v>
      </c>
      <c r="X67" s="87">
        <f>BarriarOptionPrice(シミュレーション!$K$12,シミュレーション!$H$12,J67,1-Q$3,シミュレーション!$I$12,シミュレーション!$J$12,シミュレーション!$D$10:$D$15)</f>
        <v>0</v>
      </c>
      <c r="Y67" s="87">
        <f>BarriarOptionPrice(シミュレーション!$K$12,シミュレーション!$H$12,K67,1-R$3,シミュレーション!$I$12,シミュレーション!$J$12,シミュレーション!$D$10:$D$15)</f>
        <v>0</v>
      </c>
      <c r="Z67" s="87">
        <f>BarriarOptionPrice(シミュレーション!$K$12,シミュレーション!$H$12,L67,1-S$3,シミュレーション!$I$12,シミュレーション!$J$12,シミュレーション!$D$10:$D$15)</f>
        <v>0</v>
      </c>
      <c r="AA67" s="44">
        <f>BarriarOptionPrice(シミュレーション!$K$12,シミュレーション!$H$12,M67,1-T$3,シミュレーション!$I$12,シミュレーション!$J$12,シミュレーション!$D$10:$D$15)</f>
        <v>0</v>
      </c>
    </row>
    <row r="68" spans="2:27" ht="14.25" x14ac:dyDescent="0.15">
      <c r="B68" s="18">
        <v>65</v>
      </c>
      <c r="C68" s="29">
        <f>シミュレーションデータの貼り付け!C68*シミュレーション!$D$10+シミュレーションデータの貼り付け!G68*シミュレーション!$D$11+シミュレーションデータの貼り付け!K68*シミュレーション!$D$12+シミュレーションデータの貼り付け!O68*シミュレーション!$D$13+シミュレーションデータの貼り付け!S68*シミュレーション!$D$14+シミュレーションデータの貼り付け!W68*シミュレーション!$D$15</f>
        <v>0</v>
      </c>
      <c r="D68" s="29">
        <f>シミュレーションデータの貼り付け!D68*シミュレーション!$D$10+シミュレーションデータの貼り付け!H68*シミュレーション!$D$11+シミュレーションデータの貼り付け!L68*シミュレーション!$D$12+シミュレーションデータの貼り付け!P68*シミュレーション!$D$13+シミュレーションデータの貼り付け!T68*シミュレーション!$D$14+シミュレーションデータの貼り付け!X68*シミュレーション!$D$15</f>
        <v>0</v>
      </c>
      <c r="E68" s="29">
        <f>シミュレーションデータの貼り付け!E68*シミュレーション!$D$10+シミュレーションデータの貼り付け!I68*シミュレーション!$D$11+シミュレーションデータの貼り付け!M68*シミュレーション!$D$12+シミュレーションデータの貼り付け!Q68*シミュレーション!$D$13+シミュレーションデータの貼り付け!U68*シミュレーション!$D$14+シミュレーションデータの貼り付け!Y68*シミュレーション!$D$15</f>
        <v>0</v>
      </c>
      <c r="F68" s="30">
        <f>シミュレーションデータの貼り付け!F68*シミュレーション!$D$10+シミュレーションデータの貼り付け!J68*シミュレーション!$D$11+シミュレーションデータの貼り付け!N68*シミュレーション!$D$12+シミュレーションデータの貼り付け!R68*シミュレーション!$D$13+シミュレーションデータの貼り付け!V68*シミュレーション!$D$14+シミュレーションデータの貼り付け!Z68*シミュレーション!$D$15</f>
        <v>0</v>
      </c>
      <c r="H68" s="18">
        <v>65</v>
      </c>
      <c r="I68" s="87">
        <f>シミュレーション!$D$19</f>
        <v>0</v>
      </c>
      <c r="J68" s="87">
        <f>I68*(1+'シミュレーション計算用（変更不要）'!C68)</f>
        <v>0</v>
      </c>
      <c r="K68" s="87">
        <f>J68*(1+'シミュレーション計算用（変更不要）'!D68)</f>
        <v>0</v>
      </c>
      <c r="L68" s="87">
        <f>K68*(1+'シミュレーション計算用（変更不要）'!E68)</f>
        <v>0</v>
      </c>
      <c r="M68" s="44">
        <f>L68*(1+'シミュレーション計算用（変更不要）'!F68)</f>
        <v>0</v>
      </c>
      <c r="O68" s="18">
        <v>65</v>
      </c>
      <c r="P68" s="87">
        <f>BarriarOptionPrice(シミュレーション!$K$11,シミュレーション!$H$11,I68,1-P$3,シミュレーション!$I$11,シミュレーション!$J$11,シミュレーション!$D$10:$D$15)</f>
        <v>0</v>
      </c>
      <c r="Q68" s="87">
        <f>BarriarOptionPrice(シミュレーション!$K$11,シミュレーション!$H$11,J68,1-Q$3,シミュレーション!$I$11,シミュレーション!$J$11,シミュレーション!$D$10:$D$15)</f>
        <v>0</v>
      </c>
      <c r="R68" s="87">
        <f>BarriarOptionPrice(シミュレーション!$K$11,シミュレーション!$H$11,K68,1-R$3,シミュレーション!$I$11,シミュレーション!$J$11,シミュレーション!$D$10:$D$15)</f>
        <v>0</v>
      </c>
      <c r="S68" s="87">
        <f>BarriarOptionPrice(シミュレーション!$K$11,シミュレーション!$H$11,L68,1-S$3,シミュレーション!$I$11,シミュレーション!$J$11,シミュレーション!$D$10:$D$15)</f>
        <v>0</v>
      </c>
      <c r="T68" s="44">
        <f>BarriarOptionPrice(シミュレーション!$K$11,シミュレーション!$H$11,M68,1-T$3,シミュレーション!$I$11,シミュレーション!$J$11,シミュレーション!$D$10:$D$15)</f>
        <v>0</v>
      </c>
      <c r="V68" s="18">
        <v>65</v>
      </c>
      <c r="W68" s="87">
        <f>BarriarOptionPrice(シミュレーション!$K$12,シミュレーション!$H$12,I68,1-P$3,シミュレーション!$I$12,シミュレーション!$J$12,シミュレーション!$D$10:$D$15)</f>
        <v>0</v>
      </c>
      <c r="X68" s="87">
        <f>BarriarOptionPrice(シミュレーション!$K$12,シミュレーション!$H$12,J68,1-Q$3,シミュレーション!$I$12,シミュレーション!$J$12,シミュレーション!$D$10:$D$15)</f>
        <v>0</v>
      </c>
      <c r="Y68" s="87">
        <f>BarriarOptionPrice(シミュレーション!$K$12,シミュレーション!$H$12,K68,1-R$3,シミュレーション!$I$12,シミュレーション!$J$12,シミュレーション!$D$10:$D$15)</f>
        <v>0</v>
      </c>
      <c r="Z68" s="87">
        <f>BarriarOptionPrice(シミュレーション!$K$12,シミュレーション!$H$12,L68,1-S$3,シミュレーション!$I$12,シミュレーション!$J$12,シミュレーション!$D$10:$D$15)</f>
        <v>0</v>
      </c>
      <c r="AA68" s="44">
        <f>BarriarOptionPrice(シミュレーション!$K$12,シミュレーション!$H$12,M68,1-T$3,シミュレーション!$I$12,シミュレーション!$J$12,シミュレーション!$D$10:$D$15)</f>
        <v>0</v>
      </c>
    </row>
    <row r="69" spans="2:27" ht="14.25" x14ac:dyDescent="0.15">
      <c r="B69" s="18">
        <v>66</v>
      </c>
      <c r="C69" s="29">
        <f>シミュレーションデータの貼り付け!C69*シミュレーション!$D$10+シミュレーションデータの貼り付け!G69*シミュレーション!$D$11+シミュレーションデータの貼り付け!K69*シミュレーション!$D$12+シミュレーションデータの貼り付け!O69*シミュレーション!$D$13+シミュレーションデータの貼り付け!S69*シミュレーション!$D$14+シミュレーションデータの貼り付け!W69*シミュレーション!$D$15</f>
        <v>0</v>
      </c>
      <c r="D69" s="29">
        <f>シミュレーションデータの貼り付け!D69*シミュレーション!$D$10+シミュレーションデータの貼り付け!H69*シミュレーション!$D$11+シミュレーションデータの貼り付け!L69*シミュレーション!$D$12+シミュレーションデータの貼り付け!P69*シミュレーション!$D$13+シミュレーションデータの貼り付け!T69*シミュレーション!$D$14+シミュレーションデータの貼り付け!X69*シミュレーション!$D$15</f>
        <v>0</v>
      </c>
      <c r="E69" s="29">
        <f>シミュレーションデータの貼り付け!E69*シミュレーション!$D$10+シミュレーションデータの貼り付け!I69*シミュレーション!$D$11+シミュレーションデータの貼り付け!M69*シミュレーション!$D$12+シミュレーションデータの貼り付け!Q69*シミュレーション!$D$13+シミュレーションデータの貼り付け!U69*シミュレーション!$D$14+シミュレーションデータの貼り付け!Y69*シミュレーション!$D$15</f>
        <v>0</v>
      </c>
      <c r="F69" s="30">
        <f>シミュレーションデータの貼り付け!F69*シミュレーション!$D$10+シミュレーションデータの貼り付け!J69*シミュレーション!$D$11+シミュレーションデータの貼り付け!N69*シミュレーション!$D$12+シミュレーションデータの貼り付け!R69*シミュレーション!$D$13+シミュレーションデータの貼り付け!V69*シミュレーション!$D$14+シミュレーションデータの貼り付け!Z69*シミュレーション!$D$15</f>
        <v>0</v>
      </c>
      <c r="H69" s="18">
        <v>66</v>
      </c>
      <c r="I69" s="87">
        <f>シミュレーション!$D$19</f>
        <v>0</v>
      </c>
      <c r="J69" s="87">
        <f>I69*(1+'シミュレーション計算用（変更不要）'!C69)</f>
        <v>0</v>
      </c>
      <c r="K69" s="87">
        <f>J69*(1+'シミュレーション計算用（変更不要）'!D69)</f>
        <v>0</v>
      </c>
      <c r="L69" s="87">
        <f>K69*(1+'シミュレーション計算用（変更不要）'!E69)</f>
        <v>0</v>
      </c>
      <c r="M69" s="44">
        <f>L69*(1+'シミュレーション計算用（変更不要）'!F69)</f>
        <v>0</v>
      </c>
      <c r="O69" s="18">
        <v>66</v>
      </c>
      <c r="P69" s="87">
        <f>BarriarOptionPrice(シミュレーション!$K$11,シミュレーション!$H$11,I69,1-P$3,シミュレーション!$I$11,シミュレーション!$J$11,シミュレーション!$D$10:$D$15)</f>
        <v>0</v>
      </c>
      <c r="Q69" s="87">
        <f>BarriarOptionPrice(シミュレーション!$K$11,シミュレーション!$H$11,J69,1-Q$3,シミュレーション!$I$11,シミュレーション!$J$11,シミュレーション!$D$10:$D$15)</f>
        <v>0</v>
      </c>
      <c r="R69" s="87">
        <f>BarriarOptionPrice(シミュレーション!$K$11,シミュレーション!$H$11,K69,1-R$3,シミュレーション!$I$11,シミュレーション!$J$11,シミュレーション!$D$10:$D$15)</f>
        <v>0</v>
      </c>
      <c r="S69" s="87">
        <f>BarriarOptionPrice(シミュレーション!$K$11,シミュレーション!$H$11,L69,1-S$3,シミュレーション!$I$11,シミュレーション!$J$11,シミュレーション!$D$10:$D$15)</f>
        <v>0</v>
      </c>
      <c r="T69" s="44">
        <f>BarriarOptionPrice(シミュレーション!$K$11,シミュレーション!$H$11,M69,1-T$3,シミュレーション!$I$11,シミュレーション!$J$11,シミュレーション!$D$10:$D$15)</f>
        <v>0</v>
      </c>
      <c r="V69" s="18">
        <v>66</v>
      </c>
      <c r="W69" s="87">
        <f>BarriarOptionPrice(シミュレーション!$K$12,シミュレーション!$H$12,I69,1-P$3,シミュレーション!$I$12,シミュレーション!$J$12,シミュレーション!$D$10:$D$15)</f>
        <v>0</v>
      </c>
      <c r="X69" s="87">
        <f>BarriarOptionPrice(シミュレーション!$K$12,シミュレーション!$H$12,J69,1-Q$3,シミュレーション!$I$12,シミュレーション!$J$12,シミュレーション!$D$10:$D$15)</f>
        <v>0</v>
      </c>
      <c r="Y69" s="87">
        <f>BarriarOptionPrice(シミュレーション!$K$12,シミュレーション!$H$12,K69,1-R$3,シミュレーション!$I$12,シミュレーション!$J$12,シミュレーション!$D$10:$D$15)</f>
        <v>0</v>
      </c>
      <c r="Z69" s="87">
        <f>BarriarOptionPrice(シミュレーション!$K$12,シミュレーション!$H$12,L69,1-S$3,シミュレーション!$I$12,シミュレーション!$J$12,シミュレーション!$D$10:$D$15)</f>
        <v>0</v>
      </c>
      <c r="AA69" s="44">
        <f>BarriarOptionPrice(シミュレーション!$K$12,シミュレーション!$H$12,M69,1-T$3,シミュレーション!$I$12,シミュレーション!$J$12,シミュレーション!$D$10:$D$15)</f>
        <v>0</v>
      </c>
    </row>
    <row r="70" spans="2:27" ht="14.25" x14ac:dyDescent="0.15">
      <c r="B70" s="18">
        <v>67</v>
      </c>
      <c r="C70" s="29">
        <f>シミュレーションデータの貼り付け!C70*シミュレーション!$D$10+シミュレーションデータの貼り付け!G70*シミュレーション!$D$11+シミュレーションデータの貼り付け!K70*シミュレーション!$D$12+シミュレーションデータの貼り付け!O70*シミュレーション!$D$13+シミュレーションデータの貼り付け!S70*シミュレーション!$D$14+シミュレーションデータの貼り付け!W70*シミュレーション!$D$15</f>
        <v>0</v>
      </c>
      <c r="D70" s="29">
        <f>シミュレーションデータの貼り付け!D70*シミュレーション!$D$10+シミュレーションデータの貼り付け!H70*シミュレーション!$D$11+シミュレーションデータの貼り付け!L70*シミュレーション!$D$12+シミュレーションデータの貼り付け!P70*シミュレーション!$D$13+シミュレーションデータの貼り付け!T70*シミュレーション!$D$14+シミュレーションデータの貼り付け!X70*シミュレーション!$D$15</f>
        <v>0</v>
      </c>
      <c r="E70" s="29">
        <f>シミュレーションデータの貼り付け!E70*シミュレーション!$D$10+シミュレーションデータの貼り付け!I70*シミュレーション!$D$11+シミュレーションデータの貼り付け!M70*シミュレーション!$D$12+シミュレーションデータの貼り付け!Q70*シミュレーション!$D$13+シミュレーションデータの貼り付け!U70*シミュレーション!$D$14+シミュレーションデータの貼り付け!Y70*シミュレーション!$D$15</f>
        <v>0</v>
      </c>
      <c r="F70" s="30">
        <f>シミュレーションデータの貼り付け!F70*シミュレーション!$D$10+シミュレーションデータの貼り付け!J70*シミュレーション!$D$11+シミュレーションデータの貼り付け!N70*シミュレーション!$D$12+シミュレーションデータの貼り付け!R70*シミュレーション!$D$13+シミュレーションデータの貼り付け!V70*シミュレーション!$D$14+シミュレーションデータの貼り付け!Z70*シミュレーション!$D$15</f>
        <v>0</v>
      </c>
      <c r="H70" s="18">
        <v>67</v>
      </c>
      <c r="I70" s="87">
        <f>シミュレーション!$D$19</f>
        <v>0</v>
      </c>
      <c r="J70" s="87">
        <f>I70*(1+'シミュレーション計算用（変更不要）'!C70)</f>
        <v>0</v>
      </c>
      <c r="K70" s="87">
        <f>J70*(1+'シミュレーション計算用（変更不要）'!D70)</f>
        <v>0</v>
      </c>
      <c r="L70" s="87">
        <f>K70*(1+'シミュレーション計算用（変更不要）'!E70)</f>
        <v>0</v>
      </c>
      <c r="M70" s="44">
        <f>L70*(1+'シミュレーション計算用（変更不要）'!F70)</f>
        <v>0</v>
      </c>
      <c r="O70" s="18">
        <v>67</v>
      </c>
      <c r="P70" s="87">
        <f>BarriarOptionPrice(シミュレーション!$K$11,シミュレーション!$H$11,I70,1-P$3,シミュレーション!$I$11,シミュレーション!$J$11,シミュレーション!$D$10:$D$15)</f>
        <v>0</v>
      </c>
      <c r="Q70" s="87">
        <f>BarriarOptionPrice(シミュレーション!$K$11,シミュレーション!$H$11,J70,1-Q$3,シミュレーション!$I$11,シミュレーション!$J$11,シミュレーション!$D$10:$D$15)</f>
        <v>0</v>
      </c>
      <c r="R70" s="87">
        <f>BarriarOptionPrice(シミュレーション!$K$11,シミュレーション!$H$11,K70,1-R$3,シミュレーション!$I$11,シミュレーション!$J$11,シミュレーション!$D$10:$D$15)</f>
        <v>0</v>
      </c>
      <c r="S70" s="87">
        <f>BarriarOptionPrice(シミュレーション!$K$11,シミュレーション!$H$11,L70,1-S$3,シミュレーション!$I$11,シミュレーション!$J$11,シミュレーション!$D$10:$D$15)</f>
        <v>0</v>
      </c>
      <c r="T70" s="44">
        <f>BarriarOptionPrice(シミュレーション!$K$11,シミュレーション!$H$11,M70,1-T$3,シミュレーション!$I$11,シミュレーション!$J$11,シミュレーション!$D$10:$D$15)</f>
        <v>0</v>
      </c>
      <c r="V70" s="18">
        <v>67</v>
      </c>
      <c r="W70" s="87">
        <f>BarriarOptionPrice(シミュレーション!$K$12,シミュレーション!$H$12,I70,1-P$3,シミュレーション!$I$12,シミュレーション!$J$12,シミュレーション!$D$10:$D$15)</f>
        <v>0</v>
      </c>
      <c r="X70" s="87">
        <f>BarriarOptionPrice(シミュレーション!$K$12,シミュレーション!$H$12,J70,1-Q$3,シミュレーション!$I$12,シミュレーション!$J$12,シミュレーション!$D$10:$D$15)</f>
        <v>0</v>
      </c>
      <c r="Y70" s="87">
        <f>BarriarOptionPrice(シミュレーション!$K$12,シミュレーション!$H$12,K70,1-R$3,シミュレーション!$I$12,シミュレーション!$J$12,シミュレーション!$D$10:$D$15)</f>
        <v>0</v>
      </c>
      <c r="Z70" s="87">
        <f>BarriarOptionPrice(シミュレーション!$K$12,シミュレーション!$H$12,L70,1-S$3,シミュレーション!$I$12,シミュレーション!$J$12,シミュレーション!$D$10:$D$15)</f>
        <v>0</v>
      </c>
      <c r="AA70" s="44">
        <f>BarriarOptionPrice(シミュレーション!$K$12,シミュレーション!$H$12,M70,1-T$3,シミュレーション!$I$12,シミュレーション!$J$12,シミュレーション!$D$10:$D$15)</f>
        <v>0</v>
      </c>
    </row>
    <row r="71" spans="2:27" ht="14.25" x14ac:dyDescent="0.15">
      <c r="B71" s="18">
        <v>68</v>
      </c>
      <c r="C71" s="29">
        <f>シミュレーションデータの貼り付け!C71*シミュレーション!$D$10+シミュレーションデータの貼り付け!G71*シミュレーション!$D$11+シミュレーションデータの貼り付け!K71*シミュレーション!$D$12+シミュレーションデータの貼り付け!O71*シミュレーション!$D$13+シミュレーションデータの貼り付け!S71*シミュレーション!$D$14+シミュレーションデータの貼り付け!W71*シミュレーション!$D$15</f>
        <v>0</v>
      </c>
      <c r="D71" s="29">
        <f>シミュレーションデータの貼り付け!D71*シミュレーション!$D$10+シミュレーションデータの貼り付け!H71*シミュレーション!$D$11+シミュレーションデータの貼り付け!L71*シミュレーション!$D$12+シミュレーションデータの貼り付け!P71*シミュレーション!$D$13+シミュレーションデータの貼り付け!T71*シミュレーション!$D$14+シミュレーションデータの貼り付け!X71*シミュレーション!$D$15</f>
        <v>0</v>
      </c>
      <c r="E71" s="29">
        <f>シミュレーションデータの貼り付け!E71*シミュレーション!$D$10+シミュレーションデータの貼り付け!I71*シミュレーション!$D$11+シミュレーションデータの貼り付け!M71*シミュレーション!$D$12+シミュレーションデータの貼り付け!Q71*シミュレーション!$D$13+シミュレーションデータの貼り付け!U71*シミュレーション!$D$14+シミュレーションデータの貼り付け!Y71*シミュレーション!$D$15</f>
        <v>0</v>
      </c>
      <c r="F71" s="30">
        <f>シミュレーションデータの貼り付け!F71*シミュレーション!$D$10+シミュレーションデータの貼り付け!J71*シミュレーション!$D$11+シミュレーションデータの貼り付け!N71*シミュレーション!$D$12+シミュレーションデータの貼り付け!R71*シミュレーション!$D$13+シミュレーションデータの貼り付け!V71*シミュレーション!$D$14+シミュレーションデータの貼り付け!Z71*シミュレーション!$D$15</f>
        <v>0</v>
      </c>
      <c r="H71" s="18">
        <v>68</v>
      </c>
      <c r="I71" s="87">
        <f>シミュレーション!$D$19</f>
        <v>0</v>
      </c>
      <c r="J71" s="87">
        <f>I71*(1+'シミュレーション計算用（変更不要）'!C71)</f>
        <v>0</v>
      </c>
      <c r="K71" s="87">
        <f>J71*(1+'シミュレーション計算用（変更不要）'!D71)</f>
        <v>0</v>
      </c>
      <c r="L71" s="87">
        <f>K71*(1+'シミュレーション計算用（変更不要）'!E71)</f>
        <v>0</v>
      </c>
      <c r="M71" s="44">
        <f>L71*(1+'シミュレーション計算用（変更不要）'!F71)</f>
        <v>0</v>
      </c>
      <c r="O71" s="18">
        <v>68</v>
      </c>
      <c r="P71" s="87">
        <f>BarriarOptionPrice(シミュレーション!$K$11,シミュレーション!$H$11,I71,1-P$3,シミュレーション!$I$11,シミュレーション!$J$11,シミュレーション!$D$10:$D$15)</f>
        <v>0</v>
      </c>
      <c r="Q71" s="87">
        <f>BarriarOptionPrice(シミュレーション!$K$11,シミュレーション!$H$11,J71,1-Q$3,シミュレーション!$I$11,シミュレーション!$J$11,シミュレーション!$D$10:$D$15)</f>
        <v>0</v>
      </c>
      <c r="R71" s="87">
        <f>BarriarOptionPrice(シミュレーション!$K$11,シミュレーション!$H$11,K71,1-R$3,シミュレーション!$I$11,シミュレーション!$J$11,シミュレーション!$D$10:$D$15)</f>
        <v>0</v>
      </c>
      <c r="S71" s="87">
        <f>BarriarOptionPrice(シミュレーション!$K$11,シミュレーション!$H$11,L71,1-S$3,シミュレーション!$I$11,シミュレーション!$J$11,シミュレーション!$D$10:$D$15)</f>
        <v>0</v>
      </c>
      <c r="T71" s="44">
        <f>BarriarOptionPrice(シミュレーション!$K$11,シミュレーション!$H$11,M71,1-T$3,シミュレーション!$I$11,シミュレーション!$J$11,シミュレーション!$D$10:$D$15)</f>
        <v>0</v>
      </c>
      <c r="V71" s="18">
        <v>68</v>
      </c>
      <c r="W71" s="87">
        <f>BarriarOptionPrice(シミュレーション!$K$12,シミュレーション!$H$12,I71,1-P$3,シミュレーション!$I$12,シミュレーション!$J$12,シミュレーション!$D$10:$D$15)</f>
        <v>0</v>
      </c>
      <c r="X71" s="87">
        <f>BarriarOptionPrice(シミュレーション!$K$12,シミュレーション!$H$12,J71,1-Q$3,シミュレーション!$I$12,シミュレーション!$J$12,シミュレーション!$D$10:$D$15)</f>
        <v>0</v>
      </c>
      <c r="Y71" s="87">
        <f>BarriarOptionPrice(シミュレーション!$K$12,シミュレーション!$H$12,K71,1-R$3,シミュレーション!$I$12,シミュレーション!$J$12,シミュレーション!$D$10:$D$15)</f>
        <v>0</v>
      </c>
      <c r="Z71" s="87">
        <f>BarriarOptionPrice(シミュレーション!$K$12,シミュレーション!$H$12,L71,1-S$3,シミュレーション!$I$12,シミュレーション!$J$12,シミュレーション!$D$10:$D$15)</f>
        <v>0</v>
      </c>
      <c r="AA71" s="44">
        <f>BarriarOptionPrice(シミュレーション!$K$12,シミュレーション!$H$12,M71,1-T$3,シミュレーション!$I$12,シミュレーション!$J$12,シミュレーション!$D$10:$D$15)</f>
        <v>0</v>
      </c>
    </row>
    <row r="72" spans="2:27" ht="14.25" x14ac:dyDescent="0.15">
      <c r="B72" s="18">
        <v>69</v>
      </c>
      <c r="C72" s="29">
        <f>シミュレーションデータの貼り付け!C72*シミュレーション!$D$10+シミュレーションデータの貼り付け!G72*シミュレーション!$D$11+シミュレーションデータの貼り付け!K72*シミュレーション!$D$12+シミュレーションデータの貼り付け!O72*シミュレーション!$D$13+シミュレーションデータの貼り付け!S72*シミュレーション!$D$14+シミュレーションデータの貼り付け!W72*シミュレーション!$D$15</f>
        <v>0</v>
      </c>
      <c r="D72" s="29">
        <f>シミュレーションデータの貼り付け!D72*シミュレーション!$D$10+シミュレーションデータの貼り付け!H72*シミュレーション!$D$11+シミュレーションデータの貼り付け!L72*シミュレーション!$D$12+シミュレーションデータの貼り付け!P72*シミュレーション!$D$13+シミュレーションデータの貼り付け!T72*シミュレーション!$D$14+シミュレーションデータの貼り付け!X72*シミュレーション!$D$15</f>
        <v>0</v>
      </c>
      <c r="E72" s="29">
        <f>シミュレーションデータの貼り付け!E72*シミュレーション!$D$10+シミュレーションデータの貼り付け!I72*シミュレーション!$D$11+シミュレーションデータの貼り付け!M72*シミュレーション!$D$12+シミュレーションデータの貼り付け!Q72*シミュレーション!$D$13+シミュレーションデータの貼り付け!U72*シミュレーション!$D$14+シミュレーションデータの貼り付け!Y72*シミュレーション!$D$15</f>
        <v>0</v>
      </c>
      <c r="F72" s="30">
        <f>シミュレーションデータの貼り付け!F72*シミュレーション!$D$10+シミュレーションデータの貼り付け!J72*シミュレーション!$D$11+シミュレーションデータの貼り付け!N72*シミュレーション!$D$12+シミュレーションデータの貼り付け!R72*シミュレーション!$D$13+シミュレーションデータの貼り付け!V72*シミュレーション!$D$14+シミュレーションデータの貼り付け!Z72*シミュレーション!$D$15</f>
        <v>0</v>
      </c>
      <c r="H72" s="18">
        <v>69</v>
      </c>
      <c r="I72" s="87">
        <f>シミュレーション!$D$19</f>
        <v>0</v>
      </c>
      <c r="J72" s="87">
        <f>I72*(1+'シミュレーション計算用（変更不要）'!C72)</f>
        <v>0</v>
      </c>
      <c r="K72" s="87">
        <f>J72*(1+'シミュレーション計算用（変更不要）'!D72)</f>
        <v>0</v>
      </c>
      <c r="L72" s="87">
        <f>K72*(1+'シミュレーション計算用（変更不要）'!E72)</f>
        <v>0</v>
      </c>
      <c r="M72" s="44">
        <f>L72*(1+'シミュレーション計算用（変更不要）'!F72)</f>
        <v>0</v>
      </c>
      <c r="O72" s="18">
        <v>69</v>
      </c>
      <c r="P72" s="87">
        <f>BarriarOptionPrice(シミュレーション!$K$11,シミュレーション!$H$11,I72,1-P$3,シミュレーション!$I$11,シミュレーション!$J$11,シミュレーション!$D$10:$D$15)</f>
        <v>0</v>
      </c>
      <c r="Q72" s="87">
        <f>BarriarOptionPrice(シミュレーション!$K$11,シミュレーション!$H$11,J72,1-Q$3,シミュレーション!$I$11,シミュレーション!$J$11,シミュレーション!$D$10:$D$15)</f>
        <v>0</v>
      </c>
      <c r="R72" s="87">
        <f>BarriarOptionPrice(シミュレーション!$K$11,シミュレーション!$H$11,K72,1-R$3,シミュレーション!$I$11,シミュレーション!$J$11,シミュレーション!$D$10:$D$15)</f>
        <v>0</v>
      </c>
      <c r="S72" s="87">
        <f>BarriarOptionPrice(シミュレーション!$K$11,シミュレーション!$H$11,L72,1-S$3,シミュレーション!$I$11,シミュレーション!$J$11,シミュレーション!$D$10:$D$15)</f>
        <v>0</v>
      </c>
      <c r="T72" s="44">
        <f>BarriarOptionPrice(シミュレーション!$K$11,シミュレーション!$H$11,M72,1-T$3,シミュレーション!$I$11,シミュレーション!$J$11,シミュレーション!$D$10:$D$15)</f>
        <v>0</v>
      </c>
      <c r="V72" s="18">
        <v>69</v>
      </c>
      <c r="W72" s="87">
        <f>BarriarOptionPrice(シミュレーション!$K$12,シミュレーション!$H$12,I72,1-P$3,シミュレーション!$I$12,シミュレーション!$J$12,シミュレーション!$D$10:$D$15)</f>
        <v>0</v>
      </c>
      <c r="X72" s="87">
        <f>BarriarOptionPrice(シミュレーション!$K$12,シミュレーション!$H$12,J72,1-Q$3,シミュレーション!$I$12,シミュレーション!$J$12,シミュレーション!$D$10:$D$15)</f>
        <v>0</v>
      </c>
      <c r="Y72" s="87">
        <f>BarriarOptionPrice(シミュレーション!$K$12,シミュレーション!$H$12,K72,1-R$3,シミュレーション!$I$12,シミュレーション!$J$12,シミュレーション!$D$10:$D$15)</f>
        <v>0</v>
      </c>
      <c r="Z72" s="87">
        <f>BarriarOptionPrice(シミュレーション!$K$12,シミュレーション!$H$12,L72,1-S$3,シミュレーション!$I$12,シミュレーション!$J$12,シミュレーション!$D$10:$D$15)</f>
        <v>0</v>
      </c>
      <c r="AA72" s="44">
        <f>BarriarOptionPrice(シミュレーション!$K$12,シミュレーション!$H$12,M72,1-T$3,シミュレーション!$I$12,シミュレーション!$J$12,シミュレーション!$D$10:$D$15)</f>
        <v>0</v>
      </c>
    </row>
    <row r="73" spans="2:27" ht="14.25" x14ac:dyDescent="0.15">
      <c r="B73" s="18">
        <v>70</v>
      </c>
      <c r="C73" s="29">
        <f>シミュレーションデータの貼り付け!C73*シミュレーション!$D$10+シミュレーションデータの貼り付け!G73*シミュレーション!$D$11+シミュレーションデータの貼り付け!K73*シミュレーション!$D$12+シミュレーションデータの貼り付け!O73*シミュレーション!$D$13+シミュレーションデータの貼り付け!S73*シミュレーション!$D$14+シミュレーションデータの貼り付け!W73*シミュレーション!$D$15</f>
        <v>0</v>
      </c>
      <c r="D73" s="29">
        <f>シミュレーションデータの貼り付け!D73*シミュレーション!$D$10+シミュレーションデータの貼り付け!H73*シミュレーション!$D$11+シミュレーションデータの貼り付け!L73*シミュレーション!$D$12+シミュレーションデータの貼り付け!P73*シミュレーション!$D$13+シミュレーションデータの貼り付け!T73*シミュレーション!$D$14+シミュレーションデータの貼り付け!X73*シミュレーション!$D$15</f>
        <v>0</v>
      </c>
      <c r="E73" s="29">
        <f>シミュレーションデータの貼り付け!E73*シミュレーション!$D$10+シミュレーションデータの貼り付け!I73*シミュレーション!$D$11+シミュレーションデータの貼り付け!M73*シミュレーション!$D$12+シミュレーションデータの貼り付け!Q73*シミュレーション!$D$13+シミュレーションデータの貼り付け!U73*シミュレーション!$D$14+シミュレーションデータの貼り付け!Y73*シミュレーション!$D$15</f>
        <v>0</v>
      </c>
      <c r="F73" s="30">
        <f>シミュレーションデータの貼り付け!F73*シミュレーション!$D$10+シミュレーションデータの貼り付け!J73*シミュレーション!$D$11+シミュレーションデータの貼り付け!N73*シミュレーション!$D$12+シミュレーションデータの貼り付け!R73*シミュレーション!$D$13+シミュレーションデータの貼り付け!V73*シミュレーション!$D$14+シミュレーションデータの貼り付け!Z73*シミュレーション!$D$15</f>
        <v>0</v>
      </c>
      <c r="H73" s="18">
        <v>70</v>
      </c>
      <c r="I73" s="87">
        <f>シミュレーション!$D$19</f>
        <v>0</v>
      </c>
      <c r="J73" s="87">
        <f>I73*(1+'シミュレーション計算用（変更不要）'!C73)</f>
        <v>0</v>
      </c>
      <c r="K73" s="87">
        <f>J73*(1+'シミュレーション計算用（変更不要）'!D73)</f>
        <v>0</v>
      </c>
      <c r="L73" s="87">
        <f>K73*(1+'シミュレーション計算用（変更不要）'!E73)</f>
        <v>0</v>
      </c>
      <c r="M73" s="44">
        <f>L73*(1+'シミュレーション計算用（変更不要）'!F73)</f>
        <v>0</v>
      </c>
      <c r="O73" s="18">
        <v>70</v>
      </c>
      <c r="P73" s="87">
        <f>BarriarOptionPrice(シミュレーション!$K$11,シミュレーション!$H$11,I73,1-P$3,シミュレーション!$I$11,シミュレーション!$J$11,シミュレーション!$D$10:$D$15)</f>
        <v>0</v>
      </c>
      <c r="Q73" s="87">
        <f>BarriarOptionPrice(シミュレーション!$K$11,シミュレーション!$H$11,J73,1-Q$3,シミュレーション!$I$11,シミュレーション!$J$11,シミュレーション!$D$10:$D$15)</f>
        <v>0</v>
      </c>
      <c r="R73" s="87">
        <f>BarriarOptionPrice(シミュレーション!$K$11,シミュレーション!$H$11,K73,1-R$3,シミュレーション!$I$11,シミュレーション!$J$11,シミュレーション!$D$10:$D$15)</f>
        <v>0</v>
      </c>
      <c r="S73" s="87">
        <f>BarriarOptionPrice(シミュレーション!$K$11,シミュレーション!$H$11,L73,1-S$3,シミュレーション!$I$11,シミュレーション!$J$11,シミュレーション!$D$10:$D$15)</f>
        <v>0</v>
      </c>
      <c r="T73" s="44">
        <f>BarriarOptionPrice(シミュレーション!$K$11,シミュレーション!$H$11,M73,1-T$3,シミュレーション!$I$11,シミュレーション!$J$11,シミュレーション!$D$10:$D$15)</f>
        <v>0</v>
      </c>
      <c r="V73" s="18">
        <v>70</v>
      </c>
      <c r="W73" s="87">
        <f>BarriarOptionPrice(シミュレーション!$K$12,シミュレーション!$H$12,I73,1-P$3,シミュレーション!$I$12,シミュレーション!$J$12,シミュレーション!$D$10:$D$15)</f>
        <v>0</v>
      </c>
      <c r="X73" s="87">
        <f>BarriarOptionPrice(シミュレーション!$K$12,シミュレーション!$H$12,J73,1-Q$3,シミュレーション!$I$12,シミュレーション!$J$12,シミュレーション!$D$10:$D$15)</f>
        <v>0</v>
      </c>
      <c r="Y73" s="87">
        <f>BarriarOptionPrice(シミュレーション!$K$12,シミュレーション!$H$12,K73,1-R$3,シミュレーション!$I$12,シミュレーション!$J$12,シミュレーション!$D$10:$D$15)</f>
        <v>0</v>
      </c>
      <c r="Z73" s="87">
        <f>BarriarOptionPrice(シミュレーション!$K$12,シミュレーション!$H$12,L73,1-S$3,シミュレーション!$I$12,シミュレーション!$J$12,シミュレーション!$D$10:$D$15)</f>
        <v>0</v>
      </c>
      <c r="AA73" s="44">
        <f>BarriarOptionPrice(シミュレーション!$K$12,シミュレーション!$H$12,M73,1-T$3,シミュレーション!$I$12,シミュレーション!$J$12,シミュレーション!$D$10:$D$15)</f>
        <v>0</v>
      </c>
    </row>
    <row r="74" spans="2:27" ht="14.25" x14ac:dyDescent="0.15">
      <c r="B74" s="18">
        <v>71</v>
      </c>
      <c r="C74" s="29">
        <f>シミュレーションデータの貼り付け!C74*シミュレーション!$D$10+シミュレーションデータの貼り付け!G74*シミュレーション!$D$11+シミュレーションデータの貼り付け!K74*シミュレーション!$D$12+シミュレーションデータの貼り付け!O74*シミュレーション!$D$13+シミュレーションデータの貼り付け!S74*シミュレーション!$D$14+シミュレーションデータの貼り付け!W74*シミュレーション!$D$15</f>
        <v>0</v>
      </c>
      <c r="D74" s="29">
        <f>シミュレーションデータの貼り付け!D74*シミュレーション!$D$10+シミュレーションデータの貼り付け!H74*シミュレーション!$D$11+シミュレーションデータの貼り付け!L74*シミュレーション!$D$12+シミュレーションデータの貼り付け!P74*シミュレーション!$D$13+シミュレーションデータの貼り付け!T74*シミュレーション!$D$14+シミュレーションデータの貼り付け!X74*シミュレーション!$D$15</f>
        <v>0</v>
      </c>
      <c r="E74" s="29">
        <f>シミュレーションデータの貼り付け!E74*シミュレーション!$D$10+シミュレーションデータの貼り付け!I74*シミュレーション!$D$11+シミュレーションデータの貼り付け!M74*シミュレーション!$D$12+シミュレーションデータの貼り付け!Q74*シミュレーション!$D$13+シミュレーションデータの貼り付け!U74*シミュレーション!$D$14+シミュレーションデータの貼り付け!Y74*シミュレーション!$D$15</f>
        <v>0</v>
      </c>
      <c r="F74" s="30">
        <f>シミュレーションデータの貼り付け!F74*シミュレーション!$D$10+シミュレーションデータの貼り付け!J74*シミュレーション!$D$11+シミュレーションデータの貼り付け!N74*シミュレーション!$D$12+シミュレーションデータの貼り付け!R74*シミュレーション!$D$13+シミュレーションデータの貼り付け!V74*シミュレーション!$D$14+シミュレーションデータの貼り付け!Z74*シミュレーション!$D$15</f>
        <v>0</v>
      </c>
      <c r="H74" s="18">
        <v>71</v>
      </c>
      <c r="I74" s="87">
        <f>シミュレーション!$D$19</f>
        <v>0</v>
      </c>
      <c r="J74" s="87">
        <f>I74*(1+'シミュレーション計算用（変更不要）'!C74)</f>
        <v>0</v>
      </c>
      <c r="K74" s="87">
        <f>J74*(1+'シミュレーション計算用（変更不要）'!D74)</f>
        <v>0</v>
      </c>
      <c r="L74" s="87">
        <f>K74*(1+'シミュレーション計算用（変更不要）'!E74)</f>
        <v>0</v>
      </c>
      <c r="M74" s="44">
        <f>L74*(1+'シミュレーション計算用（変更不要）'!F74)</f>
        <v>0</v>
      </c>
      <c r="O74" s="18">
        <v>71</v>
      </c>
      <c r="P74" s="87">
        <f>BarriarOptionPrice(シミュレーション!$K$11,シミュレーション!$H$11,I74,1-P$3,シミュレーション!$I$11,シミュレーション!$J$11,シミュレーション!$D$10:$D$15)</f>
        <v>0</v>
      </c>
      <c r="Q74" s="87">
        <f>BarriarOptionPrice(シミュレーション!$K$11,シミュレーション!$H$11,J74,1-Q$3,シミュレーション!$I$11,シミュレーション!$J$11,シミュレーション!$D$10:$D$15)</f>
        <v>0</v>
      </c>
      <c r="R74" s="87">
        <f>BarriarOptionPrice(シミュレーション!$K$11,シミュレーション!$H$11,K74,1-R$3,シミュレーション!$I$11,シミュレーション!$J$11,シミュレーション!$D$10:$D$15)</f>
        <v>0</v>
      </c>
      <c r="S74" s="87">
        <f>BarriarOptionPrice(シミュレーション!$K$11,シミュレーション!$H$11,L74,1-S$3,シミュレーション!$I$11,シミュレーション!$J$11,シミュレーション!$D$10:$D$15)</f>
        <v>0</v>
      </c>
      <c r="T74" s="44">
        <f>BarriarOptionPrice(シミュレーション!$K$11,シミュレーション!$H$11,M74,1-T$3,シミュレーション!$I$11,シミュレーション!$J$11,シミュレーション!$D$10:$D$15)</f>
        <v>0</v>
      </c>
      <c r="V74" s="18">
        <v>71</v>
      </c>
      <c r="W74" s="87">
        <f>BarriarOptionPrice(シミュレーション!$K$12,シミュレーション!$H$12,I74,1-P$3,シミュレーション!$I$12,シミュレーション!$J$12,シミュレーション!$D$10:$D$15)</f>
        <v>0</v>
      </c>
      <c r="X74" s="87">
        <f>BarriarOptionPrice(シミュレーション!$K$12,シミュレーション!$H$12,J74,1-Q$3,シミュレーション!$I$12,シミュレーション!$J$12,シミュレーション!$D$10:$D$15)</f>
        <v>0</v>
      </c>
      <c r="Y74" s="87">
        <f>BarriarOptionPrice(シミュレーション!$K$12,シミュレーション!$H$12,K74,1-R$3,シミュレーション!$I$12,シミュレーション!$J$12,シミュレーション!$D$10:$D$15)</f>
        <v>0</v>
      </c>
      <c r="Z74" s="87">
        <f>BarriarOptionPrice(シミュレーション!$K$12,シミュレーション!$H$12,L74,1-S$3,シミュレーション!$I$12,シミュレーション!$J$12,シミュレーション!$D$10:$D$15)</f>
        <v>0</v>
      </c>
      <c r="AA74" s="44">
        <f>BarriarOptionPrice(シミュレーション!$K$12,シミュレーション!$H$12,M74,1-T$3,シミュレーション!$I$12,シミュレーション!$J$12,シミュレーション!$D$10:$D$15)</f>
        <v>0</v>
      </c>
    </row>
    <row r="75" spans="2:27" ht="14.25" x14ac:dyDescent="0.15">
      <c r="B75" s="18">
        <v>72</v>
      </c>
      <c r="C75" s="29">
        <f>シミュレーションデータの貼り付け!C75*シミュレーション!$D$10+シミュレーションデータの貼り付け!G75*シミュレーション!$D$11+シミュレーションデータの貼り付け!K75*シミュレーション!$D$12+シミュレーションデータの貼り付け!O75*シミュレーション!$D$13+シミュレーションデータの貼り付け!S75*シミュレーション!$D$14+シミュレーションデータの貼り付け!W75*シミュレーション!$D$15</f>
        <v>0</v>
      </c>
      <c r="D75" s="29">
        <f>シミュレーションデータの貼り付け!D75*シミュレーション!$D$10+シミュレーションデータの貼り付け!H75*シミュレーション!$D$11+シミュレーションデータの貼り付け!L75*シミュレーション!$D$12+シミュレーションデータの貼り付け!P75*シミュレーション!$D$13+シミュレーションデータの貼り付け!T75*シミュレーション!$D$14+シミュレーションデータの貼り付け!X75*シミュレーション!$D$15</f>
        <v>0</v>
      </c>
      <c r="E75" s="29">
        <f>シミュレーションデータの貼り付け!E75*シミュレーション!$D$10+シミュレーションデータの貼り付け!I75*シミュレーション!$D$11+シミュレーションデータの貼り付け!M75*シミュレーション!$D$12+シミュレーションデータの貼り付け!Q75*シミュレーション!$D$13+シミュレーションデータの貼り付け!U75*シミュレーション!$D$14+シミュレーションデータの貼り付け!Y75*シミュレーション!$D$15</f>
        <v>0</v>
      </c>
      <c r="F75" s="30">
        <f>シミュレーションデータの貼り付け!F75*シミュレーション!$D$10+シミュレーションデータの貼り付け!J75*シミュレーション!$D$11+シミュレーションデータの貼り付け!N75*シミュレーション!$D$12+シミュレーションデータの貼り付け!R75*シミュレーション!$D$13+シミュレーションデータの貼り付け!V75*シミュレーション!$D$14+シミュレーションデータの貼り付け!Z75*シミュレーション!$D$15</f>
        <v>0</v>
      </c>
      <c r="H75" s="18">
        <v>72</v>
      </c>
      <c r="I75" s="87">
        <f>シミュレーション!$D$19</f>
        <v>0</v>
      </c>
      <c r="J75" s="87">
        <f>I75*(1+'シミュレーション計算用（変更不要）'!C75)</f>
        <v>0</v>
      </c>
      <c r="K75" s="87">
        <f>J75*(1+'シミュレーション計算用（変更不要）'!D75)</f>
        <v>0</v>
      </c>
      <c r="L75" s="87">
        <f>K75*(1+'シミュレーション計算用（変更不要）'!E75)</f>
        <v>0</v>
      </c>
      <c r="M75" s="44">
        <f>L75*(1+'シミュレーション計算用（変更不要）'!F75)</f>
        <v>0</v>
      </c>
      <c r="O75" s="18">
        <v>72</v>
      </c>
      <c r="P75" s="87">
        <f>BarriarOptionPrice(シミュレーション!$K$11,シミュレーション!$H$11,I75,1-P$3,シミュレーション!$I$11,シミュレーション!$J$11,シミュレーション!$D$10:$D$15)</f>
        <v>0</v>
      </c>
      <c r="Q75" s="87">
        <f>BarriarOptionPrice(シミュレーション!$K$11,シミュレーション!$H$11,J75,1-Q$3,シミュレーション!$I$11,シミュレーション!$J$11,シミュレーション!$D$10:$D$15)</f>
        <v>0</v>
      </c>
      <c r="R75" s="87">
        <f>BarriarOptionPrice(シミュレーション!$K$11,シミュレーション!$H$11,K75,1-R$3,シミュレーション!$I$11,シミュレーション!$J$11,シミュレーション!$D$10:$D$15)</f>
        <v>0</v>
      </c>
      <c r="S75" s="87">
        <f>BarriarOptionPrice(シミュレーション!$K$11,シミュレーション!$H$11,L75,1-S$3,シミュレーション!$I$11,シミュレーション!$J$11,シミュレーション!$D$10:$D$15)</f>
        <v>0</v>
      </c>
      <c r="T75" s="44">
        <f>BarriarOptionPrice(シミュレーション!$K$11,シミュレーション!$H$11,M75,1-T$3,シミュレーション!$I$11,シミュレーション!$J$11,シミュレーション!$D$10:$D$15)</f>
        <v>0</v>
      </c>
      <c r="V75" s="18">
        <v>72</v>
      </c>
      <c r="W75" s="87">
        <f>BarriarOptionPrice(シミュレーション!$K$12,シミュレーション!$H$12,I75,1-P$3,シミュレーション!$I$12,シミュレーション!$J$12,シミュレーション!$D$10:$D$15)</f>
        <v>0</v>
      </c>
      <c r="X75" s="87">
        <f>BarriarOptionPrice(シミュレーション!$K$12,シミュレーション!$H$12,J75,1-Q$3,シミュレーション!$I$12,シミュレーション!$J$12,シミュレーション!$D$10:$D$15)</f>
        <v>0</v>
      </c>
      <c r="Y75" s="87">
        <f>BarriarOptionPrice(シミュレーション!$K$12,シミュレーション!$H$12,K75,1-R$3,シミュレーション!$I$12,シミュレーション!$J$12,シミュレーション!$D$10:$D$15)</f>
        <v>0</v>
      </c>
      <c r="Z75" s="87">
        <f>BarriarOptionPrice(シミュレーション!$K$12,シミュレーション!$H$12,L75,1-S$3,シミュレーション!$I$12,シミュレーション!$J$12,シミュレーション!$D$10:$D$15)</f>
        <v>0</v>
      </c>
      <c r="AA75" s="44">
        <f>BarriarOptionPrice(シミュレーション!$K$12,シミュレーション!$H$12,M75,1-T$3,シミュレーション!$I$12,シミュレーション!$J$12,シミュレーション!$D$10:$D$15)</f>
        <v>0</v>
      </c>
    </row>
    <row r="76" spans="2:27" ht="14.25" x14ac:dyDescent="0.15">
      <c r="B76" s="18">
        <v>73</v>
      </c>
      <c r="C76" s="29">
        <f>シミュレーションデータの貼り付け!C76*シミュレーション!$D$10+シミュレーションデータの貼り付け!G76*シミュレーション!$D$11+シミュレーションデータの貼り付け!K76*シミュレーション!$D$12+シミュレーションデータの貼り付け!O76*シミュレーション!$D$13+シミュレーションデータの貼り付け!S76*シミュレーション!$D$14+シミュレーションデータの貼り付け!W76*シミュレーション!$D$15</f>
        <v>0</v>
      </c>
      <c r="D76" s="29">
        <f>シミュレーションデータの貼り付け!D76*シミュレーション!$D$10+シミュレーションデータの貼り付け!H76*シミュレーション!$D$11+シミュレーションデータの貼り付け!L76*シミュレーション!$D$12+シミュレーションデータの貼り付け!P76*シミュレーション!$D$13+シミュレーションデータの貼り付け!T76*シミュレーション!$D$14+シミュレーションデータの貼り付け!X76*シミュレーション!$D$15</f>
        <v>0</v>
      </c>
      <c r="E76" s="29">
        <f>シミュレーションデータの貼り付け!E76*シミュレーション!$D$10+シミュレーションデータの貼り付け!I76*シミュレーション!$D$11+シミュレーションデータの貼り付け!M76*シミュレーション!$D$12+シミュレーションデータの貼り付け!Q76*シミュレーション!$D$13+シミュレーションデータの貼り付け!U76*シミュレーション!$D$14+シミュレーションデータの貼り付け!Y76*シミュレーション!$D$15</f>
        <v>0</v>
      </c>
      <c r="F76" s="30">
        <f>シミュレーションデータの貼り付け!F76*シミュレーション!$D$10+シミュレーションデータの貼り付け!J76*シミュレーション!$D$11+シミュレーションデータの貼り付け!N76*シミュレーション!$D$12+シミュレーションデータの貼り付け!R76*シミュレーション!$D$13+シミュレーションデータの貼り付け!V76*シミュレーション!$D$14+シミュレーションデータの貼り付け!Z76*シミュレーション!$D$15</f>
        <v>0</v>
      </c>
      <c r="H76" s="18">
        <v>73</v>
      </c>
      <c r="I76" s="87">
        <f>シミュレーション!$D$19</f>
        <v>0</v>
      </c>
      <c r="J76" s="87">
        <f>I76*(1+'シミュレーション計算用（変更不要）'!C76)</f>
        <v>0</v>
      </c>
      <c r="K76" s="87">
        <f>J76*(1+'シミュレーション計算用（変更不要）'!D76)</f>
        <v>0</v>
      </c>
      <c r="L76" s="87">
        <f>K76*(1+'シミュレーション計算用（変更不要）'!E76)</f>
        <v>0</v>
      </c>
      <c r="M76" s="44">
        <f>L76*(1+'シミュレーション計算用（変更不要）'!F76)</f>
        <v>0</v>
      </c>
      <c r="O76" s="18">
        <v>73</v>
      </c>
      <c r="P76" s="87">
        <f>BarriarOptionPrice(シミュレーション!$K$11,シミュレーション!$H$11,I76,1-P$3,シミュレーション!$I$11,シミュレーション!$J$11,シミュレーション!$D$10:$D$15)</f>
        <v>0</v>
      </c>
      <c r="Q76" s="87">
        <f>BarriarOptionPrice(シミュレーション!$K$11,シミュレーション!$H$11,J76,1-Q$3,シミュレーション!$I$11,シミュレーション!$J$11,シミュレーション!$D$10:$D$15)</f>
        <v>0</v>
      </c>
      <c r="R76" s="87">
        <f>BarriarOptionPrice(シミュレーション!$K$11,シミュレーション!$H$11,K76,1-R$3,シミュレーション!$I$11,シミュレーション!$J$11,シミュレーション!$D$10:$D$15)</f>
        <v>0</v>
      </c>
      <c r="S76" s="87">
        <f>BarriarOptionPrice(シミュレーション!$K$11,シミュレーション!$H$11,L76,1-S$3,シミュレーション!$I$11,シミュレーション!$J$11,シミュレーション!$D$10:$D$15)</f>
        <v>0</v>
      </c>
      <c r="T76" s="44">
        <f>BarriarOptionPrice(シミュレーション!$K$11,シミュレーション!$H$11,M76,1-T$3,シミュレーション!$I$11,シミュレーション!$J$11,シミュレーション!$D$10:$D$15)</f>
        <v>0</v>
      </c>
      <c r="V76" s="18">
        <v>73</v>
      </c>
      <c r="W76" s="87">
        <f>BarriarOptionPrice(シミュレーション!$K$12,シミュレーション!$H$12,I76,1-P$3,シミュレーション!$I$12,シミュレーション!$J$12,シミュレーション!$D$10:$D$15)</f>
        <v>0</v>
      </c>
      <c r="X76" s="87">
        <f>BarriarOptionPrice(シミュレーション!$K$12,シミュレーション!$H$12,J76,1-Q$3,シミュレーション!$I$12,シミュレーション!$J$12,シミュレーション!$D$10:$D$15)</f>
        <v>0</v>
      </c>
      <c r="Y76" s="87">
        <f>BarriarOptionPrice(シミュレーション!$K$12,シミュレーション!$H$12,K76,1-R$3,シミュレーション!$I$12,シミュレーション!$J$12,シミュレーション!$D$10:$D$15)</f>
        <v>0</v>
      </c>
      <c r="Z76" s="87">
        <f>BarriarOptionPrice(シミュレーション!$K$12,シミュレーション!$H$12,L76,1-S$3,シミュレーション!$I$12,シミュレーション!$J$12,シミュレーション!$D$10:$D$15)</f>
        <v>0</v>
      </c>
      <c r="AA76" s="44">
        <f>BarriarOptionPrice(シミュレーション!$K$12,シミュレーション!$H$12,M76,1-T$3,シミュレーション!$I$12,シミュレーション!$J$12,シミュレーション!$D$10:$D$15)</f>
        <v>0</v>
      </c>
    </row>
    <row r="77" spans="2:27" ht="14.25" x14ac:dyDescent="0.15">
      <c r="B77" s="18">
        <v>74</v>
      </c>
      <c r="C77" s="29">
        <f>シミュレーションデータの貼り付け!C77*シミュレーション!$D$10+シミュレーションデータの貼り付け!G77*シミュレーション!$D$11+シミュレーションデータの貼り付け!K77*シミュレーション!$D$12+シミュレーションデータの貼り付け!O77*シミュレーション!$D$13+シミュレーションデータの貼り付け!S77*シミュレーション!$D$14+シミュレーションデータの貼り付け!W77*シミュレーション!$D$15</f>
        <v>0</v>
      </c>
      <c r="D77" s="29">
        <f>シミュレーションデータの貼り付け!D77*シミュレーション!$D$10+シミュレーションデータの貼り付け!H77*シミュレーション!$D$11+シミュレーションデータの貼り付け!L77*シミュレーション!$D$12+シミュレーションデータの貼り付け!P77*シミュレーション!$D$13+シミュレーションデータの貼り付け!T77*シミュレーション!$D$14+シミュレーションデータの貼り付け!X77*シミュレーション!$D$15</f>
        <v>0</v>
      </c>
      <c r="E77" s="29">
        <f>シミュレーションデータの貼り付け!E77*シミュレーション!$D$10+シミュレーションデータの貼り付け!I77*シミュレーション!$D$11+シミュレーションデータの貼り付け!M77*シミュレーション!$D$12+シミュレーションデータの貼り付け!Q77*シミュレーション!$D$13+シミュレーションデータの貼り付け!U77*シミュレーション!$D$14+シミュレーションデータの貼り付け!Y77*シミュレーション!$D$15</f>
        <v>0</v>
      </c>
      <c r="F77" s="30">
        <f>シミュレーションデータの貼り付け!F77*シミュレーション!$D$10+シミュレーションデータの貼り付け!J77*シミュレーション!$D$11+シミュレーションデータの貼り付け!N77*シミュレーション!$D$12+シミュレーションデータの貼り付け!R77*シミュレーション!$D$13+シミュレーションデータの貼り付け!V77*シミュレーション!$D$14+シミュレーションデータの貼り付け!Z77*シミュレーション!$D$15</f>
        <v>0</v>
      </c>
      <c r="H77" s="18">
        <v>74</v>
      </c>
      <c r="I77" s="87">
        <f>シミュレーション!$D$19</f>
        <v>0</v>
      </c>
      <c r="J77" s="87">
        <f>I77*(1+'シミュレーション計算用（変更不要）'!C77)</f>
        <v>0</v>
      </c>
      <c r="K77" s="87">
        <f>J77*(1+'シミュレーション計算用（変更不要）'!D77)</f>
        <v>0</v>
      </c>
      <c r="L77" s="87">
        <f>K77*(1+'シミュレーション計算用（変更不要）'!E77)</f>
        <v>0</v>
      </c>
      <c r="M77" s="44">
        <f>L77*(1+'シミュレーション計算用（変更不要）'!F77)</f>
        <v>0</v>
      </c>
      <c r="O77" s="18">
        <v>74</v>
      </c>
      <c r="P77" s="87">
        <f>BarriarOptionPrice(シミュレーション!$K$11,シミュレーション!$H$11,I77,1-P$3,シミュレーション!$I$11,シミュレーション!$J$11,シミュレーション!$D$10:$D$15)</f>
        <v>0</v>
      </c>
      <c r="Q77" s="87">
        <f>BarriarOptionPrice(シミュレーション!$K$11,シミュレーション!$H$11,J77,1-Q$3,シミュレーション!$I$11,シミュレーション!$J$11,シミュレーション!$D$10:$D$15)</f>
        <v>0</v>
      </c>
      <c r="R77" s="87">
        <f>BarriarOptionPrice(シミュレーション!$K$11,シミュレーション!$H$11,K77,1-R$3,シミュレーション!$I$11,シミュレーション!$J$11,シミュレーション!$D$10:$D$15)</f>
        <v>0</v>
      </c>
      <c r="S77" s="87">
        <f>BarriarOptionPrice(シミュレーション!$K$11,シミュレーション!$H$11,L77,1-S$3,シミュレーション!$I$11,シミュレーション!$J$11,シミュレーション!$D$10:$D$15)</f>
        <v>0</v>
      </c>
      <c r="T77" s="44">
        <f>BarriarOptionPrice(シミュレーション!$K$11,シミュレーション!$H$11,M77,1-T$3,シミュレーション!$I$11,シミュレーション!$J$11,シミュレーション!$D$10:$D$15)</f>
        <v>0</v>
      </c>
      <c r="V77" s="18">
        <v>74</v>
      </c>
      <c r="W77" s="87">
        <f>BarriarOptionPrice(シミュレーション!$K$12,シミュレーション!$H$12,I77,1-P$3,シミュレーション!$I$12,シミュレーション!$J$12,シミュレーション!$D$10:$D$15)</f>
        <v>0</v>
      </c>
      <c r="X77" s="87">
        <f>BarriarOptionPrice(シミュレーション!$K$12,シミュレーション!$H$12,J77,1-Q$3,シミュレーション!$I$12,シミュレーション!$J$12,シミュレーション!$D$10:$D$15)</f>
        <v>0</v>
      </c>
      <c r="Y77" s="87">
        <f>BarriarOptionPrice(シミュレーション!$K$12,シミュレーション!$H$12,K77,1-R$3,シミュレーション!$I$12,シミュレーション!$J$12,シミュレーション!$D$10:$D$15)</f>
        <v>0</v>
      </c>
      <c r="Z77" s="87">
        <f>BarriarOptionPrice(シミュレーション!$K$12,シミュレーション!$H$12,L77,1-S$3,シミュレーション!$I$12,シミュレーション!$J$12,シミュレーション!$D$10:$D$15)</f>
        <v>0</v>
      </c>
      <c r="AA77" s="44">
        <f>BarriarOptionPrice(シミュレーション!$K$12,シミュレーション!$H$12,M77,1-T$3,シミュレーション!$I$12,シミュレーション!$J$12,シミュレーション!$D$10:$D$15)</f>
        <v>0</v>
      </c>
    </row>
    <row r="78" spans="2:27" ht="14.25" x14ac:dyDescent="0.15">
      <c r="B78" s="18">
        <v>75</v>
      </c>
      <c r="C78" s="29">
        <f>シミュレーションデータの貼り付け!C78*シミュレーション!$D$10+シミュレーションデータの貼り付け!G78*シミュレーション!$D$11+シミュレーションデータの貼り付け!K78*シミュレーション!$D$12+シミュレーションデータの貼り付け!O78*シミュレーション!$D$13+シミュレーションデータの貼り付け!S78*シミュレーション!$D$14+シミュレーションデータの貼り付け!W78*シミュレーション!$D$15</f>
        <v>0</v>
      </c>
      <c r="D78" s="29">
        <f>シミュレーションデータの貼り付け!D78*シミュレーション!$D$10+シミュレーションデータの貼り付け!H78*シミュレーション!$D$11+シミュレーションデータの貼り付け!L78*シミュレーション!$D$12+シミュレーションデータの貼り付け!P78*シミュレーション!$D$13+シミュレーションデータの貼り付け!T78*シミュレーション!$D$14+シミュレーションデータの貼り付け!X78*シミュレーション!$D$15</f>
        <v>0</v>
      </c>
      <c r="E78" s="29">
        <f>シミュレーションデータの貼り付け!E78*シミュレーション!$D$10+シミュレーションデータの貼り付け!I78*シミュレーション!$D$11+シミュレーションデータの貼り付け!M78*シミュレーション!$D$12+シミュレーションデータの貼り付け!Q78*シミュレーション!$D$13+シミュレーションデータの貼り付け!U78*シミュレーション!$D$14+シミュレーションデータの貼り付け!Y78*シミュレーション!$D$15</f>
        <v>0</v>
      </c>
      <c r="F78" s="30">
        <f>シミュレーションデータの貼り付け!F78*シミュレーション!$D$10+シミュレーションデータの貼り付け!J78*シミュレーション!$D$11+シミュレーションデータの貼り付け!N78*シミュレーション!$D$12+シミュレーションデータの貼り付け!R78*シミュレーション!$D$13+シミュレーションデータの貼り付け!V78*シミュレーション!$D$14+シミュレーションデータの貼り付け!Z78*シミュレーション!$D$15</f>
        <v>0</v>
      </c>
      <c r="H78" s="18">
        <v>75</v>
      </c>
      <c r="I78" s="87">
        <f>シミュレーション!$D$19</f>
        <v>0</v>
      </c>
      <c r="J78" s="87">
        <f>I78*(1+'シミュレーション計算用（変更不要）'!C78)</f>
        <v>0</v>
      </c>
      <c r="K78" s="87">
        <f>J78*(1+'シミュレーション計算用（変更不要）'!D78)</f>
        <v>0</v>
      </c>
      <c r="L78" s="87">
        <f>K78*(1+'シミュレーション計算用（変更不要）'!E78)</f>
        <v>0</v>
      </c>
      <c r="M78" s="44">
        <f>L78*(1+'シミュレーション計算用（変更不要）'!F78)</f>
        <v>0</v>
      </c>
      <c r="O78" s="18">
        <v>75</v>
      </c>
      <c r="P78" s="87">
        <f>BarriarOptionPrice(シミュレーション!$K$11,シミュレーション!$H$11,I78,1-P$3,シミュレーション!$I$11,シミュレーション!$J$11,シミュレーション!$D$10:$D$15)</f>
        <v>0</v>
      </c>
      <c r="Q78" s="87">
        <f>BarriarOptionPrice(シミュレーション!$K$11,シミュレーション!$H$11,J78,1-Q$3,シミュレーション!$I$11,シミュレーション!$J$11,シミュレーション!$D$10:$D$15)</f>
        <v>0</v>
      </c>
      <c r="R78" s="87">
        <f>BarriarOptionPrice(シミュレーション!$K$11,シミュレーション!$H$11,K78,1-R$3,シミュレーション!$I$11,シミュレーション!$J$11,シミュレーション!$D$10:$D$15)</f>
        <v>0</v>
      </c>
      <c r="S78" s="87">
        <f>BarriarOptionPrice(シミュレーション!$K$11,シミュレーション!$H$11,L78,1-S$3,シミュレーション!$I$11,シミュレーション!$J$11,シミュレーション!$D$10:$D$15)</f>
        <v>0</v>
      </c>
      <c r="T78" s="44">
        <f>BarriarOptionPrice(シミュレーション!$K$11,シミュレーション!$H$11,M78,1-T$3,シミュレーション!$I$11,シミュレーション!$J$11,シミュレーション!$D$10:$D$15)</f>
        <v>0</v>
      </c>
      <c r="V78" s="18">
        <v>75</v>
      </c>
      <c r="W78" s="87">
        <f>BarriarOptionPrice(シミュレーション!$K$12,シミュレーション!$H$12,I78,1-P$3,シミュレーション!$I$12,シミュレーション!$J$12,シミュレーション!$D$10:$D$15)</f>
        <v>0</v>
      </c>
      <c r="X78" s="87">
        <f>BarriarOptionPrice(シミュレーション!$K$12,シミュレーション!$H$12,J78,1-Q$3,シミュレーション!$I$12,シミュレーション!$J$12,シミュレーション!$D$10:$D$15)</f>
        <v>0</v>
      </c>
      <c r="Y78" s="87">
        <f>BarriarOptionPrice(シミュレーション!$K$12,シミュレーション!$H$12,K78,1-R$3,シミュレーション!$I$12,シミュレーション!$J$12,シミュレーション!$D$10:$D$15)</f>
        <v>0</v>
      </c>
      <c r="Z78" s="87">
        <f>BarriarOptionPrice(シミュレーション!$K$12,シミュレーション!$H$12,L78,1-S$3,シミュレーション!$I$12,シミュレーション!$J$12,シミュレーション!$D$10:$D$15)</f>
        <v>0</v>
      </c>
      <c r="AA78" s="44">
        <f>BarriarOptionPrice(シミュレーション!$K$12,シミュレーション!$H$12,M78,1-T$3,シミュレーション!$I$12,シミュレーション!$J$12,シミュレーション!$D$10:$D$15)</f>
        <v>0</v>
      </c>
    </row>
    <row r="79" spans="2:27" ht="14.25" x14ac:dyDescent="0.15">
      <c r="B79" s="18">
        <v>76</v>
      </c>
      <c r="C79" s="29">
        <f>シミュレーションデータの貼り付け!C79*シミュレーション!$D$10+シミュレーションデータの貼り付け!G79*シミュレーション!$D$11+シミュレーションデータの貼り付け!K79*シミュレーション!$D$12+シミュレーションデータの貼り付け!O79*シミュレーション!$D$13+シミュレーションデータの貼り付け!S79*シミュレーション!$D$14+シミュレーションデータの貼り付け!W79*シミュレーション!$D$15</f>
        <v>0</v>
      </c>
      <c r="D79" s="29">
        <f>シミュレーションデータの貼り付け!D79*シミュレーション!$D$10+シミュレーションデータの貼り付け!H79*シミュレーション!$D$11+シミュレーションデータの貼り付け!L79*シミュレーション!$D$12+シミュレーションデータの貼り付け!P79*シミュレーション!$D$13+シミュレーションデータの貼り付け!T79*シミュレーション!$D$14+シミュレーションデータの貼り付け!X79*シミュレーション!$D$15</f>
        <v>0</v>
      </c>
      <c r="E79" s="29">
        <f>シミュレーションデータの貼り付け!E79*シミュレーション!$D$10+シミュレーションデータの貼り付け!I79*シミュレーション!$D$11+シミュレーションデータの貼り付け!M79*シミュレーション!$D$12+シミュレーションデータの貼り付け!Q79*シミュレーション!$D$13+シミュレーションデータの貼り付け!U79*シミュレーション!$D$14+シミュレーションデータの貼り付け!Y79*シミュレーション!$D$15</f>
        <v>0</v>
      </c>
      <c r="F79" s="30">
        <f>シミュレーションデータの貼り付け!F79*シミュレーション!$D$10+シミュレーションデータの貼り付け!J79*シミュレーション!$D$11+シミュレーションデータの貼り付け!N79*シミュレーション!$D$12+シミュレーションデータの貼り付け!R79*シミュレーション!$D$13+シミュレーションデータの貼り付け!V79*シミュレーション!$D$14+シミュレーションデータの貼り付け!Z79*シミュレーション!$D$15</f>
        <v>0</v>
      </c>
      <c r="H79" s="18">
        <v>76</v>
      </c>
      <c r="I79" s="87">
        <f>シミュレーション!$D$19</f>
        <v>0</v>
      </c>
      <c r="J79" s="87">
        <f>I79*(1+'シミュレーション計算用（変更不要）'!C79)</f>
        <v>0</v>
      </c>
      <c r="K79" s="87">
        <f>J79*(1+'シミュレーション計算用（変更不要）'!D79)</f>
        <v>0</v>
      </c>
      <c r="L79" s="87">
        <f>K79*(1+'シミュレーション計算用（変更不要）'!E79)</f>
        <v>0</v>
      </c>
      <c r="M79" s="44">
        <f>L79*(1+'シミュレーション計算用（変更不要）'!F79)</f>
        <v>0</v>
      </c>
      <c r="O79" s="18">
        <v>76</v>
      </c>
      <c r="P79" s="87">
        <f>BarriarOptionPrice(シミュレーション!$K$11,シミュレーション!$H$11,I79,1-P$3,シミュレーション!$I$11,シミュレーション!$J$11,シミュレーション!$D$10:$D$15)</f>
        <v>0</v>
      </c>
      <c r="Q79" s="87">
        <f>BarriarOptionPrice(シミュレーション!$K$11,シミュレーション!$H$11,J79,1-Q$3,シミュレーション!$I$11,シミュレーション!$J$11,シミュレーション!$D$10:$D$15)</f>
        <v>0</v>
      </c>
      <c r="R79" s="87">
        <f>BarriarOptionPrice(シミュレーション!$K$11,シミュレーション!$H$11,K79,1-R$3,シミュレーション!$I$11,シミュレーション!$J$11,シミュレーション!$D$10:$D$15)</f>
        <v>0</v>
      </c>
      <c r="S79" s="87">
        <f>BarriarOptionPrice(シミュレーション!$K$11,シミュレーション!$H$11,L79,1-S$3,シミュレーション!$I$11,シミュレーション!$J$11,シミュレーション!$D$10:$D$15)</f>
        <v>0</v>
      </c>
      <c r="T79" s="44">
        <f>BarriarOptionPrice(シミュレーション!$K$11,シミュレーション!$H$11,M79,1-T$3,シミュレーション!$I$11,シミュレーション!$J$11,シミュレーション!$D$10:$D$15)</f>
        <v>0</v>
      </c>
      <c r="V79" s="18">
        <v>76</v>
      </c>
      <c r="W79" s="87">
        <f>BarriarOptionPrice(シミュレーション!$K$12,シミュレーション!$H$12,I79,1-P$3,シミュレーション!$I$12,シミュレーション!$J$12,シミュレーション!$D$10:$D$15)</f>
        <v>0</v>
      </c>
      <c r="X79" s="87">
        <f>BarriarOptionPrice(シミュレーション!$K$12,シミュレーション!$H$12,J79,1-Q$3,シミュレーション!$I$12,シミュレーション!$J$12,シミュレーション!$D$10:$D$15)</f>
        <v>0</v>
      </c>
      <c r="Y79" s="87">
        <f>BarriarOptionPrice(シミュレーション!$K$12,シミュレーション!$H$12,K79,1-R$3,シミュレーション!$I$12,シミュレーション!$J$12,シミュレーション!$D$10:$D$15)</f>
        <v>0</v>
      </c>
      <c r="Z79" s="87">
        <f>BarriarOptionPrice(シミュレーション!$K$12,シミュレーション!$H$12,L79,1-S$3,シミュレーション!$I$12,シミュレーション!$J$12,シミュレーション!$D$10:$D$15)</f>
        <v>0</v>
      </c>
      <c r="AA79" s="44">
        <f>BarriarOptionPrice(シミュレーション!$K$12,シミュレーション!$H$12,M79,1-T$3,シミュレーション!$I$12,シミュレーション!$J$12,シミュレーション!$D$10:$D$15)</f>
        <v>0</v>
      </c>
    </row>
    <row r="80" spans="2:27" ht="14.25" x14ac:dyDescent="0.15">
      <c r="B80" s="18">
        <v>77</v>
      </c>
      <c r="C80" s="29">
        <f>シミュレーションデータの貼り付け!C80*シミュレーション!$D$10+シミュレーションデータの貼り付け!G80*シミュレーション!$D$11+シミュレーションデータの貼り付け!K80*シミュレーション!$D$12+シミュレーションデータの貼り付け!O80*シミュレーション!$D$13+シミュレーションデータの貼り付け!S80*シミュレーション!$D$14+シミュレーションデータの貼り付け!W80*シミュレーション!$D$15</f>
        <v>0</v>
      </c>
      <c r="D80" s="29">
        <f>シミュレーションデータの貼り付け!D80*シミュレーション!$D$10+シミュレーションデータの貼り付け!H80*シミュレーション!$D$11+シミュレーションデータの貼り付け!L80*シミュレーション!$D$12+シミュレーションデータの貼り付け!P80*シミュレーション!$D$13+シミュレーションデータの貼り付け!T80*シミュレーション!$D$14+シミュレーションデータの貼り付け!X80*シミュレーション!$D$15</f>
        <v>0</v>
      </c>
      <c r="E80" s="29">
        <f>シミュレーションデータの貼り付け!E80*シミュレーション!$D$10+シミュレーションデータの貼り付け!I80*シミュレーション!$D$11+シミュレーションデータの貼り付け!M80*シミュレーション!$D$12+シミュレーションデータの貼り付け!Q80*シミュレーション!$D$13+シミュレーションデータの貼り付け!U80*シミュレーション!$D$14+シミュレーションデータの貼り付け!Y80*シミュレーション!$D$15</f>
        <v>0</v>
      </c>
      <c r="F80" s="30">
        <f>シミュレーションデータの貼り付け!F80*シミュレーション!$D$10+シミュレーションデータの貼り付け!J80*シミュレーション!$D$11+シミュレーションデータの貼り付け!N80*シミュレーション!$D$12+シミュレーションデータの貼り付け!R80*シミュレーション!$D$13+シミュレーションデータの貼り付け!V80*シミュレーション!$D$14+シミュレーションデータの貼り付け!Z80*シミュレーション!$D$15</f>
        <v>0</v>
      </c>
      <c r="H80" s="18">
        <v>77</v>
      </c>
      <c r="I80" s="87">
        <f>シミュレーション!$D$19</f>
        <v>0</v>
      </c>
      <c r="J80" s="87">
        <f>I80*(1+'シミュレーション計算用（変更不要）'!C80)</f>
        <v>0</v>
      </c>
      <c r="K80" s="87">
        <f>J80*(1+'シミュレーション計算用（変更不要）'!D80)</f>
        <v>0</v>
      </c>
      <c r="L80" s="87">
        <f>K80*(1+'シミュレーション計算用（変更不要）'!E80)</f>
        <v>0</v>
      </c>
      <c r="M80" s="44">
        <f>L80*(1+'シミュレーション計算用（変更不要）'!F80)</f>
        <v>0</v>
      </c>
      <c r="O80" s="18">
        <v>77</v>
      </c>
      <c r="P80" s="87">
        <f>BarriarOptionPrice(シミュレーション!$K$11,シミュレーション!$H$11,I80,1-P$3,シミュレーション!$I$11,シミュレーション!$J$11,シミュレーション!$D$10:$D$15)</f>
        <v>0</v>
      </c>
      <c r="Q80" s="87">
        <f>BarriarOptionPrice(シミュレーション!$K$11,シミュレーション!$H$11,J80,1-Q$3,シミュレーション!$I$11,シミュレーション!$J$11,シミュレーション!$D$10:$D$15)</f>
        <v>0</v>
      </c>
      <c r="R80" s="87">
        <f>BarriarOptionPrice(シミュレーション!$K$11,シミュレーション!$H$11,K80,1-R$3,シミュレーション!$I$11,シミュレーション!$J$11,シミュレーション!$D$10:$D$15)</f>
        <v>0</v>
      </c>
      <c r="S80" s="87">
        <f>BarriarOptionPrice(シミュレーション!$K$11,シミュレーション!$H$11,L80,1-S$3,シミュレーション!$I$11,シミュレーション!$J$11,シミュレーション!$D$10:$D$15)</f>
        <v>0</v>
      </c>
      <c r="T80" s="44">
        <f>BarriarOptionPrice(シミュレーション!$K$11,シミュレーション!$H$11,M80,1-T$3,シミュレーション!$I$11,シミュレーション!$J$11,シミュレーション!$D$10:$D$15)</f>
        <v>0</v>
      </c>
      <c r="V80" s="18">
        <v>77</v>
      </c>
      <c r="W80" s="87">
        <f>BarriarOptionPrice(シミュレーション!$K$12,シミュレーション!$H$12,I80,1-P$3,シミュレーション!$I$12,シミュレーション!$J$12,シミュレーション!$D$10:$D$15)</f>
        <v>0</v>
      </c>
      <c r="X80" s="87">
        <f>BarriarOptionPrice(シミュレーション!$K$12,シミュレーション!$H$12,J80,1-Q$3,シミュレーション!$I$12,シミュレーション!$J$12,シミュレーション!$D$10:$D$15)</f>
        <v>0</v>
      </c>
      <c r="Y80" s="87">
        <f>BarriarOptionPrice(シミュレーション!$K$12,シミュレーション!$H$12,K80,1-R$3,シミュレーション!$I$12,シミュレーション!$J$12,シミュレーション!$D$10:$D$15)</f>
        <v>0</v>
      </c>
      <c r="Z80" s="87">
        <f>BarriarOptionPrice(シミュレーション!$K$12,シミュレーション!$H$12,L80,1-S$3,シミュレーション!$I$12,シミュレーション!$J$12,シミュレーション!$D$10:$D$15)</f>
        <v>0</v>
      </c>
      <c r="AA80" s="44">
        <f>BarriarOptionPrice(シミュレーション!$K$12,シミュレーション!$H$12,M80,1-T$3,シミュレーション!$I$12,シミュレーション!$J$12,シミュレーション!$D$10:$D$15)</f>
        <v>0</v>
      </c>
    </row>
    <row r="81" spans="2:27" ht="14.25" x14ac:dyDescent="0.15">
      <c r="B81" s="18">
        <v>78</v>
      </c>
      <c r="C81" s="29">
        <f>シミュレーションデータの貼り付け!C81*シミュレーション!$D$10+シミュレーションデータの貼り付け!G81*シミュレーション!$D$11+シミュレーションデータの貼り付け!K81*シミュレーション!$D$12+シミュレーションデータの貼り付け!O81*シミュレーション!$D$13+シミュレーションデータの貼り付け!S81*シミュレーション!$D$14+シミュレーションデータの貼り付け!W81*シミュレーション!$D$15</f>
        <v>0</v>
      </c>
      <c r="D81" s="29">
        <f>シミュレーションデータの貼り付け!D81*シミュレーション!$D$10+シミュレーションデータの貼り付け!H81*シミュレーション!$D$11+シミュレーションデータの貼り付け!L81*シミュレーション!$D$12+シミュレーションデータの貼り付け!P81*シミュレーション!$D$13+シミュレーションデータの貼り付け!T81*シミュレーション!$D$14+シミュレーションデータの貼り付け!X81*シミュレーション!$D$15</f>
        <v>0</v>
      </c>
      <c r="E81" s="29">
        <f>シミュレーションデータの貼り付け!E81*シミュレーション!$D$10+シミュレーションデータの貼り付け!I81*シミュレーション!$D$11+シミュレーションデータの貼り付け!M81*シミュレーション!$D$12+シミュレーションデータの貼り付け!Q81*シミュレーション!$D$13+シミュレーションデータの貼り付け!U81*シミュレーション!$D$14+シミュレーションデータの貼り付け!Y81*シミュレーション!$D$15</f>
        <v>0</v>
      </c>
      <c r="F81" s="30">
        <f>シミュレーションデータの貼り付け!F81*シミュレーション!$D$10+シミュレーションデータの貼り付け!J81*シミュレーション!$D$11+シミュレーションデータの貼り付け!N81*シミュレーション!$D$12+シミュレーションデータの貼り付け!R81*シミュレーション!$D$13+シミュレーションデータの貼り付け!V81*シミュレーション!$D$14+シミュレーションデータの貼り付け!Z81*シミュレーション!$D$15</f>
        <v>0</v>
      </c>
      <c r="H81" s="18">
        <v>78</v>
      </c>
      <c r="I81" s="87">
        <f>シミュレーション!$D$19</f>
        <v>0</v>
      </c>
      <c r="J81" s="87">
        <f>I81*(1+'シミュレーション計算用（変更不要）'!C81)</f>
        <v>0</v>
      </c>
      <c r="K81" s="87">
        <f>J81*(1+'シミュレーション計算用（変更不要）'!D81)</f>
        <v>0</v>
      </c>
      <c r="L81" s="87">
        <f>K81*(1+'シミュレーション計算用（変更不要）'!E81)</f>
        <v>0</v>
      </c>
      <c r="M81" s="44">
        <f>L81*(1+'シミュレーション計算用（変更不要）'!F81)</f>
        <v>0</v>
      </c>
      <c r="O81" s="18">
        <v>78</v>
      </c>
      <c r="P81" s="87">
        <f>BarriarOptionPrice(シミュレーション!$K$11,シミュレーション!$H$11,I81,1-P$3,シミュレーション!$I$11,シミュレーション!$J$11,シミュレーション!$D$10:$D$15)</f>
        <v>0</v>
      </c>
      <c r="Q81" s="87">
        <f>BarriarOptionPrice(シミュレーション!$K$11,シミュレーション!$H$11,J81,1-Q$3,シミュレーション!$I$11,シミュレーション!$J$11,シミュレーション!$D$10:$D$15)</f>
        <v>0</v>
      </c>
      <c r="R81" s="87">
        <f>BarriarOptionPrice(シミュレーション!$K$11,シミュレーション!$H$11,K81,1-R$3,シミュレーション!$I$11,シミュレーション!$J$11,シミュレーション!$D$10:$D$15)</f>
        <v>0</v>
      </c>
      <c r="S81" s="87">
        <f>BarriarOptionPrice(シミュレーション!$K$11,シミュレーション!$H$11,L81,1-S$3,シミュレーション!$I$11,シミュレーション!$J$11,シミュレーション!$D$10:$D$15)</f>
        <v>0</v>
      </c>
      <c r="T81" s="44">
        <f>BarriarOptionPrice(シミュレーション!$K$11,シミュレーション!$H$11,M81,1-T$3,シミュレーション!$I$11,シミュレーション!$J$11,シミュレーション!$D$10:$D$15)</f>
        <v>0</v>
      </c>
      <c r="V81" s="18">
        <v>78</v>
      </c>
      <c r="W81" s="87">
        <f>BarriarOptionPrice(シミュレーション!$K$12,シミュレーション!$H$12,I81,1-P$3,シミュレーション!$I$12,シミュレーション!$J$12,シミュレーション!$D$10:$D$15)</f>
        <v>0</v>
      </c>
      <c r="X81" s="87">
        <f>BarriarOptionPrice(シミュレーション!$K$12,シミュレーション!$H$12,J81,1-Q$3,シミュレーション!$I$12,シミュレーション!$J$12,シミュレーション!$D$10:$D$15)</f>
        <v>0</v>
      </c>
      <c r="Y81" s="87">
        <f>BarriarOptionPrice(シミュレーション!$K$12,シミュレーション!$H$12,K81,1-R$3,シミュレーション!$I$12,シミュレーション!$J$12,シミュレーション!$D$10:$D$15)</f>
        <v>0</v>
      </c>
      <c r="Z81" s="87">
        <f>BarriarOptionPrice(シミュレーション!$K$12,シミュレーション!$H$12,L81,1-S$3,シミュレーション!$I$12,シミュレーション!$J$12,シミュレーション!$D$10:$D$15)</f>
        <v>0</v>
      </c>
      <c r="AA81" s="44">
        <f>BarriarOptionPrice(シミュレーション!$K$12,シミュレーション!$H$12,M81,1-T$3,シミュレーション!$I$12,シミュレーション!$J$12,シミュレーション!$D$10:$D$15)</f>
        <v>0</v>
      </c>
    </row>
    <row r="82" spans="2:27" ht="14.25" x14ac:dyDescent="0.15">
      <c r="B82" s="18">
        <v>79</v>
      </c>
      <c r="C82" s="29">
        <f>シミュレーションデータの貼り付け!C82*シミュレーション!$D$10+シミュレーションデータの貼り付け!G82*シミュレーション!$D$11+シミュレーションデータの貼り付け!K82*シミュレーション!$D$12+シミュレーションデータの貼り付け!O82*シミュレーション!$D$13+シミュレーションデータの貼り付け!S82*シミュレーション!$D$14+シミュレーションデータの貼り付け!W82*シミュレーション!$D$15</f>
        <v>0</v>
      </c>
      <c r="D82" s="29">
        <f>シミュレーションデータの貼り付け!D82*シミュレーション!$D$10+シミュレーションデータの貼り付け!H82*シミュレーション!$D$11+シミュレーションデータの貼り付け!L82*シミュレーション!$D$12+シミュレーションデータの貼り付け!P82*シミュレーション!$D$13+シミュレーションデータの貼り付け!T82*シミュレーション!$D$14+シミュレーションデータの貼り付け!X82*シミュレーション!$D$15</f>
        <v>0</v>
      </c>
      <c r="E82" s="29">
        <f>シミュレーションデータの貼り付け!E82*シミュレーション!$D$10+シミュレーションデータの貼り付け!I82*シミュレーション!$D$11+シミュレーションデータの貼り付け!M82*シミュレーション!$D$12+シミュレーションデータの貼り付け!Q82*シミュレーション!$D$13+シミュレーションデータの貼り付け!U82*シミュレーション!$D$14+シミュレーションデータの貼り付け!Y82*シミュレーション!$D$15</f>
        <v>0</v>
      </c>
      <c r="F82" s="30">
        <f>シミュレーションデータの貼り付け!F82*シミュレーション!$D$10+シミュレーションデータの貼り付け!J82*シミュレーション!$D$11+シミュレーションデータの貼り付け!N82*シミュレーション!$D$12+シミュレーションデータの貼り付け!R82*シミュレーション!$D$13+シミュレーションデータの貼り付け!V82*シミュレーション!$D$14+シミュレーションデータの貼り付け!Z82*シミュレーション!$D$15</f>
        <v>0</v>
      </c>
      <c r="H82" s="18">
        <v>79</v>
      </c>
      <c r="I82" s="87">
        <f>シミュレーション!$D$19</f>
        <v>0</v>
      </c>
      <c r="J82" s="87">
        <f>I82*(1+'シミュレーション計算用（変更不要）'!C82)</f>
        <v>0</v>
      </c>
      <c r="K82" s="87">
        <f>J82*(1+'シミュレーション計算用（変更不要）'!D82)</f>
        <v>0</v>
      </c>
      <c r="L82" s="87">
        <f>K82*(1+'シミュレーション計算用（変更不要）'!E82)</f>
        <v>0</v>
      </c>
      <c r="M82" s="44">
        <f>L82*(1+'シミュレーション計算用（変更不要）'!F82)</f>
        <v>0</v>
      </c>
      <c r="O82" s="18">
        <v>79</v>
      </c>
      <c r="P82" s="87">
        <f>BarriarOptionPrice(シミュレーション!$K$11,シミュレーション!$H$11,I82,1-P$3,シミュレーション!$I$11,シミュレーション!$J$11,シミュレーション!$D$10:$D$15)</f>
        <v>0</v>
      </c>
      <c r="Q82" s="87">
        <f>BarriarOptionPrice(シミュレーション!$K$11,シミュレーション!$H$11,J82,1-Q$3,シミュレーション!$I$11,シミュレーション!$J$11,シミュレーション!$D$10:$D$15)</f>
        <v>0</v>
      </c>
      <c r="R82" s="87">
        <f>BarriarOptionPrice(シミュレーション!$K$11,シミュレーション!$H$11,K82,1-R$3,シミュレーション!$I$11,シミュレーション!$J$11,シミュレーション!$D$10:$D$15)</f>
        <v>0</v>
      </c>
      <c r="S82" s="87">
        <f>BarriarOptionPrice(シミュレーション!$K$11,シミュレーション!$H$11,L82,1-S$3,シミュレーション!$I$11,シミュレーション!$J$11,シミュレーション!$D$10:$D$15)</f>
        <v>0</v>
      </c>
      <c r="T82" s="44">
        <f>BarriarOptionPrice(シミュレーション!$K$11,シミュレーション!$H$11,M82,1-T$3,シミュレーション!$I$11,シミュレーション!$J$11,シミュレーション!$D$10:$D$15)</f>
        <v>0</v>
      </c>
      <c r="V82" s="18">
        <v>79</v>
      </c>
      <c r="W82" s="87">
        <f>BarriarOptionPrice(シミュレーション!$K$12,シミュレーション!$H$12,I82,1-P$3,シミュレーション!$I$12,シミュレーション!$J$12,シミュレーション!$D$10:$D$15)</f>
        <v>0</v>
      </c>
      <c r="X82" s="87">
        <f>BarriarOptionPrice(シミュレーション!$K$12,シミュレーション!$H$12,J82,1-Q$3,シミュレーション!$I$12,シミュレーション!$J$12,シミュレーション!$D$10:$D$15)</f>
        <v>0</v>
      </c>
      <c r="Y82" s="87">
        <f>BarriarOptionPrice(シミュレーション!$K$12,シミュレーション!$H$12,K82,1-R$3,シミュレーション!$I$12,シミュレーション!$J$12,シミュレーション!$D$10:$D$15)</f>
        <v>0</v>
      </c>
      <c r="Z82" s="87">
        <f>BarriarOptionPrice(シミュレーション!$K$12,シミュレーション!$H$12,L82,1-S$3,シミュレーション!$I$12,シミュレーション!$J$12,シミュレーション!$D$10:$D$15)</f>
        <v>0</v>
      </c>
      <c r="AA82" s="44">
        <f>BarriarOptionPrice(シミュレーション!$K$12,シミュレーション!$H$12,M82,1-T$3,シミュレーション!$I$12,シミュレーション!$J$12,シミュレーション!$D$10:$D$15)</f>
        <v>0</v>
      </c>
    </row>
    <row r="83" spans="2:27" ht="14.25" x14ac:dyDescent="0.15">
      <c r="B83" s="18">
        <v>80</v>
      </c>
      <c r="C83" s="29">
        <f>シミュレーションデータの貼り付け!C83*シミュレーション!$D$10+シミュレーションデータの貼り付け!G83*シミュレーション!$D$11+シミュレーションデータの貼り付け!K83*シミュレーション!$D$12+シミュレーションデータの貼り付け!O83*シミュレーション!$D$13+シミュレーションデータの貼り付け!S83*シミュレーション!$D$14+シミュレーションデータの貼り付け!W83*シミュレーション!$D$15</f>
        <v>0</v>
      </c>
      <c r="D83" s="29">
        <f>シミュレーションデータの貼り付け!D83*シミュレーション!$D$10+シミュレーションデータの貼り付け!H83*シミュレーション!$D$11+シミュレーションデータの貼り付け!L83*シミュレーション!$D$12+シミュレーションデータの貼り付け!P83*シミュレーション!$D$13+シミュレーションデータの貼り付け!T83*シミュレーション!$D$14+シミュレーションデータの貼り付け!X83*シミュレーション!$D$15</f>
        <v>0</v>
      </c>
      <c r="E83" s="29">
        <f>シミュレーションデータの貼り付け!E83*シミュレーション!$D$10+シミュレーションデータの貼り付け!I83*シミュレーション!$D$11+シミュレーションデータの貼り付け!M83*シミュレーション!$D$12+シミュレーションデータの貼り付け!Q83*シミュレーション!$D$13+シミュレーションデータの貼り付け!U83*シミュレーション!$D$14+シミュレーションデータの貼り付け!Y83*シミュレーション!$D$15</f>
        <v>0</v>
      </c>
      <c r="F83" s="30">
        <f>シミュレーションデータの貼り付け!F83*シミュレーション!$D$10+シミュレーションデータの貼り付け!J83*シミュレーション!$D$11+シミュレーションデータの貼り付け!N83*シミュレーション!$D$12+シミュレーションデータの貼り付け!R83*シミュレーション!$D$13+シミュレーションデータの貼り付け!V83*シミュレーション!$D$14+シミュレーションデータの貼り付け!Z83*シミュレーション!$D$15</f>
        <v>0</v>
      </c>
      <c r="H83" s="18">
        <v>80</v>
      </c>
      <c r="I83" s="87">
        <f>シミュレーション!$D$19</f>
        <v>0</v>
      </c>
      <c r="J83" s="87">
        <f>I83*(1+'シミュレーション計算用（変更不要）'!C83)</f>
        <v>0</v>
      </c>
      <c r="K83" s="87">
        <f>J83*(1+'シミュレーション計算用（変更不要）'!D83)</f>
        <v>0</v>
      </c>
      <c r="L83" s="87">
        <f>K83*(1+'シミュレーション計算用（変更不要）'!E83)</f>
        <v>0</v>
      </c>
      <c r="M83" s="44">
        <f>L83*(1+'シミュレーション計算用（変更不要）'!F83)</f>
        <v>0</v>
      </c>
      <c r="O83" s="18">
        <v>80</v>
      </c>
      <c r="P83" s="87">
        <f>BarriarOptionPrice(シミュレーション!$K$11,シミュレーション!$H$11,I83,1-P$3,シミュレーション!$I$11,シミュレーション!$J$11,シミュレーション!$D$10:$D$15)</f>
        <v>0</v>
      </c>
      <c r="Q83" s="87">
        <f>BarriarOptionPrice(シミュレーション!$K$11,シミュレーション!$H$11,J83,1-Q$3,シミュレーション!$I$11,シミュレーション!$J$11,シミュレーション!$D$10:$D$15)</f>
        <v>0</v>
      </c>
      <c r="R83" s="87">
        <f>BarriarOptionPrice(シミュレーション!$K$11,シミュレーション!$H$11,K83,1-R$3,シミュレーション!$I$11,シミュレーション!$J$11,シミュレーション!$D$10:$D$15)</f>
        <v>0</v>
      </c>
      <c r="S83" s="87">
        <f>BarriarOptionPrice(シミュレーション!$K$11,シミュレーション!$H$11,L83,1-S$3,シミュレーション!$I$11,シミュレーション!$J$11,シミュレーション!$D$10:$D$15)</f>
        <v>0</v>
      </c>
      <c r="T83" s="44">
        <f>BarriarOptionPrice(シミュレーション!$K$11,シミュレーション!$H$11,M83,1-T$3,シミュレーション!$I$11,シミュレーション!$J$11,シミュレーション!$D$10:$D$15)</f>
        <v>0</v>
      </c>
      <c r="V83" s="18">
        <v>80</v>
      </c>
      <c r="W83" s="87">
        <f>BarriarOptionPrice(シミュレーション!$K$12,シミュレーション!$H$12,I83,1-P$3,シミュレーション!$I$12,シミュレーション!$J$12,シミュレーション!$D$10:$D$15)</f>
        <v>0</v>
      </c>
      <c r="X83" s="87">
        <f>BarriarOptionPrice(シミュレーション!$K$12,シミュレーション!$H$12,J83,1-Q$3,シミュレーション!$I$12,シミュレーション!$J$12,シミュレーション!$D$10:$D$15)</f>
        <v>0</v>
      </c>
      <c r="Y83" s="87">
        <f>BarriarOptionPrice(シミュレーション!$K$12,シミュレーション!$H$12,K83,1-R$3,シミュレーション!$I$12,シミュレーション!$J$12,シミュレーション!$D$10:$D$15)</f>
        <v>0</v>
      </c>
      <c r="Z83" s="87">
        <f>BarriarOptionPrice(シミュレーション!$K$12,シミュレーション!$H$12,L83,1-S$3,シミュレーション!$I$12,シミュレーション!$J$12,シミュレーション!$D$10:$D$15)</f>
        <v>0</v>
      </c>
      <c r="AA83" s="44">
        <f>BarriarOptionPrice(シミュレーション!$K$12,シミュレーション!$H$12,M83,1-T$3,シミュレーション!$I$12,シミュレーション!$J$12,シミュレーション!$D$10:$D$15)</f>
        <v>0</v>
      </c>
    </row>
    <row r="84" spans="2:27" ht="14.25" x14ac:dyDescent="0.15">
      <c r="B84" s="18">
        <v>81</v>
      </c>
      <c r="C84" s="29">
        <f>シミュレーションデータの貼り付け!C84*シミュレーション!$D$10+シミュレーションデータの貼り付け!G84*シミュレーション!$D$11+シミュレーションデータの貼り付け!K84*シミュレーション!$D$12+シミュレーションデータの貼り付け!O84*シミュレーション!$D$13+シミュレーションデータの貼り付け!S84*シミュレーション!$D$14+シミュレーションデータの貼り付け!W84*シミュレーション!$D$15</f>
        <v>0</v>
      </c>
      <c r="D84" s="29">
        <f>シミュレーションデータの貼り付け!D84*シミュレーション!$D$10+シミュレーションデータの貼り付け!H84*シミュレーション!$D$11+シミュレーションデータの貼り付け!L84*シミュレーション!$D$12+シミュレーションデータの貼り付け!P84*シミュレーション!$D$13+シミュレーションデータの貼り付け!T84*シミュレーション!$D$14+シミュレーションデータの貼り付け!X84*シミュレーション!$D$15</f>
        <v>0</v>
      </c>
      <c r="E84" s="29">
        <f>シミュレーションデータの貼り付け!E84*シミュレーション!$D$10+シミュレーションデータの貼り付け!I84*シミュレーション!$D$11+シミュレーションデータの貼り付け!M84*シミュレーション!$D$12+シミュレーションデータの貼り付け!Q84*シミュレーション!$D$13+シミュレーションデータの貼り付け!U84*シミュレーション!$D$14+シミュレーションデータの貼り付け!Y84*シミュレーション!$D$15</f>
        <v>0</v>
      </c>
      <c r="F84" s="30">
        <f>シミュレーションデータの貼り付け!F84*シミュレーション!$D$10+シミュレーションデータの貼り付け!J84*シミュレーション!$D$11+シミュレーションデータの貼り付け!N84*シミュレーション!$D$12+シミュレーションデータの貼り付け!R84*シミュレーション!$D$13+シミュレーションデータの貼り付け!V84*シミュレーション!$D$14+シミュレーションデータの貼り付け!Z84*シミュレーション!$D$15</f>
        <v>0</v>
      </c>
      <c r="H84" s="18">
        <v>81</v>
      </c>
      <c r="I84" s="87">
        <f>シミュレーション!$D$19</f>
        <v>0</v>
      </c>
      <c r="J84" s="87">
        <f>I84*(1+'シミュレーション計算用（変更不要）'!C84)</f>
        <v>0</v>
      </c>
      <c r="K84" s="87">
        <f>J84*(1+'シミュレーション計算用（変更不要）'!D84)</f>
        <v>0</v>
      </c>
      <c r="L84" s="87">
        <f>K84*(1+'シミュレーション計算用（変更不要）'!E84)</f>
        <v>0</v>
      </c>
      <c r="M84" s="44">
        <f>L84*(1+'シミュレーション計算用（変更不要）'!F84)</f>
        <v>0</v>
      </c>
      <c r="O84" s="18">
        <v>81</v>
      </c>
      <c r="P84" s="87">
        <f>BarriarOptionPrice(シミュレーション!$K$11,シミュレーション!$H$11,I84,1-P$3,シミュレーション!$I$11,シミュレーション!$J$11,シミュレーション!$D$10:$D$15)</f>
        <v>0</v>
      </c>
      <c r="Q84" s="87">
        <f>BarriarOptionPrice(シミュレーション!$K$11,シミュレーション!$H$11,J84,1-Q$3,シミュレーション!$I$11,シミュレーション!$J$11,シミュレーション!$D$10:$D$15)</f>
        <v>0</v>
      </c>
      <c r="R84" s="87">
        <f>BarriarOptionPrice(シミュレーション!$K$11,シミュレーション!$H$11,K84,1-R$3,シミュレーション!$I$11,シミュレーション!$J$11,シミュレーション!$D$10:$D$15)</f>
        <v>0</v>
      </c>
      <c r="S84" s="87">
        <f>BarriarOptionPrice(シミュレーション!$K$11,シミュレーション!$H$11,L84,1-S$3,シミュレーション!$I$11,シミュレーション!$J$11,シミュレーション!$D$10:$D$15)</f>
        <v>0</v>
      </c>
      <c r="T84" s="44">
        <f>BarriarOptionPrice(シミュレーション!$K$11,シミュレーション!$H$11,M84,1-T$3,シミュレーション!$I$11,シミュレーション!$J$11,シミュレーション!$D$10:$D$15)</f>
        <v>0</v>
      </c>
      <c r="V84" s="18">
        <v>81</v>
      </c>
      <c r="W84" s="87">
        <f>BarriarOptionPrice(シミュレーション!$K$12,シミュレーション!$H$12,I84,1-P$3,シミュレーション!$I$12,シミュレーション!$J$12,シミュレーション!$D$10:$D$15)</f>
        <v>0</v>
      </c>
      <c r="X84" s="87">
        <f>BarriarOptionPrice(シミュレーション!$K$12,シミュレーション!$H$12,J84,1-Q$3,シミュレーション!$I$12,シミュレーション!$J$12,シミュレーション!$D$10:$D$15)</f>
        <v>0</v>
      </c>
      <c r="Y84" s="87">
        <f>BarriarOptionPrice(シミュレーション!$K$12,シミュレーション!$H$12,K84,1-R$3,シミュレーション!$I$12,シミュレーション!$J$12,シミュレーション!$D$10:$D$15)</f>
        <v>0</v>
      </c>
      <c r="Z84" s="87">
        <f>BarriarOptionPrice(シミュレーション!$K$12,シミュレーション!$H$12,L84,1-S$3,シミュレーション!$I$12,シミュレーション!$J$12,シミュレーション!$D$10:$D$15)</f>
        <v>0</v>
      </c>
      <c r="AA84" s="44">
        <f>BarriarOptionPrice(シミュレーション!$K$12,シミュレーション!$H$12,M84,1-T$3,シミュレーション!$I$12,シミュレーション!$J$12,シミュレーション!$D$10:$D$15)</f>
        <v>0</v>
      </c>
    </row>
    <row r="85" spans="2:27" ht="14.25" x14ac:dyDescent="0.15">
      <c r="B85" s="18">
        <v>82</v>
      </c>
      <c r="C85" s="29">
        <f>シミュレーションデータの貼り付け!C85*シミュレーション!$D$10+シミュレーションデータの貼り付け!G85*シミュレーション!$D$11+シミュレーションデータの貼り付け!K85*シミュレーション!$D$12+シミュレーションデータの貼り付け!O85*シミュレーション!$D$13+シミュレーションデータの貼り付け!S85*シミュレーション!$D$14+シミュレーションデータの貼り付け!W85*シミュレーション!$D$15</f>
        <v>0</v>
      </c>
      <c r="D85" s="29">
        <f>シミュレーションデータの貼り付け!D85*シミュレーション!$D$10+シミュレーションデータの貼り付け!H85*シミュレーション!$D$11+シミュレーションデータの貼り付け!L85*シミュレーション!$D$12+シミュレーションデータの貼り付け!P85*シミュレーション!$D$13+シミュレーションデータの貼り付け!T85*シミュレーション!$D$14+シミュレーションデータの貼り付け!X85*シミュレーション!$D$15</f>
        <v>0</v>
      </c>
      <c r="E85" s="29">
        <f>シミュレーションデータの貼り付け!E85*シミュレーション!$D$10+シミュレーションデータの貼り付け!I85*シミュレーション!$D$11+シミュレーションデータの貼り付け!M85*シミュレーション!$D$12+シミュレーションデータの貼り付け!Q85*シミュレーション!$D$13+シミュレーションデータの貼り付け!U85*シミュレーション!$D$14+シミュレーションデータの貼り付け!Y85*シミュレーション!$D$15</f>
        <v>0</v>
      </c>
      <c r="F85" s="30">
        <f>シミュレーションデータの貼り付け!F85*シミュレーション!$D$10+シミュレーションデータの貼り付け!J85*シミュレーション!$D$11+シミュレーションデータの貼り付け!N85*シミュレーション!$D$12+シミュレーションデータの貼り付け!R85*シミュレーション!$D$13+シミュレーションデータの貼り付け!V85*シミュレーション!$D$14+シミュレーションデータの貼り付け!Z85*シミュレーション!$D$15</f>
        <v>0</v>
      </c>
      <c r="H85" s="18">
        <v>82</v>
      </c>
      <c r="I85" s="87">
        <f>シミュレーション!$D$19</f>
        <v>0</v>
      </c>
      <c r="J85" s="87">
        <f>I85*(1+'シミュレーション計算用（変更不要）'!C85)</f>
        <v>0</v>
      </c>
      <c r="K85" s="87">
        <f>J85*(1+'シミュレーション計算用（変更不要）'!D85)</f>
        <v>0</v>
      </c>
      <c r="L85" s="87">
        <f>K85*(1+'シミュレーション計算用（変更不要）'!E85)</f>
        <v>0</v>
      </c>
      <c r="M85" s="44">
        <f>L85*(1+'シミュレーション計算用（変更不要）'!F85)</f>
        <v>0</v>
      </c>
      <c r="O85" s="18">
        <v>82</v>
      </c>
      <c r="P85" s="87">
        <f>BarriarOptionPrice(シミュレーション!$K$11,シミュレーション!$H$11,I85,1-P$3,シミュレーション!$I$11,シミュレーション!$J$11,シミュレーション!$D$10:$D$15)</f>
        <v>0</v>
      </c>
      <c r="Q85" s="87">
        <f>BarriarOptionPrice(シミュレーション!$K$11,シミュレーション!$H$11,J85,1-Q$3,シミュレーション!$I$11,シミュレーション!$J$11,シミュレーション!$D$10:$D$15)</f>
        <v>0</v>
      </c>
      <c r="R85" s="87">
        <f>BarriarOptionPrice(シミュレーション!$K$11,シミュレーション!$H$11,K85,1-R$3,シミュレーション!$I$11,シミュレーション!$J$11,シミュレーション!$D$10:$D$15)</f>
        <v>0</v>
      </c>
      <c r="S85" s="87">
        <f>BarriarOptionPrice(シミュレーション!$K$11,シミュレーション!$H$11,L85,1-S$3,シミュレーション!$I$11,シミュレーション!$J$11,シミュレーション!$D$10:$D$15)</f>
        <v>0</v>
      </c>
      <c r="T85" s="44">
        <f>BarriarOptionPrice(シミュレーション!$K$11,シミュレーション!$H$11,M85,1-T$3,シミュレーション!$I$11,シミュレーション!$J$11,シミュレーション!$D$10:$D$15)</f>
        <v>0</v>
      </c>
      <c r="V85" s="18">
        <v>82</v>
      </c>
      <c r="W85" s="87">
        <f>BarriarOptionPrice(シミュレーション!$K$12,シミュレーション!$H$12,I85,1-P$3,シミュレーション!$I$12,シミュレーション!$J$12,シミュレーション!$D$10:$D$15)</f>
        <v>0</v>
      </c>
      <c r="X85" s="87">
        <f>BarriarOptionPrice(シミュレーション!$K$12,シミュレーション!$H$12,J85,1-Q$3,シミュレーション!$I$12,シミュレーション!$J$12,シミュレーション!$D$10:$D$15)</f>
        <v>0</v>
      </c>
      <c r="Y85" s="87">
        <f>BarriarOptionPrice(シミュレーション!$K$12,シミュレーション!$H$12,K85,1-R$3,シミュレーション!$I$12,シミュレーション!$J$12,シミュレーション!$D$10:$D$15)</f>
        <v>0</v>
      </c>
      <c r="Z85" s="87">
        <f>BarriarOptionPrice(シミュレーション!$K$12,シミュレーション!$H$12,L85,1-S$3,シミュレーション!$I$12,シミュレーション!$J$12,シミュレーション!$D$10:$D$15)</f>
        <v>0</v>
      </c>
      <c r="AA85" s="44">
        <f>BarriarOptionPrice(シミュレーション!$K$12,シミュレーション!$H$12,M85,1-T$3,シミュレーション!$I$12,シミュレーション!$J$12,シミュレーション!$D$10:$D$15)</f>
        <v>0</v>
      </c>
    </row>
    <row r="86" spans="2:27" ht="14.25" x14ac:dyDescent="0.15">
      <c r="B86" s="18">
        <v>83</v>
      </c>
      <c r="C86" s="29">
        <f>シミュレーションデータの貼り付け!C86*シミュレーション!$D$10+シミュレーションデータの貼り付け!G86*シミュレーション!$D$11+シミュレーションデータの貼り付け!K86*シミュレーション!$D$12+シミュレーションデータの貼り付け!O86*シミュレーション!$D$13+シミュレーションデータの貼り付け!S86*シミュレーション!$D$14+シミュレーションデータの貼り付け!W86*シミュレーション!$D$15</f>
        <v>0</v>
      </c>
      <c r="D86" s="29">
        <f>シミュレーションデータの貼り付け!D86*シミュレーション!$D$10+シミュレーションデータの貼り付け!H86*シミュレーション!$D$11+シミュレーションデータの貼り付け!L86*シミュレーション!$D$12+シミュレーションデータの貼り付け!P86*シミュレーション!$D$13+シミュレーションデータの貼り付け!T86*シミュレーション!$D$14+シミュレーションデータの貼り付け!X86*シミュレーション!$D$15</f>
        <v>0</v>
      </c>
      <c r="E86" s="29">
        <f>シミュレーションデータの貼り付け!E86*シミュレーション!$D$10+シミュレーションデータの貼り付け!I86*シミュレーション!$D$11+シミュレーションデータの貼り付け!M86*シミュレーション!$D$12+シミュレーションデータの貼り付け!Q86*シミュレーション!$D$13+シミュレーションデータの貼り付け!U86*シミュレーション!$D$14+シミュレーションデータの貼り付け!Y86*シミュレーション!$D$15</f>
        <v>0</v>
      </c>
      <c r="F86" s="30">
        <f>シミュレーションデータの貼り付け!F86*シミュレーション!$D$10+シミュレーションデータの貼り付け!J86*シミュレーション!$D$11+シミュレーションデータの貼り付け!N86*シミュレーション!$D$12+シミュレーションデータの貼り付け!R86*シミュレーション!$D$13+シミュレーションデータの貼り付け!V86*シミュレーション!$D$14+シミュレーションデータの貼り付け!Z86*シミュレーション!$D$15</f>
        <v>0</v>
      </c>
      <c r="H86" s="18">
        <v>83</v>
      </c>
      <c r="I86" s="87">
        <f>シミュレーション!$D$19</f>
        <v>0</v>
      </c>
      <c r="J86" s="87">
        <f>I86*(1+'シミュレーション計算用（変更不要）'!C86)</f>
        <v>0</v>
      </c>
      <c r="K86" s="87">
        <f>J86*(1+'シミュレーション計算用（変更不要）'!D86)</f>
        <v>0</v>
      </c>
      <c r="L86" s="87">
        <f>K86*(1+'シミュレーション計算用（変更不要）'!E86)</f>
        <v>0</v>
      </c>
      <c r="M86" s="44">
        <f>L86*(1+'シミュレーション計算用（変更不要）'!F86)</f>
        <v>0</v>
      </c>
      <c r="O86" s="18">
        <v>83</v>
      </c>
      <c r="P86" s="87">
        <f>BarriarOptionPrice(シミュレーション!$K$11,シミュレーション!$H$11,I86,1-P$3,シミュレーション!$I$11,シミュレーション!$J$11,シミュレーション!$D$10:$D$15)</f>
        <v>0</v>
      </c>
      <c r="Q86" s="87">
        <f>BarriarOptionPrice(シミュレーション!$K$11,シミュレーション!$H$11,J86,1-Q$3,シミュレーション!$I$11,シミュレーション!$J$11,シミュレーション!$D$10:$D$15)</f>
        <v>0</v>
      </c>
      <c r="R86" s="87">
        <f>BarriarOptionPrice(シミュレーション!$K$11,シミュレーション!$H$11,K86,1-R$3,シミュレーション!$I$11,シミュレーション!$J$11,シミュレーション!$D$10:$D$15)</f>
        <v>0</v>
      </c>
      <c r="S86" s="87">
        <f>BarriarOptionPrice(シミュレーション!$K$11,シミュレーション!$H$11,L86,1-S$3,シミュレーション!$I$11,シミュレーション!$J$11,シミュレーション!$D$10:$D$15)</f>
        <v>0</v>
      </c>
      <c r="T86" s="44">
        <f>BarriarOptionPrice(シミュレーション!$K$11,シミュレーション!$H$11,M86,1-T$3,シミュレーション!$I$11,シミュレーション!$J$11,シミュレーション!$D$10:$D$15)</f>
        <v>0</v>
      </c>
      <c r="V86" s="18">
        <v>83</v>
      </c>
      <c r="W86" s="87">
        <f>BarriarOptionPrice(シミュレーション!$K$12,シミュレーション!$H$12,I86,1-P$3,シミュレーション!$I$12,シミュレーション!$J$12,シミュレーション!$D$10:$D$15)</f>
        <v>0</v>
      </c>
      <c r="X86" s="87">
        <f>BarriarOptionPrice(シミュレーション!$K$12,シミュレーション!$H$12,J86,1-Q$3,シミュレーション!$I$12,シミュレーション!$J$12,シミュレーション!$D$10:$D$15)</f>
        <v>0</v>
      </c>
      <c r="Y86" s="87">
        <f>BarriarOptionPrice(シミュレーション!$K$12,シミュレーション!$H$12,K86,1-R$3,シミュレーション!$I$12,シミュレーション!$J$12,シミュレーション!$D$10:$D$15)</f>
        <v>0</v>
      </c>
      <c r="Z86" s="87">
        <f>BarriarOptionPrice(シミュレーション!$K$12,シミュレーション!$H$12,L86,1-S$3,シミュレーション!$I$12,シミュレーション!$J$12,シミュレーション!$D$10:$D$15)</f>
        <v>0</v>
      </c>
      <c r="AA86" s="44">
        <f>BarriarOptionPrice(シミュレーション!$K$12,シミュレーション!$H$12,M86,1-T$3,シミュレーション!$I$12,シミュレーション!$J$12,シミュレーション!$D$10:$D$15)</f>
        <v>0</v>
      </c>
    </row>
    <row r="87" spans="2:27" ht="14.25" x14ac:dyDescent="0.15">
      <c r="B87" s="18">
        <v>84</v>
      </c>
      <c r="C87" s="29">
        <f>シミュレーションデータの貼り付け!C87*シミュレーション!$D$10+シミュレーションデータの貼り付け!G87*シミュレーション!$D$11+シミュレーションデータの貼り付け!K87*シミュレーション!$D$12+シミュレーションデータの貼り付け!O87*シミュレーション!$D$13+シミュレーションデータの貼り付け!S87*シミュレーション!$D$14+シミュレーションデータの貼り付け!W87*シミュレーション!$D$15</f>
        <v>0</v>
      </c>
      <c r="D87" s="29">
        <f>シミュレーションデータの貼り付け!D87*シミュレーション!$D$10+シミュレーションデータの貼り付け!H87*シミュレーション!$D$11+シミュレーションデータの貼り付け!L87*シミュレーション!$D$12+シミュレーションデータの貼り付け!P87*シミュレーション!$D$13+シミュレーションデータの貼り付け!T87*シミュレーション!$D$14+シミュレーションデータの貼り付け!X87*シミュレーション!$D$15</f>
        <v>0</v>
      </c>
      <c r="E87" s="29">
        <f>シミュレーションデータの貼り付け!E87*シミュレーション!$D$10+シミュレーションデータの貼り付け!I87*シミュレーション!$D$11+シミュレーションデータの貼り付け!M87*シミュレーション!$D$12+シミュレーションデータの貼り付け!Q87*シミュレーション!$D$13+シミュレーションデータの貼り付け!U87*シミュレーション!$D$14+シミュレーションデータの貼り付け!Y87*シミュレーション!$D$15</f>
        <v>0</v>
      </c>
      <c r="F87" s="30">
        <f>シミュレーションデータの貼り付け!F87*シミュレーション!$D$10+シミュレーションデータの貼り付け!J87*シミュレーション!$D$11+シミュレーションデータの貼り付け!N87*シミュレーション!$D$12+シミュレーションデータの貼り付け!R87*シミュレーション!$D$13+シミュレーションデータの貼り付け!V87*シミュレーション!$D$14+シミュレーションデータの貼り付け!Z87*シミュレーション!$D$15</f>
        <v>0</v>
      </c>
      <c r="H87" s="18">
        <v>84</v>
      </c>
      <c r="I87" s="87">
        <f>シミュレーション!$D$19</f>
        <v>0</v>
      </c>
      <c r="J87" s="87">
        <f>I87*(1+'シミュレーション計算用（変更不要）'!C87)</f>
        <v>0</v>
      </c>
      <c r="K87" s="87">
        <f>J87*(1+'シミュレーション計算用（変更不要）'!D87)</f>
        <v>0</v>
      </c>
      <c r="L87" s="87">
        <f>K87*(1+'シミュレーション計算用（変更不要）'!E87)</f>
        <v>0</v>
      </c>
      <c r="M87" s="44">
        <f>L87*(1+'シミュレーション計算用（変更不要）'!F87)</f>
        <v>0</v>
      </c>
      <c r="O87" s="18">
        <v>84</v>
      </c>
      <c r="P87" s="87">
        <f>BarriarOptionPrice(シミュレーション!$K$11,シミュレーション!$H$11,I87,1-P$3,シミュレーション!$I$11,シミュレーション!$J$11,シミュレーション!$D$10:$D$15)</f>
        <v>0</v>
      </c>
      <c r="Q87" s="87">
        <f>BarriarOptionPrice(シミュレーション!$K$11,シミュレーション!$H$11,J87,1-Q$3,シミュレーション!$I$11,シミュレーション!$J$11,シミュレーション!$D$10:$D$15)</f>
        <v>0</v>
      </c>
      <c r="R87" s="87">
        <f>BarriarOptionPrice(シミュレーション!$K$11,シミュレーション!$H$11,K87,1-R$3,シミュレーション!$I$11,シミュレーション!$J$11,シミュレーション!$D$10:$D$15)</f>
        <v>0</v>
      </c>
      <c r="S87" s="87">
        <f>BarriarOptionPrice(シミュレーション!$K$11,シミュレーション!$H$11,L87,1-S$3,シミュレーション!$I$11,シミュレーション!$J$11,シミュレーション!$D$10:$D$15)</f>
        <v>0</v>
      </c>
      <c r="T87" s="44">
        <f>BarriarOptionPrice(シミュレーション!$K$11,シミュレーション!$H$11,M87,1-T$3,シミュレーション!$I$11,シミュレーション!$J$11,シミュレーション!$D$10:$D$15)</f>
        <v>0</v>
      </c>
      <c r="V87" s="18">
        <v>84</v>
      </c>
      <c r="W87" s="87">
        <f>BarriarOptionPrice(シミュレーション!$K$12,シミュレーション!$H$12,I87,1-P$3,シミュレーション!$I$12,シミュレーション!$J$12,シミュレーション!$D$10:$D$15)</f>
        <v>0</v>
      </c>
      <c r="X87" s="87">
        <f>BarriarOptionPrice(シミュレーション!$K$12,シミュレーション!$H$12,J87,1-Q$3,シミュレーション!$I$12,シミュレーション!$J$12,シミュレーション!$D$10:$D$15)</f>
        <v>0</v>
      </c>
      <c r="Y87" s="87">
        <f>BarriarOptionPrice(シミュレーション!$K$12,シミュレーション!$H$12,K87,1-R$3,シミュレーション!$I$12,シミュレーション!$J$12,シミュレーション!$D$10:$D$15)</f>
        <v>0</v>
      </c>
      <c r="Z87" s="87">
        <f>BarriarOptionPrice(シミュレーション!$K$12,シミュレーション!$H$12,L87,1-S$3,シミュレーション!$I$12,シミュレーション!$J$12,シミュレーション!$D$10:$D$15)</f>
        <v>0</v>
      </c>
      <c r="AA87" s="44">
        <f>BarriarOptionPrice(シミュレーション!$K$12,シミュレーション!$H$12,M87,1-T$3,シミュレーション!$I$12,シミュレーション!$J$12,シミュレーション!$D$10:$D$15)</f>
        <v>0</v>
      </c>
    </row>
    <row r="88" spans="2:27" ht="14.25" x14ac:dyDescent="0.15">
      <c r="B88" s="18">
        <v>85</v>
      </c>
      <c r="C88" s="29">
        <f>シミュレーションデータの貼り付け!C88*シミュレーション!$D$10+シミュレーションデータの貼り付け!G88*シミュレーション!$D$11+シミュレーションデータの貼り付け!K88*シミュレーション!$D$12+シミュレーションデータの貼り付け!O88*シミュレーション!$D$13+シミュレーションデータの貼り付け!S88*シミュレーション!$D$14+シミュレーションデータの貼り付け!W88*シミュレーション!$D$15</f>
        <v>0</v>
      </c>
      <c r="D88" s="29">
        <f>シミュレーションデータの貼り付け!D88*シミュレーション!$D$10+シミュレーションデータの貼り付け!H88*シミュレーション!$D$11+シミュレーションデータの貼り付け!L88*シミュレーション!$D$12+シミュレーションデータの貼り付け!P88*シミュレーション!$D$13+シミュレーションデータの貼り付け!T88*シミュレーション!$D$14+シミュレーションデータの貼り付け!X88*シミュレーション!$D$15</f>
        <v>0</v>
      </c>
      <c r="E88" s="29">
        <f>シミュレーションデータの貼り付け!E88*シミュレーション!$D$10+シミュレーションデータの貼り付け!I88*シミュレーション!$D$11+シミュレーションデータの貼り付け!M88*シミュレーション!$D$12+シミュレーションデータの貼り付け!Q88*シミュレーション!$D$13+シミュレーションデータの貼り付け!U88*シミュレーション!$D$14+シミュレーションデータの貼り付け!Y88*シミュレーション!$D$15</f>
        <v>0</v>
      </c>
      <c r="F88" s="30">
        <f>シミュレーションデータの貼り付け!F88*シミュレーション!$D$10+シミュレーションデータの貼り付け!J88*シミュレーション!$D$11+シミュレーションデータの貼り付け!N88*シミュレーション!$D$12+シミュレーションデータの貼り付け!R88*シミュレーション!$D$13+シミュレーションデータの貼り付け!V88*シミュレーション!$D$14+シミュレーションデータの貼り付け!Z88*シミュレーション!$D$15</f>
        <v>0</v>
      </c>
      <c r="H88" s="18">
        <v>85</v>
      </c>
      <c r="I88" s="87">
        <f>シミュレーション!$D$19</f>
        <v>0</v>
      </c>
      <c r="J88" s="87">
        <f>I88*(1+'シミュレーション計算用（変更不要）'!C88)</f>
        <v>0</v>
      </c>
      <c r="K88" s="87">
        <f>J88*(1+'シミュレーション計算用（変更不要）'!D88)</f>
        <v>0</v>
      </c>
      <c r="L88" s="87">
        <f>K88*(1+'シミュレーション計算用（変更不要）'!E88)</f>
        <v>0</v>
      </c>
      <c r="M88" s="44">
        <f>L88*(1+'シミュレーション計算用（変更不要）'!F88)</f>
        <v>0</v>
      </c>
      <c r="O88" s="18">
        <v>85</v>
      </c>
      <c r="P88" s="87">
        <f>BarriarOptionPrice(シミュレーション!$K$11,シミュレーション!$H$11,I88,1-P$3,シミュレーション!$I$11,シミュレーション!$J$11,シミュレーション!$D$10:$D$15)</f>
        <v>0</v>
      </c>
      <c r="Q88" s="87">
        <f>BarriarOptionPrice(シミュレーション!$K$11,シミュレーション!$H$11,J88,1-Q$3,シミュレーション!$I$11,シミュレーション!$J$11,シミュレーション!$D$10:$D$15)</f>
        <v>0</v>
      </c>
      <c r="R88" s="87">
        <f>BarriarOptionPrice(シミュレーション!$K$11,シミュレーション!$H$11,K88,1-R$3,シミュレーション!$I$11,シミュレーション!$J$11,シミュレーション!$D$10:$D$15)</f>
        <v>0</v>
      </c>
      <c r="S88" s="87">
        <f>BarriarOptionPrice(シミュレーション!$K$11,シミュレーション!$H$11,L88,1-S$3,シミュレーション!$I$11,シミュレーション!$J$11,シミュレーション!$D$10:$D$15)</f>
        <v>0</v>
      </c>
      <c r="T88" s="44">
        <f>BarriarOptionPrice(シミュレーション!$K$11,シミュレーション!$H$11,M88,1-T$3,シミュレーション!$I$11,シミュレーション!$J$11,シミュレーション!$D$10:$D$15)</f>
        <v>0</v>
      </c>
      <c r="V88" s="18">
        <v>85</v>
      </c>
      <c r="W88" s="87">
        <f>BarriarOptionPrice(シミュレーション!$K$12,シミュレーション!$H$12,I88,1-P$3,シミュレーション!$I$12,シミュレーション!$J$12,シミュレーション!$D$10:$D$15)</f>
        <v>0</v>
      </c>
      <c r="X88" s="87">
        <f>BarriarOptionPrice(シミュレーション!$K$12,シミュレーション!$H$12,J88,1-Q$3,シミュレーション!$I$12,シミュレーション!$J$12,シミュレーション!$D$10:$D$15)</f>
        <v>0</v>
      </c>
      <c r="Y88" s="87">
        <f>BarriarOptionPrice(シミュレーション!$K$12,シミュレーション!$H$12,K88,1-R$3,シミュレーション!$I$12,シミュレーション!$J$12,シミュレーション!$D$10:$D$15)</f>
        <v>0</v>
      </c>
      <c r="Z88" s="87">
        <f>BarriarOptionPrice(シミュレーション!$K$12,シミュレーション!$H$12,L88,1-S$3,シミュレーション!$I$12,シミュレーション!$J$12,シミュレーション!$D$10:$D$15)</f>
        <v>0</v>
      </c>
      <c r="AA88" s="44">
        <f>BarriarOptionPrice(シミュレーション!$K$12,シミュレーション!$H$12,M88,1-T$3,シミュレーション!$I$12,シミュレーション!$J$12,シミュレーション!$D$10:$D$15)</f>
        <v>0</v>
      </c>
    </row>
    <row r="89" spans="2:27" ht="14.25" x14ac:dyDescent="0.15">
      <c r="B89" s="18">
        <v>86</v>
      </c>
      <c r="C89" s="29">
        <f>シミュレーションデータの貼り付け!C89*シミュレーション!$D$10+シミュレーションデータの貼り付け!G89*シミュレーション!$D$11+シミュレーションデータの貼り付け!K89*シミュレーション!$D$12+シミュレーションデータの貼り付け!O89*シミュレーション!$D$13+シミュレーションデータの貼り付け!S89*シミュレーション!$D$14+シミュレーションデータの貼り付け!W89*シミュレーション!$D$15</f>
        <v>0</v>
      </c>
      <c r="D89" s="29">
        <f>シミュレーションデータの貼り付け!D89*シミュレーション!$D$10+シミュレーションデータの貼り付け!H89*シミュレーション!$D$11+シミュレーションデータの貼り付け!L89*シミュレーション!$D$12+シミュレーションデータの貼り付け!P89*シミュレーション!$D$13+シミュレーションデータの貼り付け!T89*シミュレーション!$D$14+シミュレーションデータの貼り付け!X89*シミュレーション!$D$15</f>
        <v>0</v>
      </c>
      <c r="E89" s="29">
        <f>シミュレーションデータの貼り付け!E89*シミュレーション!$D$10+シミュレーションデータの貼り付け!I89*シミュレーション!$D$11+シミュレーションデータの貼り付け!M89*シミュレーション!$D$12+シミュレーションデータの貼り付け!Q89*シミュレーション!$D$13+シミュレーションデータの貼り付け!U89*シミュレーション!$D$14+シミュレーションデータの貼り付け!Y89*シミュレーション!$D$15</f>
        <v>0</v>
      </c>
      <c r="F89" s="30">
        <f>シミュレーションデータの貼り付け!F89*シミュレーション!$D$10+シミュレーションデータの貼り付け!J89*シミュレーション!$D$11+シミュレーションデータの貼り付け!N89*シミュレーション!$D$12+シミュレーションデータの貼り付け!R89*シミュレーション!$D$13+シミュレーションデータの貼り付け!V89*シミュレーション!$D$14+シミュレーションデータの貼り付け!Z89*シミュレーション!$D$15</f>
        <v>0</v>
      </c>
      <c r="H89" s="18">
        <v>86</v>
      </c>
      <c r="I89" s="87">
        <f>シミュレーション!$D$19</f>
        <v>0</v>
      </c>
      <c r="J89" s="87">
        <f>I89*(1+'シミュレーション計算用（変更不要）'!C89)</f>
        <v>0</v>
      </c>
      <c r="K89" s="87">
        <f>J89*(1+'シミュレーション計算用（変更不要）'!D89)</f>
        <v>0</v>
      </c>
      <c r="L89" s="87">
        <f>K89*(1+'シミュレーション計算用（変更不要）'!E89)</f>
        <v>0</v>
      </c>
      <c r="M89" s="44">
        <f>L89*(1+'シミュレーション計算用（変更不要）'!F89)</f>
        <v>0</v>
      </c>
      <c r="O89" s="18">
        <v>86</v>
      </c>
      <c r="P89" s="87">
        <f>BarriarOptionPrice(シミュレーション!$K$11,シミュレーション!$H$11,I89,1-P$3,シミュレーション!$I$11,シミュレーション!$J$11,シミュレーション!$D$10:$D$15)</f>
        <v>0</v>
      </c>
      <c r="Q89" s="87">
        <f>BarriarOptionPrice(シミュレーション!$K$11,シミュレーション!$H$11,J89,1-Q$3,シミュレーション!$I$11,シミュレーション!$J$11,シミュレーション!$D$10:$D$15)</f>
        <v>0</v>
      </c>
      <c r="R89" s="87">
        <f>BarriarOptionPrice(シミュレーション!$K$11,シミュレーション!$H$11,K89,1-R$3,シミュレーション!$I$11,シミュレーション!$J$11,シミュレーション!$D$10:$D$15)</f>
        <v>0</v>
      </c>
      <c r="S89" s="87">
        <f>BarriarOptionPrice(シミュレーション!$K$11,シミュレーション!$H$11,L89,1-S$3,シミュレーション!$I$11,シミュレーション!$J$11,シミュレーション!$D$10:$D$15)</f>
        <v>0</v>
      </c>
      <c r="T89" s="44">
        <f>BarriarOptionPrice(シミュレーション!$K$11,シミュレーション!$H$11,M89,1-T$3,シミュレーション!$I$11,シミュレーション!$J$11,シミュレーション!$D$10:$D$15)</f>
        <v>0</v>
      </c>
      <c r="V89" s="18">
        <v>86</v>
      </c>
      <c r="W89" s="87">
        <f>BarriarOptionPrice(シミュレーション!$K$12,シミュレーション!$H$12,I89,1-P$3,シミュレーション!$I$12,シミュレーション!$J$12,シミュレーション!$D$10:$D$15)</f>
        <v>0</v>
      </c>
      <c r="X89" s="87">
        <f>BarriarOptionPrice(シミュレーション!$K$12,シミュレーション!$H$12,J89,1-Q$3,シミュレーション!$I$12,シミュレーション!$J$12,シミュレーション!$D$10:$D$15)</f>
        <v>0</v>
      </c>
      <c r="Y89" s="87">
        <f>BarriarOptionPrice(シミュレーション!$K$12,シミュレーション!$H$12,K89,1-R$3,シミュレーション!$I$12,シミュレーション!$J$12,シミュレーション!$D$10:$D$15)</f>
        <v>0</v>
      </c>
      <c r="Z89" s="87">
        <f>BarriarOptionPrice(シミュレーション!$K$12,シミュレーション!$H$12,L89,1-S$3,シミュレーション!$I$12,シミュレーション!$J$12,シミュレーション!$D$10:$D$15)</f>
        <v>0</v>
      </c>
      <c r="AA89" s="44">
        <f>BarriarOptionPrice(シミュレーション!$K$12,シミュレーション!$H$12,M89,1-T$3,シミュレーション!$I$12,シミュレーション!$J$12,シミュレーション!$D$10:$D$15)</f>
        <v>0</v>
      </c>
    </row>
    <row r="90" spans="2:27" ht="14.25" x14ac:dyDescent="0.15">
      <c r="B90" s="18">
        <v>87</v>
      </c>
      <c r="C90" s="29">
        <f>シミュレーションデータの貼り付け!C90*シミュレーション!$D$10+シミュレーションデータの貼り付け!G90*シミュレーション!$D$11+シミュレーションデータの貼り付け!K90*シミュレーション!$D$12+シミュレーションデータの貼り付け!O90*シミュレーション!$D$13+シミュレーションデータの貼り付け!S90*シミュレーション!$D$14+シミュレーションデータの貼り付け!W90*シミュレーション!$D$15</f>
        <v>0</v>
      </c>
      <c r="D90" s="29">
        <f>シミュレーションデータの貼り付け!D90*シミュレーション!$D$10+シミュレーションデータの貼り付け!H90*シミュレーション!$D$11+シミュレーションデータの貼り付け!L90*シミュレーション!$D$12+シミュレーションデータの貼り付け!P90*シミュレーション!$D$13+シミュレーションデータの貼り付け!T90*シミュレーション!$D$14+シミュレーションデータの貼り付け!X90*シミュレーション!$D$15</f>
        <v>0</v>
      </c>
      <c r="E90" s="29">
        <f>シミュレーションデータの貼り付け!E90*シミュレーション!$D$10+シミュレーションデータの貼り付け!I90*シミュレーション!$D$11+シミュレーションデータの貼り付け!M90*シミュレーション!$D$12+シミュレーションデータの貼り付け!Q90*シミュレーション!$D$13+シミュレーションデータの貼り付け!U90*シミュレーション!$D$14+シミュレーションデータの貼り付け!Y90*シミュレーション!$D$15</f>
        <v>0</v>
      </c>
      <c r="F90" s="30">
        <f>シミュレーションデータの貼り付け!F90*シミュレーション!$D$10+シミュレーションデータの貼り付け!J90*シミュレーション!$D$11+シミュレーションデータの貼り付け!N90*シミュレーション!$D$12+シミュレーションデータの貼り付け!R90*シミュレーション!$D$13+シミュレーションデータの貼り付け!V90*シミュレーション!$D$14+シミュレーションデータの貼り付け!Z90*シミュレーション!$D$15</f>
        <v>0</v>
      </c>
      <c r="H90" s="18">
        <v>87</v>
      </c>
      <c r="I90" s="87">
        <f>シミュレーション!$D$19</f>
        <v>0</v>
      </c>
      <c r="J90" s="87">
        <f>I90*(1+'シミュレーション計算用（変更不要）'!C90)</f>
        <v>0</v>
      </c>
      <c r="K90" s="87">
        <f>J90*(1+'シミュレーション計算用（変更不要）'!D90)</f>
        <v>0</v>
      </c>
      <c r="L90" s="87">
        <f>K90*(1+'シミュレーション計算用（変更不要）'!E90)</f>
        <v>0</v>
      </c>
      <c r="M90" s="44">
        <f>L90*(1+'シミュレーション計算用（変更不要）'!F90)</f>
        <v>0</v>
      </c>
      <c r="O90" s="18">
        <v>87</v>
      </c>
      <c r="P90" s="87">
        <f>BarriarOptionPrice(シミュレーション!$K$11,シミュレーション!$H$11,I90,1-P$3,シミュレーション!$I$11,シミュレーション!$J$11,シミュレーション!$D$10:$D$15)</f>
        <v>0</v>
      </c>
      <c r="Q90" s="87">
        <f>BarriarOptionPrice(シミュレーション!$K$11,シミュレーション!$H$11,J90,1-Q$3,シミュレーション!$I$11,シミュレーション!$J$11,シミュレーション!$D$10:$D$15)</f>
        <v>0</v>
      </c>
      <c r="R90" s="87">
        <f>BarriarOptionPrice(シミュレーション!$K$11,シミュレーション!$H$11,K90,1-R$3,シミュレーション!$I$11,シミュレーション!$J$11,シミュレーション!$D$10:$D$15)</f>
        <v>0</v>
      </c>
      <c r="S90" s="87">
        <f>BarriarOptionPrice(シミュレーション!$K$11,シミュレーション!$H$11,L90,1-S$3,シミュレーション!$I$11,シミュレーション!$J$11,シミュレーション!$D$10:$D$15)</f>
        <v>0</v>
      </c>
      <c r="T90" s="44">
        <f>BarriarOptionPrice(シミュレーション!$K$11,シミュレーション!$H$11,M90,1-T$3,シミュレーション!$I$11,シミュレーション!$J$11,シミュレーション!$D$10:$D$15)</f>
        <v>0</v>
      </c>
      <c r="V90" s="18">
        <v>87</v>
      </c>
      <c r="W90" s="87">
        <f>BarriarOptionPrice(シミュレーション!$K$12,シミュレーション!$H$12,I90,1-P$3,シミュレーション!$I$12,シミュレーション!$J$12,シミュレーション!$D$10:$D$15)</f>
        <v>0</v>
      </c>
      <c r="X90" s="87">
        <f>BarriarOptionPrice(シミュレーション!$K$12,シミュレーション!$H$12,J90,1-Q$3,シミュレーション!$I$12,シミュレーション!$J$12,シミュレーション!$D$10:$D$15)</f>
        <v>0</v>
      </c>
      <c r="Y90" s="87">
        <f>BarriarOptionPrice(シミュレーション!$K$12,シミュレーション!$H$12,K90,1-R$3,シミュレーション!$I$12,シミュレーション!$J$12,シミュレーション!$D$10:$D$15)</f>
        <v>0</v>
      </c>
      <c r="Z90" s="87">
        <f>BarriarOptionPrice(シミュレーション!$K$12,シミュレーション!$H$12,L90,1-S$3,シミュレーション!$I$12,シミュレーション!$J$12,シミュレーション!$D$10:$D$15)</f>
        <v>0</v>
      </c>
      <c r="AA90" s="44">
        <f>BarriarOptionPrice(シミュレーション!$K$12,シミュレーション!$H$12,M90,1-T$3,シミュレーション!$I$12,シミュレーション!$J$12,シミュレーション!$D$10:$D$15)</f>
        <v>0</v>
      </c>
    </row>
    <row r="91" spans="2:27" ht="14.25" x14ac:dyDescent="0.15">
      <c r="B91" s="18">
        <v>88</v>
      </c>
      <c r="C91" s="29">
        <f>シミュレーションデータの貼り付け!C91*シミュレーション!$D$10+シミュレーションデータの貼り付け!G91*シミュレーション!$D$11+シミュレーションデータの貼り付け!K91*シミュレーション!$D$12+シミュレーションデータの貼り付け!O91*シミュレーション!$D$13+シミュレーションデータの貼り付け!S91*シミュレーション!$D$14+シミュレーションデータの貼り付け!W91*シミュレーション!$D$15</f>
        <v>0</v>
      </c>
      <c r="D91" s="29">
        <f>シミュレーションデータの貼り付け!D91*シミュレーション!$D$10+シミュレーションデータの貼り付け!H91*シミュレーション!$D$11+シミュレーションデータの貼り付け!L91*シミュレーション!$D$12+シミュレーションデータの貼り付け!P91*シミュレーション!$D$13+シミュレーションデータの貼り付け!T91*シミュレーション!$D$14+シミュレーションデータの貼り付け!X91*シミュレーション!$D$15</f>
        <v>0</v>
      </c>
      <c r="E91" s="29">
        <f>シミュレーションデータの貼り付け!E91*シミュレーション!$D$10+シミュレーションデータの貼り付け!I91*シミュレーション!$D$11+シミュレーションデータの貼り付け!M91*シミュレーション!$D$12+シミュレーションデータの貼り付け!Q91*シミュレーション!$D$13+シミュレーションデータの貼り付け!U91*シミュレーション!$D$14+シミュレーションデータの貼り付け!Y91*シミュレーション!$D$15</f>
        <v>0</v>
      </c>
      <c r="F91" s="30">
        <f>シミュレーションデータの貼り付け!F91*シミュレーション!$D$10+シミュレーションデータの貼り付け!J91*シミュレーション!$D$11+シミュレーションデータの貼り付け!N91*シミュレーション!$D$12+シミュレーションデータの貼り付け!R91*シミュレーション!$D$13+シミュレーションデータの貼り付け!V91*シミュレーション!$D$14+シミュレーションデータの貼り付け!Z91*シミュレーション!$D$15</f>
        <v>0</v>
      </c>
      <c r="H91" s="18">
        <v>88</v>
      </c>
      <c r="I91" s="87">
        <f>シミュレーション!$D$19</f>
        <v>0</v>
      </c>
      <c r="J91" s="87">
        <f>I91*(1+'シミュレーション計算用（変更不要）'!C91)</f>
        <v>0</v>
      </c>
      <c r="K91" s="87">
        <f>J91*(1+'シミュレーション計算用（変更不要）'!D91)</f>
        <v>0</v>
      </c>
      <c r="L91" s="87">
        <f>K91*(1+'シミュレーション計算用（変更不要）'!E91)</f>
        <v>0</v>
      </c>
      <c r="M91" s="44">
        <f>L91*(1+'シミュレーション計算用（変更不要）'!F91)</f>
        <v>0</v>
      </c>
      <c r="O91" s="18">
        <v>88</v>
      </c>
      <c r="P91" s="87">
        <f>BarriarOptionPrice(シミュレーション!$K$11,シミュレーション!$H$11,I91,1-P$3,シミュレーション!$I$11,シミュレーション!$J$11,シミュレーション!$D$10:$D$15)</f>
        <v>0</v>
      </c>
      <c r="Q91" s="87">
        <f>BarriarOptionPrice(シミュレーション!$K$11,シミュレーション!$H$11,J91,1-Q$3,シミュレーション!$I$11,シミュレーション!$J$11,シミュレーション!$D$10:$D$15)</f>
        <v>0</v>
      </c>
      <c r="R91" s="87">
        <f>BarriarOptionPrice(シミュレーション!$K$11,シミュレーション!$H$11,K91,1-R$3,シミュレーション!$I$11,シミュレーション!$J$11,シミュレーション!$D$10:$D$15)</f>
        <v>0</v>
      </c>
      <c r="S91" s="87">
        <f>BarriarOptionPrice(シミュレーション!$K$11,シミュレーション!$H$11,L91,1-S$3,シミュレーション!$I$11,シミュレーション!$J$11,シミュレーション!$D$10:$D$15)</f>
        <v>0</v>
      </c>
      <c r="T91" s="44">
        <f>BarriarOptionPrice(シミュレーション!$K$11,シミュレーション!$H$11,M91,1-T$3,シミュレーション!$I$11,シミュレーション!$J$11,シミュレーション!$D$10:$D$15)</f>
        <v>0</v>
      </c>
      <c r="V91" s="18">
        <v>88</v>
      </c>
      <c r="W91" s="87">
        <f>BarriarOptionPrice(シミュレーション!$K$12,シミュレーション!$H$12,I91,1-P$3,シミュレーション!$I$12,シミュレーション!$J$12,シミュレーション!$D$10:$D$15)</f>
        <v>0</v>
      </c>
      <c r="X91" s="87">
        <f>BarriarOptionPrice(シミュレーション!$K$12,シミュレーション!$H$12,J91,1-Q$3,シミュレーション!$I$12,シミュレーション!$J$12,シミュレーション!$D$10:$D$15)</f>
        <v>0</v>
      </c>
      <c r="Y91" s="87">
        <f>BarriarOptionPrice(シミュレーション!$K$12,シミュレーション!$H$12,K91,1-R$3,シミュレーション!$I$12,シミュレーション!$J$12,シミュレーション!$D$10:$D$15)</f>
        <v>0</v>
      </c>
      <c r="Z91" s="87">
        <f>BarriarOptionPrice(シミュレーション!$K$12,シミュレーション!$H$12,L91,1-S$3,シミュレーション!$I$12,シミュレーション!$J$12,シミュレーション!$D$10:$D$15)</f>
        <v>0</v>
      </c>
      <c r="AA91" s="44">
        <f>BarriarOptionPrice(シミュレーション!$K$12,シミュレーション!$H$12,M91,1-T$3,シミュレーション!$I$12,シミュレーション!$J$12,シミュレーション!$D$10:$D$15)</f>
        <v>0</v>
      </c>
    </row>
    <row r="92" spans="2:27" ht="14.25" x14ac:dyDescent="0.15">
      <c r="B92" s="18">
        <v>89</v>
      </c>
      <c r="C92" s="29">
        <f>シミュレーションデータの貼り付け!C92*シミュレーション!$D$10+シミュレーションデータの貼り付け!G92*シミュレーション!$D$11+シミュレーションデータの貼り付け!K92*シミュレーション!$D$12+シミュレーションデータの貼り付け!O92*シミュレーション!$D$13+シミュレーションデータの貼り付け!S92*シミュレーション!$D$14+シミュレーションデータの貼り付け!W92*シミュレーション!$D$15</f>
        <v>0</v>
      </c>
      <c r="D92" s="29">
        <f>シミュレーションデータの貼り付け!D92*シミュレーション!$D$10+シミュレーションデータの貼り付け!H92*シミュレーション!$D$11+シミュレーションデータの貼り付け!L92*シミュレーション!$D$12+シミュレーションデータの貼り付け!P92*シミュレーション!$D$13+シミュレーションデータの貼り付け!T92*シミュレーション!$D$14+シミュレーションデータの貼り付け!X92*シミュレーション!$D$15</f>
        <v>0</v>
      </c>
      <c r="E92" s="29">
        <f>シミュレーションデータの貼り付け!E92*シミュレーション!$D$10+シミュレーションデータの貼り付け!I92*シミュレーション!$D$11+シミュレーションデータの貼り付け!M92*シミュレーション!$D$12+シミュレーションデータの貼り付け!Q92*シミュレーション!$D$13+シミュレーションデータの貼り付け!U92*シミュレーション!$D$14+シミュレーションデータの貼り付け!Y92*シミュレーション!$D$15</f>
        <v>0</v>
      </c>
      <c r="F92" s="30">
        <f>シミュレーションデータの貼り付け!F92*シミュレーション!$D$10+シミュレーションデータの貼り付け!J92*シミュレーション!$D$11+シミュレーションデータの貼り付け!N92*シミュレーション!$D$12+シミュレーションデータの貼り付け!R92*シミュレーション!$D$13+シミュレーションデータの貼り付け!V92*シミュレーション!$D$14+シミュレーションデータの貼り付け!Z92*シミュレーション!$D$15</f>
        <v>0</v>
      </c>
      <c r="H92" s="18">
        <v>89</v>
      </c>
      <c r="I92" s="87">
        <f>シミュレーション!$D$19</f>
        <v>0</v>
      </c>
      <c r="J92" s="87">
        <f>I92*(1+'シミュレーション計算用（変更不要）'!C92)</f>
        <v>0</v>
      </c>
      <c r="K92" s="87">
        <f>J92*(1+'シミュレーション計算用（変更不要）'!D92)</f>
        <v>0</v>
      </c>
      <c r="L92" s="87">
        <f>K92*(1+'シミュレーション計算用（変更不要）'!E92)</f>
        <v>0</v>
      </c>
      <c r="M92" s="44">
        <f>L92*(1+'シミュレーション計算用（変更不要）'!F92)</f>
        <v>0</v>
      </c>
      <c r="O92" s="18">
        <v>89</v>
      </c>
      <c r="P92" s="87">
        <f>BarriarOptionPrice(シミュレーション!$K$11,シミュレーション!$H$11,I92,1-P$3,シミュレーション!$I$11,シミュレーション!$J$11,シミュレーション!$D$10:$D$15)</f>
        <v>0</v>
      </c>
      <c r="Q92" s="87">
        <f>BarriarOptionPrice(シミュレーション!$K$11,シミュレーション!$H$11,J92,1-Q$3,シミュレーション!$I$11,シミュレーション!$J$11,シミュレーション!$D$10:$D$15)</f>
        <v>0</v>
      </c>
      <c r="R92" s="87">
        <f>BarriarOptionPrice(シミュレーション!$K$11,シミュレーション!$H$11,K92,1-R$3,シミュレーション!$I$11,シミュレーション!$J$11,シミュレーション!$D$10:$D$15)</f>
        <v>0</v>
      </c>
      <c r="S92" s="87">
        <f>BarriarOptionPrice(シミュレーション!$K$11,シミュレーション!$H$11,L92,1-S$3,シミュレーション!$I$11,シミュレーション!$J$11,シミュレーション!$D$10:$D$15)</f>
        <v>0</v>
      </c>
      <c r="T92" s="44">
        <f>BarriarOptionPrice(シミュレーション!$K$11,シミュレーション!$H$11,M92,1-T$3,シミュレーション!$I$11,シミュレーション!$J$11,シミュレーション!$D$10:$D$15)</f>
        <v>0</v>
      </c>
      <c r="V92" s="18">
        <v>89</v>
      </c>
      <c r="W92" s="87">
        <f>BarriarOptionPrice(シミュレーション!$K$12,シミュレーション!$H$12,I92,1-P$3,シミュレーション!$I$12,シミュレーション!$J$12,シミュレーション!$D$10:$D$15)</f>
        <v>0</v>
      </c>
      <c r="X92" s="87">
        <f>BarriarOptionPrice(シミュレーション!$K$12,シミュレーション!$H$12,J92,1-Q$3,シミュレーション!$I$12,シミュレーション!$J$12,シミュレーション!$D$10:$D$15)</f>
        <v>0</v>
      </c>
      <c r="Y92" s="87">
        <f>BarriarOptionPrice(シミュレーション!$K$12,シミュレーション!$H$12,K92,1-R$3,シミュレーション!$I$12,シミュレーション!$J$12,シミュレーション!$D$10:$D$15)</f>
        <v>0</v>
      </c>
      <c r="Z92" s="87">
        <f>BarriarOptionPrice(シミュレーション!$K$12,シミュレーション!$H$12,L92,1-S$3,シミュレーション!$I$12,シミュレーション!$J$12,シミュレーション!$D$10:$D$15)</f>
        <v>0</v>
      </c>
      <c r="AA92" s="44">
        <f>BarriarOptionPrice(シミュレーション!$K$12,シミュレーション!$H$12,M92,1-T$3,シミュレーション!$I$12,シミュレーション!$J$12,シミュレーション!$D$10:$D$15)</f>
        <v>0</v>
      </c>
    </row>
    <row r="93" spans="2:27" ht="14.25" x14ac:dyDescent="0.15">
      <c r="B93" s="18">
        <v>90</v>
      </c>
      <c r="C93" s="29">
        <f>シミュレーションデータの貼り付け!C93*シミュレーション!$D$10+シミュレーションデータの貼り付け!G93*シミュレーション!$D$11+シミュレーションデータの貼り付け!K93*シミュレーション!$D$12+シミュレーションデータの貼り付け!O93*シミュレーション!$D$13+シミュレーションデータの貼り付け!S93*シミュレーション!$D$14+シミュレーションデータの貼り付け!W93*シミュレーション!$D$15</f>
        <v>0</v>
      </c>
      <c r="D93" s="29">
        <f>シミュレーションデータの貼り付け!D93*シミュレーション!$D$10+シミュレーションデータの貼り付け!H93*シミュレーション!$D$11+シミュレーションデータの貼り付け!L93*シミュレーション!$D$12+シミュレーションデータの貼り付け!P93*シミュレーション!$D$13+シミュレーションデータの貼り付け!T93*シミュレーション!$D$14+シミュレーションデータの貼り付け!X93*シミュレーション!$D$15</f>
        <v>0</v>
      </c>
      <c r="E93" s="29">
        <f>シミュレーションデータの貼り付け!E93*シミュレーション!$D$10+シミュレーションデータの貼り付け!I93*シミュレーション!$D$11+シミュレーションデータの貼り付け!M93*シミュレーション!$D$12+シミュレーションデータの貼り付け!Q93*シミュレーション!$D$13+シミュレーションデータの貼り付け!U93*シミュレーション!$D$14+シミュレーションデータの貼り付け!Y93*シミュレーション!$D$15</f>
        <v>0</v>
      </c>
      <c r="F93" s="30">
        <f>シミュレーションデータの貼り付け!F93*シミュレーション!$D$10+シミュレーションデータの貼り付け!J93*シミュレーション!$D$11+シミュレーションデータの貼り付け!N93*シミュレーション!$D$12+シミュレーションデータの貼り付け!R93*シミュレーション!$D$13+シミュレーションデータの貼り付け!V93*シミュレーション!$D$14+シミュレーションデータの貼り付け!Z93*シミュレーション!$D$15</f>
        <v>0</v>
      </c>
      <c r="H93" s="18">
        <v>90</v>
      </c>
      <c r="I93" s="87">
        <f>シミュレーション!$D$19</f>
        <v>0</v>
      </c>
      <c r="J93" s="87">
        <f>I93*(1+'シミュレーション計算用（変更不要）'!C93)</f>
        <v>0</v>
      </c>
      <c r="K93" s="87">
        <f>J93*(1+'シミュレーション計算用（変更不要）'!D93)</f>
        <v>0</v>
      </c>
      <c r="L93" s="87">
        <f>K93*(1+'シミュレーション計算用（変更不要）'!E93)</f>
        <v>0</v>
      </c>
      <c r="M93" s="44">
        <f>L93*(1+'シミュレーション計算用（変更不要）'!F93)</f>
        <v>0</v>
      </c>
      <c r="O93" s="18">
        <v>90</v>
      </c>
      <c r="P93" s="87">
        <f>BarriarOptionPrice(シミュレーション!$K$11,シミュレーション!$H$11,I93,1-P$3,シミュレーション!$I$11,シミュレーション!$J$11,シミュレーション!$D$10:$D$15)</f>
        <v>0</v>
      </c>
      <c r="Q93" s="87">
        <f>BarriarOptionPrice(シミュレーション!$K$11,シミュレーション!$H$11,J93,1-Q$3,シミュレーション!$I$11,シミュレーション!$J$11,シミュレーション!$D$10:$D$15)</f>
        <v>0</v>
      </c>
      <c r="R93" s="87">
        <f>BarriarOptionPrice(シミュレーション!$K$11,シミュレーション!$H$11,K93,1-R$3,シミュレーション!$I$11,シミュレーション!$J$11,シミュレーション!$D$10:$D$15)</f>
        <v>0</v>
      </c>
      <c r="S93" s="87">
        <f>BarriarOptionPrice(シミュレーション!$K$11,シミュレーション!$H$11,L93,1-S$3,シミュレーション!$I$11,シミュレーション!$J$11,シミュレーション!$D$10:$D$15)</f>
        <v>0</v>
      </c>
      <c r="T93" s="44">
        <f>BarriarOptionPrice(シミュレーション!$K$11,シミュレーション!$H$11,M93,1-T$3,シミュレーション!$I$11,シミュレーション!$J$11,シミュレーション!$D$10:$D$15)</f>
        <v>0</v>
      </c>
      <c r="V93" s="18">
        <v>90</v>
      </c>
      <c r="W93" s="87">
        <f>BarriarOptionPrice(シミュレーション!$K$12,シミュレーション!$H$12,I93,1-P$3,シミュレーション!$I$12,シミュレーション!$J$12,シミュレーション!$D$10:$D$15)</f>
        <v>0</v>
      </c>
      <c r="X93" s="87">
        <f>BarriarOptionPrice(シミュレーション!$K$12,シミュレーション!$H$12,J93,1-Q$3,シミュレーション!$I$12,シミュレーション!$J$12,シミュレーション!$D$10:$D$15)</f>
        <v>0</v>
      </c>
      <c r="Y93" s="87">
        <f>BarriarOptionPrice(シミュレーション!$K$12,シミュレーション!$H$12,K93,1-R$3,シミュレーション!$I$12,シミュレーション!$J$12,シミュレーション!$D$10:$D$15)</f>
        <v>0</v>
      </c>
      <c r="Z93" s="87">
        <f>BarriarOptionPrice(シミュレーション!$K$12,シミュレーション!$H$12,L93,1-S$3,シミュレーション!$I$12,シミュレーション!$J$12,シミュレーション!$D$10:$D$15)</f>
        <v>0</v>
      </c>
      <c r="AA93" s="44">
        <f>BarriarOptionPrice(シミュレーション!$K$12,シミュレーション!$H$12,M93,1-T$3,シミュレーション!$I$12,シミュレーション!$J$12,シミュレーション!$D$10:$D$15)</f>
        <v>0</v>
      </c>
    </row>
    <row r="94" spans="2:27" ht="14.25" x14ac:dyDescent="0.15">
      <c r="B94" s="18">
        <v>91</v>
      </c>
      <c r="C94" s="29">
        <f>シミュレーションデータの貼り付け!C94*シミュレーション!$D$10+シミュレーションデータの貼り付け!G94*シミュレーション!$D$11+シミュレーションデータの貼り付け!K94*シミュレーション!$D$12+シミュレーションデータの貼り付け!O94*シミュレーション!$D$13+シミュレーションデータの貼り付け!S94*シミュレーション!$D$14+シミュレーションデータの貼り付け!W94*シミュレーション!$D$15</f>
        <v>0</v>
      </c>
      <c r="D94" s="29">
        <f>シミュレーションデータの貼り付け!D94*シミュレーション!$D$10+シミュレーションデータの貼り付け!H94*シミュレーション!$D$11+シミュレーションデータの貼り付け!L94*シミュレーション!$D$12+シミュレーションデータの貼り付け!P94*シミュレーション!$D$13+シミュレーションデータの貼り付け!T94*シミュレーション!$D$14+シミュレーションデータの貼り付け!X94*シミュレーション!$D$15</f>
        <v>0</v>
      </c>
      <c r="E94" s="29">
        <f>シミュレーションデータの貼り付け!E94*シミュレーション!$D$10+シミュレーションデータの貼り付け!I94*シミュレーション!$D$11+シミュレーションデータの貼り付け!M94*シミュレーション!$D$12+シミュレーションデータの貼り付け!Q94*シミュレーション!$D$13+シミュレーションデータの貼り付け!U94*シミュレーション!$D$14+シミュレーションデータの貼り付け!Y94*シミュレーション!$D$15</f>
        <v>0</v>
      </c>
      <c r="F94" s="30">
        <f>シミュレーションデータの貼り付け!F94*シミュレーション!$D$10+シミュレーションデータの貼り付け!J94*シミュレーション!$D$11+シミュレーションデータの貼り付け!N94*シミュレーション!$D$12+シミュレーションデータの貼り付け!R94*シミュレーション!$D$13+シミュレーションデータの貼り付け!V94*シミュレーション!$D$14+シミュレーションデータの貼り付け!Z94*シミュレーション!$D$15</f>
        <v>0</v>
      </c>
      <c r="H94" s="18">
        <v>91</v>
      </c>
      <c r="I94" s="87">
        <f>シミュレーション!$D$19</f>
        <v>0</v>
      </c>
      <c r="J94" s="87">
        <f>I94*(1+'シミュレーション計算用（変更不要）'!C94)</f>
        <v>0</v>
      </c>
      <c r="K94" s="87">
        <f>J94*(1+'シミュレーション計算用（変更不要）'!D94)</f>
        <v>0</v>
      </c>
      <c r="L94" s="87">
        <f>K94*(1+'シミュレーション計算用（変更不要）'!E94)</f>
        <v>0</v>
      </c>
      <c r="M94" s="44">
        <f>L94*(1+'シミュレーション計算用（変更不要）'!F94)</f>
        <v>0</v>
      </c>
      <c r="O94" s="18">
        <v>91</v>
      </c>
      <c r="P94" s="87">
        <f>BarriarOptionPrice(シミュレーション!$K$11,シミュレーション!$H$11,I94,1-P$3,シミュレーション!$I$11,シミュレーション!$J$11,シミュレーション!$D$10:$D$15)</f>
        <v>0</v>
      </c>
      <c r="Q94" s="87">
        <f>BarriarOptionPrice(シミュレーション!$K$11,シミュレーション!$H$11,J94,1-Q$3,シミュレーション!$I$11,シミュレーション!$J$11,シミュレーション!$D$10:$D$15)</f>
        <v>0</v>
      </c>
      <c r="R94" s="87">
        <f>BarriarOptionPrice(シミュレーション!$K$11,シミュレーション!$H$11,K94,1-R$3,シミュレーション!$I$11,シミュレーション!$J$11,シミュレーション!$D$10:$D$15)</f>
        <v>0</v>
      </c>
      <c r="S94" s="87">
        <f>BarriarOptionPrice(シミュレーション!$K$11,シミュレーション!$H$11,L94,1-S$3,シミュレーション!$I$11,シミュレーション!$J$11,シミュレーション!$D$10:$D$15)</f>
        <v>0</v>
      </c>
      <c r="T94" s="44">
        <f>BarriarOptionPrice(シミュレーション!$K$11,シミュレーション!$H$11,M94,1-T$3,シミュレーション!$I$11,シミュレーション!$J$11,シミュレーション!$D$10:$D$15)</f>
        <v>0</v>
      </c>
      <c r="V94" s="18">
        <v>91</v>
      </c>
      <c r="W94" s="87">
        <f>BarriarOptionPrice(シミュレーション!$K$12,シミュレーション!$H$12,I94,1-P$3,シミュレーション!$I$12,シミュレーション!$J$12,シミュレーション!$D$10:$D$15)</f>
        <v>0</v>
      </c>
      <c r="X94" s="87">
        <f>BarriarOptionPrice(シミュレーション!$K$12,シミュレーション!$H$12,J94,1-Q$3,シミュレーション!$I$12,シミュレーション!$J$12,シミュレーション!$D$10:$D$15)</f>
        <v>0</v>
      </c>
      <c r="Y94" s="87">
        <f>BarriarOptionPrice(シミュレーション!$K$12,シミュレーション!$H$12,K94,1-R$3,シミュレーション!$I$12,シミュレーション!$J$12,シミュレーション!$D$10:$D$15)</f>
        <v>0</v>
      </c>
      <c r="Z94" s="87">
        <f>BarriarOptionPrice(シミュレーション!$K$12,シミュレーション!$H$12,L94,1-S$3,シミュレーション!$I$12,シミュレーション!$J$12,シミュレーション!$D$10:$D$15)</f>
        <v>0</v>
      </c>
      <c r="AA94" s="44">
        <f>BarriarOptionPrice(シミュレーション!$K$12,シミュレーション!$H$12,M94,1-T$3,シミュレーション!$I$12,シミュレーション!$J$12,シミュレーション!$D$10:$D$15)</f>
        <v>0</v>
      </c>
    </row>
    <row r="95" spans="2:27" ht="14.25" x14ac:dyDescent="0.15">
      <c r="B95" s="18">
        <v>92</v>
      </c>
      <c r="C95" s="29">
        <f>シミュレーションデータの貼り付け!C95*シミュレーション!$D$10+シミュレーションデータの貼り付け!G95*シミュレーション!$D$11+シミュレーションデータの貼り付け!K95*シミュレーション!$D$12+シミュレーションデータの貼り付け!O95*シミュレーション!$D$13+シミュレーションデータの貼り付け!S95*シミュレーション!$D$14+シミュレーションデータの貼り付け!W95*シミュレーション!$D$15</f>
        <v>0</v>
      </c>
      <c r="D95" s="29">
        <f>シミュレーションデータの貼り付け!D95*シミュレーション!$D$10+シミュレーションデータの貼り付け!H95*シミュレーション!$D$11+シミュレーションデータの貼り付け!L95*シミュレーション!$D$12+シミュレーションデータの貼り付け!P95*シミュレーション!$D$13+シミュレーションデータの貼り付け!T95*シミュレーション!$D$14+シミュレーションデータの貼り付け!X95*シミュレーション!$D$15</f>
        <v>0</v>
      </c>
      <c r="E95" s="29">
        <f>シミュレーションデータの貼り付け!E95*シミュレーション!$D$10+シミュレーションデータの貼り付け!I95*シミュレーション!$D$11+シミュレーションデータの貼り付け!M95*シミュレーション!$D$12+シミュレーションデータの貼り付け!Q95*シミュレーション!$D$13+シミュレーションデータの貼り付け!U95*シミュレーション!$D$14+シミュレーションデータの貼り付け!Y95*シミュレーション!$D$15</f>
        <v>0</v>
      </c>
      <c r="F95" s="30">
        <f>シミュレーションデータの貼り付け!F95*シミュレーション!$D$10+シミュレーションデータの貼り付け!J95*シミュレーション!$D$11+シミュレーションデータの貼り付け!N95*シミュレーション!$D$12+シミュレーションデータの貼り付け!R95*シミュレーション!$D$13+シミュレーションデータの貼り付け!V95*シミュレーション!$D$14+シミュレーションデータの貼り付け!Z95*シミュレーション!$D$15</f>
        <v>0</v>
      </c>
      <c r="H95" s="18">
        <v>92</v>
      </c>
      <c r="I95" s="87">
        <f>シミュレーション!$D$19</f>
        <v>0</v>
      </c>
      <c r="J95" s="87">
        <f>I95*(1+'シミュレーション計算用（変更不要）'!C95)</f>
        <v>0</v>
      </c>
      <c r="K95" s="87">
        <f>J95*(1+'シミュレーション計算用（変更不要）'!D95)</f>
        <v>0</v>
      </c>
      <c r="L95" s="87">
        <f>K95*(1+'シミュレーション計算用（変更不要）'!E95)</f>
        <v>0</v>
      </c>
      <c r="M95" s="44">
        <f>L95*(1+'シミュレーション計算用（変更不要）'!F95)</f>
        <v>0</v>
      </c>
      <c r="O95" s="18">
        <v>92</v>
      </c>
      <c r="P95" s="87">
        <f>BarriarOptionPrice(シミュレーション!$K$11,シミュレーション!$H$11,I95,1-P$3,シミュレーション!$I$11,シミュレーション!$J$11,シミュレーション!$D$10:$D$15)</f>
        <v>0</v>
      </c>
      <c r="Q95" s="87">
        <f>BarriarOptionPrice(シミュレーション!$K$11,シミュレーション!$H$11,J95,1-Q$3,シミュレーション!$I$11,シミュレーション!$J$11,シミュレーション!$D$10:$D$15)</f>
        <v>0</v>
      </c>
      <c r="R95" s="87">
        <f>BarriarOptionPrice(シミュレーション!$K$11,シミュレーション!$H$11,K95,1-R$3,シミュレーション!$I$11,シミュレーション!$J$11,シミュレーション!$D$10:$D$15)</f>
        <v>0</v>
      </c>
      <c r="S95" s="87">
        <f>BarriarOptionPrice(シミュレーション!$K$11,シミュレーション!$H$11,L95,1-S$3,シミュレーション!$I$11,シミュレーション!$J$11,シミュレーション!$D$10:$D$15)</f>
        <v>0</v>
      </c>
      <c r="T95" s="44">
        <f>BarriarOptionPrice(シミュレーション!$K$11,シミュレーション!$H$11,M95,1-T$3,シミュレーション!$I$11,シミュレーション!$J$11,シミュレーション!$D$10:$D$15)</f>
        <v>0</v>
      </c>
      <c r="V95" s="18">
        <v>92</v>
      </c>
      <c r="W95" s="87">
        <f>BarriarOptionPrice(シミュレーション!$K$12,シミュレーション!$H$12,I95,1-P$3,シミュレーション!$I$12,シミュレーション!$J$12,シミュレーション!$D$10:$D$15)</f>
        <v>0</v>
      </c>
      <c r="X95" s="87">
        <f>BarriarOptionPrice(シミュレーション!$K$12,シミュレーション!$H$12,J95,1-Q$3,シミュレーション!$I$12,シミュレーション!$J$12,シミュレーション!$D$10:$D$15)</f>
        <v>0</v>
      </c>
      <c r="Y95" s="87">
        <f>BarriarOptionPrice(シミュレーション!$K$12,シミュレーション!$H$12,K95,1-R$3,シミュレーション!$I$12,シミュレーション!$J$12,シミュレーション!$D$10:$D$15)</f>
        <v>0</v>
      </c>
      <c r="Z95" s="87">
        <f>BarriarOptionPrice(シミュレーション!$K$12,シミュレーション!$H$12,L95,1-S$3,シミュレーション!$I$12,シミュレーション!$J$12,シミュレーション!$D$10:$D$15)</f>
        <v>0</v>
      </c>
      <c r="AA95" s="44">
        <f>BarriarOptionPrice(シミュレーション!$K$12,シミュレーション!$H$12,M95,1-T$3,シミュレーション!$I$12,シミュレーション!$J$12,シミュレーション!$D$10:$D$15)</f>
        <v>0</v>
      </c>
    </row>
    <row r="96" spans="2:27" ht="14.25" x14ac:dyDescent="0.15">
      <c r="B96" s="18">
        <v>93</v>
      </c>
      <c r="C96" s="29">
        <f>シミュレーションデータの貼り付け!C96*シミュレーション!$D$10+シミュレーションデータの貼り付け!G96*シミュレーション!$D$11+シミュレーションデータの貼り付け!K96*シミュレーション!$D$12+シミュレーションデータの貼り付け!O96*シミュレーション!$D$13+シミュレーションデータの貼り付け!S96*シミュレーション!$D$14+シミュレーションデータの貼り付け!W96*シミュレーション!$D$15</f>
        <v>0</v>
      </c>
      <c r="D96" s="29">
        <f>シミュレーションデータの貼り付け!D96*シミュレーション!$D$10+シミュレーションデータの貼り付け!H96*シミュレーション!$D$11+シミュレーションデータの貼り付け!L96*シミュレーション!$D$12+シミュレーションデータの貼り付け!P96*シミュレーション!$D$13+シミュレーションデータの貼り付け!T96*シミュレーション!$D$14+シミュレーションデータの貼り付け!X96*シミュレーション!$D$15</f>
        <v>0</v>
      </c>
      <c r="E96" s="29">
        <f>シミュレーションデータの貼り付け!E96*シミュレーション!$D$10+シミュレーションデータの貼り付け!I96*シミュレーション!$D$11+シミュレーションデータの貼り付け!M96*シミュレーション!$D$12+シミュレーションデータの貼り付け!Q96*シミュレーション!$D$13+シミュレーションデータの貼り付け!U96*シミュレーション!$D$14+シミュレーションデータの貼り付け!Y96*シミュレーション!$D$15</f>
        <v>0</v>
      </c>
      <c r="F96" s="30">
        <f>シミュレーションデータの貼り付け!F96*シミュレーション!$D$10+シミュレーションデータの貼り付け!J96*シミュレーション!$D$11+シミュレーションデータの貼り付け!N96*シミュレーション!$D$12+シミュレーションデータの貼り付け!R96*シミュレーション!$D$13+シミュレーションデータの貼り付け!V96*シミュレーション!$D$14+シミュレーションデータの貼り付け!Z96*シミュレーション!$D$15</f>
        <v>0</v>
      </c>
      <c r="H96" s="18">
        <v>93</v>
      </c>
      <c r="I96" s="87">
        <f>シミュレーション!$D$19</f>
        <v>0</v>
      </c>
      <c r="J96" s="87">
        <f>I96*(1+'シミュレーション計算用（変更不要）'!C96)</f>
        <v>0</v>
      </c>
      <c r="K96" s="87">
        <f>J96*(1+'シミュレーション計算用（変更不要）'!D96)</f>
        <v>0</v>
      </c>
      <c r="L96" s="87">
        <f>K96*(1+'シミュレーション計算用（変更不要）'!E96)</f>
        <v>0</v>
      </c>
      <c r="M96" s="44">
        <f>L96*(1+'シミュレーション計算用（変更不要）'!F96)</f>
        <v>0</v>
      </c>
      <c r="O96" s="18">
        <v>93</v>
      </c>
      <c r="P96" s="87">
        <f>BarriarOptionPrice(シミュレーション!$K$11,シミュレーション!$H$11,I96,1-P$3,シミュレーション!$I$11,シミュレーション!$J$11,シミュレーション!$D$10:$D$15)</f>
        <v>0</v>
      </c>
      <c r="Q96" s="87">
        <f>BarriarOptionPrice(シミュレーション!$K$11,シミュレーション!$H$11,J96,1-Q$3,シミュレーション!$I$11,シミュレーション!$J$11,シミュレーション!$D$10:$D$15)</f>
        <v>0</v>
      </c>
      <c r="R96" s="87">
        <f>BarriarOptionPrice(シミュレーション!$K$11,シミュレーション!$H$11,K96,1-R$3,シミュレーション!$I$11,シミュレーション!$J$11,シミュレーション!$D$10:$D$15)</f>
        <v>0</v>
      </c>
      <c r="S96" s="87">
        <f>BarriarOptionPrice(シミュレーション!$K$11,シミュレーション!$H$11,L96,1-S$3,シミュレーション!$I$11,シミュレーション!$J$11,シミュレーション!$D$10:$D$15)</f>
        <v>0</v>
      </c>
      <c r="T96" s="44">
        <f>BarriarOptionPrice(シミュレーション!$K$11,シミュレーション!$H$11,M96,1-T$3,シミュレーション!$I$11,シミュレーション!$J$11,シミュレーション!$D$10:$D$15)</f>
        <v>0</v>
      </c>
      <c r="V96" s="18">
        <v>93</v>
      </c>
      <c r="W96" s="87">
        <f>BarriarOptionPrice(シミュレーション!$K$12,シミュレーション!$H$12,I96,1-P$3,シミュレーション!$I$12,シミュレーション!$J$12,シミュレーション!$D$10:$D$15)</f>
        <v>0</v>
      </c>
      <c r="X96" s="87">
        <f>BarriarOptionPrice(シミュレーション!$K$12,シミュレーション!$H$12,J96,1-Q$3,シミュレーション!$I$12,シミュレーション!$J$12,シミュレーション!$D$10:$D$15)</f>
        <v>0</v>
      </c>
      <c r="Y96" s="87">
        <f>BarriarOptionPrice(シミュレーション!$K$12,シミュレーション!$H$12,K96,1-R$3,シミュレーション!$I$12,シミュレーション!$J$12,シミュレーション!$D$10:$D$15)</f>
        <v>0</v>
      </c>
      <c r="Z96" s="87">
        <f>BarriarOptionPrice(シミュレーション!$K$12,シミュレーション!$H$12,L96,1-S$3,シミュレーション!$I$12,シミュレーション!$J$12,シミュレーション!$D$10:$D$15)</f>
        <v>0</v>
      </c>
      <c r="AA96" s="44">
        <f>BarriarOptionPrice(シミュレーション!$K$12,シミュレーション!$H$12,M96,1-T$3,シミュレーション!$I$12,シミュレーション!$J$12,シミュレーション!$D$10:$D$15)</f>
        <v>0</v>
      </c>
    </row>
    <row r="97" spans="2:27" ht="14.25" x14ac:dyDescent="0.15">
      <c r="B97" s="18">
        <v>94</v>
      </c>
      <c r="C97" s="29">
        <f>シミュレーションデータの貼り付け!C97*シミュレーション!$D$10+シミュレーションデータの貼り付け!G97*シミュレーション!$D$11+シミュレーションデータの貼り付け!K97*シミュレーション!$D$12+シミュレーションデータの貼り付け!O97*シミュレーション!$D$13+シミュレーションデータの貼り付け!S97*シミュレーション!$D$14+シミュレーションデータの貼り付け!W97*シミュレーション!$D$15</f>
        <v>0</v>
      </c>
      <c r="D97" s="29">
        <f>シミュレーションデータの貼り付け!D97*シミュレーション!$D$10+シミュレーションデータの貼り付け!H97*シミュレーション!$D$11+シミュレーションデータの貼り付け!L97*シミュレーション!$D$12+シミュレーションデータの貼り付け!P97*シミュレーション!$D$13+シミュレーションデータの貼り付け!T97*シミュレーション!$D$14+シミュレーションデータの貼り付け!X97*シミュレーション!$D$15</f>
        <v>0</v>
      </c>
      <c r="E97" s="29">
        <f>シミュレーションデータの貼り付け!E97*シミュレーション!$D$10+シミュレーションデータの貼り付け!I97*シミュレーション!$D$11+シミュレーションデータの貼り付け!M97*シミュレーション!$D$12+シミュレーションデータの貼り付け!Q97*シミュレーション!$D$13+シミュレーションデータの貼り付け!U97*シミュレーション!$D$14+シミュレーションデータの貼り付け!Y97*シミュレーション!$D$15</f>
        <v>0</v>
      </c>
      <c r="F97" s="30">
        <f>シミュレーションデータの貼り付け!F97*シミュレーション!$D$10+シミュレーションデータの貼り付け!J97*シミュレーション!$D$11+シミュレーションデータの貼り付け!N97*シミュレーション!$D$12+シミュレーションデータの貼り付け!R97*シミュレーション!$D$13+シミュレーションデータの貼り付け!V97*シミュレーション!$D$14+シミュレーションデータの貼り付け!Z97*シミュレーション!$D$15</f>
        <v>0</v>
      </c>
      <c r="H97" s="18">
        <v>94</v>
      </c>
      <c r="I97" s="87">
        <f>シミュレーション!$D$19</f>
        <v>0</v>
      </c>
      <c r="J97" s="87">
        <f>I97*(1+'シミュレーション計算用（変更不要）'!C97)</f>
        <v>0</v>
      </c>
      <c r="K97" s="87">
        <f>J97*(1+'シミュレーション計算用（変更不要）'!D97)</f>
        <v>0</v>
      </c>
      <c r="L97" s="87">
        <f>K97*(1+'シミュレーション計算用（変更不要）'!E97)</f>
        <v>0</v>
      </c>
      <c r="M97" s="44">
        <f>L97*(1+'シミュレーション計算用（変更不要）'!F97)</f>
        <v>0</v>
      </c>
      <c r="O97" s="18">
        <v>94</v>
      </c>
      <c r="P97" s="87">
        <f>BarriarOptionPrice(シミュレーション!$K$11,シミュレーション!$H$11,I97,1-P$3,シミュレーション!$I$11,シミュレーション!$J$11,シミュレーション!$D$10:$D$15)</f>
        <v>0</v>
      </c>
      <c r="Q97" s="87">
        <f>BarriarOptionPrice(シミュレーション!$K$11,シミュレーション!$H$11,J97,1-Q$3,シミュレーション!$I$11,シミュレーション!$J$11,シミュレーション!$D$10:$D$15)</f>
        <v>0</v>
      </c>
      <c r="R97" s="87">
        <f>BarriarOptionPrice(シミュレーション!$K$11,シミュレーション!$H$11,K97,1-R$3,シミュレーション!$I$11,シミュレーション!$J$11,シミュレーション!$D$10:$D$15)</f>
        <v>0</v>
      </c>
      <c r="S97" s="87">
        <f>BarriarOptionPrice(シミュレーション!$K$11,シミュレーション!$H$11,L97,1-S$3,シミュレーション!$I$11,シミュレーション!$J$11,シミュレーション!$D$10:$D$15)</f>
        <v>0</v>
      </c>
      <c r="T97" s="44">
        <f>BarriarOptionPrice(シミュレーション!$K$11,シミュレーション!$H$11,M97,1-T$3,シミュレーション!$I$11,シミュレーション!$J$11,シミュレーション!$D$10:$D$15)</f>
        <v>0</v>
      </c>
      <c r="V97" s="18">
        <v>94</v>
      </c>
      <c r="W97" s="87">
        <f>BarriarOptionPrice(シミュレーション!$K$12,シミュレーション!$H$12,I97,1-P$3,シミュレーション!$I$12,シミュレーション!$J$12,シミュレーション!$D$10:$D$15)</f>
        <v>0</v>
      </c>
      <c r="X97" s="87">
        <f>BarriarOptionPrice(シミュレーション!$K$12,シミュレーション!$H$12,J97,1-Q$3,シミュレーション!$I$12,シミュレーション!$J$12,シミュレーション!$D$10:$D$15)</f>
        <v>0</v>
      </c>
      <c r="Y97" s="87">
        <f>BarriarOptionPrice(シミュレーション!$K$12,シミュレーション!$H$12,K97,1-R$3,シミュレーション!$I$12,シミュレーション!$J$12,シミュレーション!$D$10:$D$15)</f>
        <v>0</v>
      </c>
      <c r="Z97" s="87">
        <f>BarriarOptionPrice(シミュレーション!$K$12,シミュレーション!$H$12,L97,1-S$3,シミュレーション!$I$12,シミュレーション!$J$12,シミュレーション!$D$10:$D$15)</f>
        <v>0</v>
      </c>
      <c r="AA97" s="44">
        <f>BarriarOptionPrice(シミュレーション!$K$12,シミュレーション!$H$12,M97,1-T$3,シミュレーション!$I$12,シミュレーション!$J$12,シミュレーション!$D$10:$D$15)</f>
        <v>0</v>
      </c>
    </row>
    <row r="98" spans="2:27" ht="14.25" x14ac:dyDescent="0.15">
      <c r="B98" s="18">
        <v>95</v>
      </c>
      <c r="C98" s="29">
        <f>シミュレーションデータの貼り付け!C98*シミュレーション!$D$10+シミュレーションデータの貼り付け!G98*シミュレーション!$D$11+シミュレーションデータの貼り付け!K98*シミュレーション!$D$12+シミュレーションデータの貼り付け!O98*シミュレーション!$D$13+シミュレーションデータの貼り付け!S98*シミュレーション!$D$14+シミュレーションデータの貼り付け!W98*シミュレーション!$D$15</f>
        <v>0</v>
      </c>
      <c r="D98" s="29">
        <f>シミュレーションデータの貼り付け!D98*シミュレーション!$D$10+シミュレーションデータの貼り付け!H98*シミュレーション!$D$11+シミュレーションデータの貼り付け!L98*シミュレーション!$D$12+シミュレーションデータの貼り付け!P98*シミュレーション!$D$13+シミュレーションデータの貼り付け!T98*シミュレーション!$D$14+シミュレーションデータの貼り付け!X98*シミュレーション!$D$15</f>
        <v>0</v>
      </c>
      <c r="E98" s="29">
        <f>シミュレーションデータの貼り付け!E98*シミュレーション!$D$10+シミュレーションデータの貼り付け!I98*シミュレーション!$D$11+シミュレーションデータの貼り付け!M98*シミュレーション!$D$12+シミュレーションデータの貼り付け!Q98*シミュレーション!$D$13+シミュレーションデータの貼り付け!U98*シミュレーション!$D$14+シミュレーションデータの貼り付け!Y98*シミュレーション!$D$15</f>
        <v>0</v>
      </c>
      <c r="F98" s="30">
        <f>シミュレーションデータの貼り付け!F98*シミュレーション!$D$10+シミュレーションデータの貼り付け!J98*シミュレーション!$D$11+シミュレーションデータの貼り付け!N98*シミュレーション!$D$12+シミュレーションデータの貼り付け!R98*シミュレーション!$D$13+シミュレーションデータの貼り付け!V98*シミュレーション!$D$14+シミュレーションデータの貼り付け!Z98*シミュレーション!$D$15</f>
        <v>0</v>
      </c>
      <c r="H98" s="18">
        <v>95</v>
      </c>
      <c r="I98" s="87">
        <f>シミュレーション!$D$19</f>
        <v>0</v>
      </c>
      <c r="J98" s="87">
        <f>I98*(1+'シミュレーション計算用（変更不要）'!C98)</f>
        <v>0</v>
      </c>
      <c r="K98" s="87">
        <f>J98*(1+'シミュレーション計算用（変更不要）'!D98)</f>
        <v>0</v>
      </c>
      <c r="L98" s="87">
        <f>K98*(1+'シミュレーション計算用（変更不要）'!E98)</f>
        <v>0</v>
      </c>
      <c r="M98" s="44">
        <f>L98*(1+'シミュレーション計算用（変更不要）'!F98)</f>
        <v>0</v>
      </c>
      <c r="O98" s="18">
        <v>95</v>
      </c>
      <c r="P98" s="87">
        <f>BarriarOptionPrice(シミュレーション!$K$11,シミュレーション!$H$11,I98,1-P$3,シミュレーション!$I$11,シミュレーション!$J$11,シミュレーション!$D$10:$D$15)</f>
        <v>0</v>
      </c>
      <c r="Q98" s="87">
        <f>BarriarOptionPrice(シミュレーション!$K$11,シミュレーション!$H$11,J98,1-Q$3,シミュレーション!$I$11,シミュレーション!$J$11,シミュレーション!$D$10:$D$15)</f>
        <v>0</v>
      </c>
      <c r="R98" s="87">
        <f>BarriarOptionPrice(シミュレーション!$K$11,シミュレーション!$H$11,K98,1-R$3,シミュレーション!$I$11,シミュレーション!$J$11,シミュレーション!$D$10:$D$15)</f>
        <v>0</v>
      </c>
      <c r="S98" s="87">
        <f>BarriarOptionPrice(シミュレーション!$K$11,シミュレーション!$H$11,L98,1-S$3,シミュレーション!$I$11,シミュレーション!$J$11,シミュレーション!$D$10:$D$15)</f>
        <v>0</v>
      </c>
      <c r="T98" s="44">
        <f>BarriarOptionPrice(シミュレーション!$K$11,シミュレーション!$H$11,M98,1-T$3,シミュレーション!$I$11,シミュレーション!$J$11,シミュレーション!$D$10:$D$15)</f>
        <v>0</v>
      </c>
      <c r="V98" s="18">
        <v>95</v>
      </c>
      <c r="W98" s="87">
        <f>BarriarOptionPrice(シミュレーション!$K$12,シミュレーション!$H$12,I98,1-P$3,シミュレーション!$I$12,シミュレーション!$J$12,シミュレーション!$D$10:$D$15)</f>
        <v>0</v>
      </c>
      <c r="X98" s="87">
        <f>BarriarOptionPrice(シミュレーション!$K$12,シミュレーション!$H$12,J98,1-Q$3,シミュレーション!$I$12,シミュレーション!$J$12,シミュレーション!$D$10:$D$15)</f>
        <v>0</v>
      </c>
      <c r="Y98" s="87">
        <f>BarriarOptionPrice(シミュレーション!$K$12,シミュレーション!$H$12,K98,1-R$3,シミュレーション!$I$12,シミュレーション!$J$12,シミュレーション!$D$10:$D$15)</f>
        <v>0</v>
      </c>
      <c r="Z98" s="87">
        <f>BarriarOptionPrice(シミュレーション!$K$12,シミュレーション!$H$12,L98,1-S$3,シミュレーション!$I$12,シミュレーション!$J$12,シミュレーション!$D$10:$D$15)</f>
        <v>0</v>
      </c>
      <c r="AA98" s="44">
        <f>BarriarOptionPrice(シミュレーション!$K$12,シミュレーション!$H$12,M98,1-T$3,シミュレーション!$I$12,シミュレーション!$J$12,シミュレーション!$D$10:$D$15)</f>
        <v>0</v>
      </c>
    </row>
    <row r="99" spans="2:27" ht="14.25" x14ac:dyDescent="0.15">
      <c r="B99" s="18">
        <v>96</v>
      </c>
      <c r="C99" s="29">
        <f>シミュレーションデータの貼り付け!C99*シミュレーション!$D$10+シミュレーションデータの貼り付け!G99*シミュレーション!$D$11+シミュレーションデータの貼り付け!K99*シミュレーション!$D$12+シミュレーションデータの貼り付け!O99*シミュレーション!$D$13+シミュレーションデータの貼り付け!S99*シミュレーション!$D$14+シミュレーションデータの貼り付け!W99*シミュレーション!$D$15</f>
        <v>0</v>
      </c>
      <c r="D99" s="29">
        <f>シミュレーションデータの貼り付け!D99*シミュレーション!$D$10+シミュレーションデータの貼り付け!H99*シミュレーション!$D$11+シミュレーションデータの貼り付け!L99*シミュレーション!$D$12+シミュレーションデータの貼り付け!P99*シミュレーション!$D$13+シミュレーションデータの貼り付け!T99*シミュレーション!$D$14+シミュレーションデータの貼り付け!X99*シミュレーション!$D$15</f>
        <v>0</v>
      </c>
      <c r="E99" s="29">
        <f>シミュレーションデータの貼り付け!E99*シミュレーション!$D$10+シミュレーションデータの貼り付け!I99*シミュレーション!$D$11+シミュレーションデータの貼り付け!M99*シミュレーション!$D$12+シミュレーションデータの貼り付け!Q99*シミュレーション!$D$13+シミュレーションデータの貼り付け!U99*シミュレーション!$D$14+シミュレーションデータの貼り付け!Y99*シミュレーション!$D$15</f>
        <v>0</v>
      </c>
      <c r="F99" s="30">
        <f>シミュレーションデータの貼り付け!F99*シミュレーション!$D$10+シミュレーションデータの貼り付け!J99*シミュレーション!$D$11+シミュレーションデータの貼り付け!N99*シミュレーション!$D$12+シミュレーションデータの貼り付け!R99*シミュレーション!$D$13+シミュレーションデータの貼り付け!V99*シミュレーション!$D$14+シミュレーションデータの貼り付け!Z99*シミュレーション!$D$15</f>
        <v>0</v>
      </c>
      <c r="H99" s="18">
        <v>96</v>
      </c>
      <c r="I99" s="87">
        <f>シミュレーション!$D$19</f>
        <v>0</v>
      </c>
      <c r="J99" s="87">
        <f>I99*(1+'シミュレーション計算用（変更不要）'!C99)</f>
        <v>0</v>
      </c>
      <c r="K99" s="87">
        <f>J99*(1+'シミュレーション計算用（変更不要）'!D99)</f>
        <v>0</v>
      </c>
      <c r="L99" s="87">
        <f>K99*(1+'シミュレーション計算用（変更不要）'!E99)</f>
        <v>0</v>
      </c>
      <c r="M99" s="44">
        <f>L99*(1+'シミュレーション計算用（変更不要）'!F99)</f>
        <v>0</v>
      </c>
      <c r="O99" s="18">
        <v>96</v>
      </c>
      <c r="P99" s="87">
        <f>BarriarOptionPrice(シミュレーション!$K$11,シミュレーション!$H$11,I99,1-P$3,シミュレーション!$I$11,シミュレーション!$J$11,シミュレーション!$D$10:$D$15)</f>
        <v>0</v>
      </c>
      <c r="Q99" s="87">
        <f>BarriarOptionPrice(シミュレーション!$K$11,シミュレーション!$H$11,J99,1-Q$3,シミュレーション!$I$11,シミュレーション!$J$11,シミュレーション!$D$10:$D$15)</f>
        <v>0</v>
      </c>
      <c r="R99" s="87">
        <f>BarriarOptionPrice(シミュレーション!$K$11,シミュレーション!$H$11,K99,1-R$3,シミュレーション!$I$11,シミュレーション!$J$11,シミュレーション!$D$10:$D$15)</f>
        <v>0</v>
      </c>
      <c r="S99" s="87">
        <f>BarriarOptionPrice(シミュレーション!$K$11,シミュレーション!$H$11,L99,1-S$3,シミュレーション!$I$11,シミュレーション!$J$11,シミュレーション!$D$10:$D$15)</f>
        <v>0</v>
      </c>
      <c r="T99" s="44">
        <f>BarriarOptionPrice(シミュレーション!$K$11,シミュレーション!$H$11,M99,1-T$3,シミュレーション!$I$11,シミュレーション!$J$11,シミュレーション!$D$10:$D$15)</f>
        <v>0</v>
      </c>
      <c r="V99" s="18">
        <v>96</v>
      </c>
      <c r="W99" s="87">
        <f>BarriarOptionPrice(シミュレーション!$K$12,シミュレーション!$H$12,I99,1-P$3,シミュレーション!$I$12,シミュレーション!$J$12,シミュレーション!$D$10:$D$15)</f>
        <v>0</v>
      </c>
      <c r="X99" s="87">
        <f>BarriarOptionPrice(シミュレーション!$K$12,シミュレーション!$H$12,J99,1-Q$3,シミュレーション!$I$12,シミュレーション!$J$12,シミュレーション!$D$10:$D$15)</f>
        <v>0</v>
      </c>
      <c r="Y99" s="87">
        <f>BarriarOptionPrice(シミュレーション!$K$12,シミュレーション!$H$12,K99,1-R$3,シミュレーション!$I$12,シミュレーション!$J$12,シミュレーション!$D$10:$D$15)</f>
        <v>0</v>
      </c>
      <c r="Z99" s="87">
        <f>BarriarOptionPrice(シミュレーション!$K$12,シミュレーション!$H$12,L99,1-S$3,シミュレーション!$I$12,シミュレーション!$J$12,シミュレーション!$D$10:$D$15)</f>
        <v>0</v>
      </c>
      <c r="AA99" s="44">
        <f>BarriarOptionPrice(シミュレーション!$K$12,シミュレーション!$H$12,M99,1-T$3,シミュレーション!$I$12,シミュレーション!$J$12,シミュレーション!$D$10:$D$15)</f>
        <v>0</v>
      </c>
    </row>
    <row r="100" spans="2:27" ht="14.25" x14ac:dyDescent="0.15">
      <c r="B100" s="18">
        <v>97</v>
      </c>
      <c r="C100" s="29">
        <f>シミュレーションデータの貼り付け!C100*シミュレーション!$D$10+シミュレーションデータの貼り付け!G100*シミュレーション!$D$11+シミュレーションデータの貼り付け!K100*シミュレーション!$D$12+シミュレーションデータの貼り付け!O100*シミュレーション!$D$13+シミュレーションデータの貼り付け!S100*シミュレーション!$D$14+シミュレーションデータの貼り付け!W100*シミュレーション!$D$15</f>
        <v>0</v>
      </c>
      <c r="D100" s="29">
        <f>シミュレーションデータの貼り付け!D100*シミュレーション!$D$10+シミュレーションデータの貼り付け!H100*シミュレーション!$D$11+シミュレーションデータの貼り付け!L100*シミュレーション!$D$12+シミュレーションデータの貼り付け!P100*シミュレーション!$D$13+シミュレーションデータの貼り付け!T100*シミュレーション!$D$14+シミュレーションデータの貼り付け!X100*シミュレーション!$D$15</f>
        <v>0</v>
      </c>
      <c r="E100" s="29">
        <f>シミュレーションデータの貼り付け!E100*シミュレーション!$D$10+シミュレーションデータの貼り付け!I100*シミュレーション!$D$11+シミュレーションデータの貼り付け!M100*シミュレーション!$D$12+シミュレーションデータの貼り付け!Q100*シミュレーション!$D$13+シミュレーションデータの貼り付け!U100*シミュレーション!$D$14+シミュレーションデータの貼り付け!Y100*シミュレーション!$D$15</f>
        <v>0</v>
      </c>
      <c r="F100" s="30">
        <f>シミュレーションデータの貼り付け!F100*シミュレーション!$D$10+シミュレーションデータの貼り付け!J100*シミュレーション!$D$11+シミュレーションデータの貼り付け!N100*シミュレーション!$D$12+シミュレーションデータの貼り付け!R100*シミュレーション!$D$13+シミュレーションデータの貼り付け!V100*シミュレーション!$D$14+シミュレーションデータの貼り付け!Z100*シミュレーション!$D$15</f>
        <v>0</v>
      </c>
      <c r="H100" s="18">
        <v>97</v>
      </c>
      <c r="I100" s="87">
        <f>シミュレーション!$D$19</f>
        <v>0</v>
      </c>
      <c r="J100" s="87">
        <f>I100*(1+'シミュレーション計算用（変更不要）'!C100)</f>
        <v>0</v>
      </c>
      <c r="K100" s="87">
        <f>J100*(1+'シミュレーション計算用（変更不要）'!D100)</f>
        <v>0</v>
      </c>
      <c r="L100" s="87">
        <f>K100*(1+'シミュレーション計算用（変更不要）'!E100)</f>
        <v>0</v>
      </c>
      <c r="M100" s="44">
        <f>L100*(1+'シミュレーション計算用（変更不要）'!F100)</f>
        <v>0</v>
      </c>
      <c r="O100" s="18">
        <v>97</v>
      </c>
      <c r="P100" s="87">
        <f>BarriarOptionPrice(シミュレーション!$K$11,シミュレーション!$H$11,I100,1-P$3,シミュレーション!$I$11,シミュレーション!$J$11,シミュレーション!$D$10:$D$15)</f>
        <v>0</v>
      </c>
      <c r="Q100" s="87">
        <f>BarriarOptionPrice(シミュレーション!$K$11,シミュレーション!$H$11,J100,1-Q$3,シミュレーション!$I$11,シミュレーション!$J$11,シミュレーション!$D$10:$D$15)</f>
        <v>0</v>
      </c>
      <c r="R100" s="87">
        <f>BarriarOptionPrice(シミュレーション!$K$11,シミュレーション!$H$11,K100,1-R$3,シミュレーション!$I$11,シミュレーション!$J$11,シミュレーション!$D$10:$D$15)</f>
        <v>0</v>
      </c>
      <c r="S100" s="87">
        <f>BarriarOptionPrice(シミュレーション!$K$11,シミュレーション!$H$11,L100,1-S$3,シミュレーション!$I$11,シミュレーション!$J$11,シミュレーション!$D$10:$D$15)</f>
        <v>0</v>
      </c>
      <c r="T100" s="44">
        <f>BarriarOptionPrice(シミュレーション!$K$11,シミュレーション!$H$11,M100,1-T$3,シミュレーション!$I$11,シミュレーション!$J$11,シミュレーション!$D$10:$D$15)</f>
        <v>0</v>
      </c>
      <c r="V100" s="18">
        <v>97</v>
      </c>
      <c r="W100" s="87">
        <f>BarriarOptionPrice(シミュレーション!$K$12,シミュレーション!$H$12,I100,1-P$3,シミュレーション!$I$12,シミュレーション!$J$12,シミュレーション!$D$10:$D$15)</f>
        <v>0</v>
      </c>
      <c r="X100" s="87">
        <f>BarriarOptionPrice(シミュレーション!$K$12,シミュレーション!$H$12,J100,1-Q$3,シミュレーション!$I$12,シミュレーション!$J$12,シミュレーション!$D$10:$D$15)</f>
        <v>0</v>
      </c>
      <c r="Y100" s="87">
        <f>BarriarOptionPrice(シミュレーション!$K$12,シミュレーション!$H$12,K100,1-R$3,シミュレーション!$I$12,シミュレーション!$J$12,シミュレーション!$D$10:$D$15)</f>
        <v>0</v>
      </c>
      <c r="Z100" s="87">
        <f>BarriarOptionPrice(シミュレーション!$K$12,シミュレーション!$H$12,L100,1-S$3,シミュレーション!$I$12,シミュレーション!$J$12,シミュレーション!$D$10:$D$15)</f>
        <v>0</v>
      </c>
      <c r="AA100" s="44">
        <f>BarriarOptionPrice(シミュレーション!$K$12,シミュレーション!$H$12,M100,1-T$3,シミュレーション!$I$12,シミュレーション!$J$12,シミュレーション!$D$10:$D$15)</f>
        <v>0</v>
      </c>
    </row>
    <row r="101" spans="2:27" ht="14.25" x14ac:dyDescent="0.15">
      <c r="B101" s="18">
        <v>98</v>
      </c>
      <c r="C101" s="29">
        <f>シミュレーションデータの貼り付け!C101*シミュレーション!$D$10+シミュレーションデータの貼り付け!G101*シミュレーション!$D$11+シミュレーションデータの貼り付け!K101*シミュレーション!$D$12+シミュレーションデータの貼り付け!O101*シミュレーション!$D$13+シミュレーションデータの貼り付け!S101*シミュレーション!$D$14+シミュレーションデータの貼り付け!W101*シミュレーション!$D$15</f>
        <v>0</v>
      </c>
      <c r="D101" s="29">
        <f>シミュレーションデータの貼り付け!D101*シミュレーション!$D$10+シミュレーションデータの貼り付け!H101*シミュレーション!$D$11+シミュレーションデータの貼り付け!L101*シミュレーション!$D$12+シミュレーションデータの貼り付け!P101*シミュレーション!$D$13+シミュレーションデータの貼り付け!T101*シミュレーション!$D$14+シミュレーションデータの貼り付け!X101*シミュレーション!$D$15</f>
        <v>0</v>
      </c>
      <c r="E101" s="29">
        <f>シミュレーションデータの貼り付け!E101*シミュレーション!$D$10+シミュレーションデータの貼り付け!I101*シミュレーション!$D$11+シミュレーションデータの貼り付け!M101*シミュレーション!$D$12+シミュレーションデータの貼り付け!Q101*シミュレーション!$D$13+シミュレーションデータの貼り付け!U101*シミュレーション!$D$14+シミュレーションデータの貼り付け!Y101*シミュレーション!$D$15</f>
        <v>0</v>
      </c>
      <c r="F101" s="30">
        <f>シミュレーションデータの貼り付け!F101*シミュレーション!$D$10+シミュレーションデータの貼り付け!J101*シミュレーション!$D$11+シミュレーションデータの貼り付け!N101*シミュレーション!$D$12+シミュレーションデータの貼り付け!R101*シミュレーション!$D$13+シミュレーションデータの貼り付け!V101*シミュレーション!$D$14+シミュレーションデータの貼り付け!Z101*シミュレーション!$D$15</f>
        <v>0</v>
      </c>
      <c r="H101" s="18">
        <v>98</v>
      </c>
      <c r="I101" s="87">
        <f>シミュレーション!$D$19</f>
        <v>0</v>
      </c>
      <c r="J101" s="87">
        <f>I101*(1+'シミュレーション計算用（変更不要）'!C101)</f>
        <v>0</v>
      </c>
      <c r="K101" s="87">
        <f>J101*(1+'シミュレーション計算用（変更不要）'!D101)</f>
        <v>0</v>
      </c>
      <c r="L101" s="87">
        <f>K101*(1+'シミュレーション計算用（変更不要）'!E101)</f>
        <v>0</v>
      </c>
      <c r="M101" s="44">
        <f>L101*(1+'シミュレーション計算用（変更不要）'!F101)</f>
        <v>0</v>
      </c>
      <c r="O101" s="18">
        <v>98</v>
      </c>
      <c r="P101" s="87">
        <f>BarriarOptionPrice(シミュレーション!$K$11,シミュレーション!$H$11,I101,1-P$3,シミュレーション!$I$11,シミュレーション!$J$11,シミュレーション!$D$10:$D$15)</f>
        <v>0</v>
      </c>
      <c r="Q101" s="87">
        <f>BarriarOptionPrice(シミュレーション!$K$11,シミュレーション!$H$11,J101,1-Q$3,シミュレーション!$I$11,シミュレーション!$J$11,シミュレーション!$D$10:$D$15)</f>
        <v>0</v>
      </c>
      <c r="R101" s="87">
        <f>BarriarOptionPrice(シミュレーション!$K$11,シミュレーション!$H$11,K101,1-R$3,シミュレーション!$I$11,シミュレーション!$J$11,シミュレーション!$D$10:$D$15)</f>
        <v>0</v>
      </c>
      <c r="S101" s="87">
        <f>BarriarOptionPrice(シミュレーション!$K$11,シミュレーション!$H$11,L101,1-S$3,シミュレーション!$I$11,シミュレーション!$J$11,シミュレーション!$D$10:$D$15)</f>
        <v>0</v>
      </c>
      <c r="T101" s="44">
        <f>BarriarOptionPrice(シミュレーション!$K$11,シミュレーション!$H$11,M101,1-T$3,シミュレーション!$I$11,シミュレーション!$J$11,シミュレーション!$D$10:$D$15)</f>
        <v>0</v>
      </c>
      <c r="V101" s="18">
        <v>98</v>
      </c>
      <c r="W101" s="87">
        <f>BarriarOptionPrice(シミュレーション!$K$12,シミュレーション!$H$12,I101,1-P$3,シミュレーション!$I$12,シミュレーション!$J$12,シミュレーション!$D$10:$D$15)</f>
        <v>0</v>
      </c>
      <c r="X101" s="87">
        <f>BarriarOptionPrice(シミュレーション!$K$12,シミュレーション!$H$12,J101,1-Q$3,シミュレーション!$I$12,シミュレーション!$J$12,シミュレーション!$D$10:$D$15)</f>
        <v>0</v>
      </c>
      <c r="Y101" s="87">
        <f>BarriarOptionPrice(シミュレーション!$K$12,シミュレーション!$H$12,K101,1-R$3,シミュレーション!$I$12,シミュレーション!$J$12,シミュレーション!$D$10:$D$15)</f>
        <v>0</v>
      </c>
      <c r="Z101" s="87">
        <f>BarriarOptionPrice(シミュレーション!$K$12,シミュレーション!$H$12,L101,1-S$3,シミュレーション!$I$12,シミュレーション!$J$12,シミュレーション!$D$10:$D$15)</f>
        <v>0</v>
      </c>
      <c r="AA101" s="44">
        <f>BarriarOptionPrice(シミュレーション!$K$12,シミュレーション!$H$12,M101,1-T$3,シミュレーション!$I$12,シミュレーション!$J$12,シミュレーション!$D$10:$D$15)</f>
        <v>0</v>
      </c>
    </row>
    <row r="102" spans="2:27" ht="14.25" x14ac:dyDescent="0.15">
      <c r="B102" s="18">
        <v>99</v>
      </c>
      <c r="C102" s="29">
        <f>シミュレーションデータの貼り付け!C102*シミュレーション!$D$10+シミュレーションデータの貼り付け!G102*シミュレーション!$D$11+シミュレーションデータの貼り付け!K102*シミュレーション!$D$12+シミュレーションデータの貼り付け!O102*シミュレーション!$D$13+シミュレーションデータの貼り付け!S102*シミュレーション!$D$14+シミュレーションデータの貼り付け!W102*シミュレーション!$D$15</f>
        <v>0</v>
      </c>
      <c r="D102" s="29">
        <f>シミュレーションデータの貼り付け!D102*シミュレーション!$D$10+シミュレーションデータの貼り付け!H102*シミュレーション!$D$11+シミュレーションデータの貼り付け!L102*シミュレーション!$D$12+シミュレーションデータの貼り付け!P102*シミュレーション!$D$13+シミュレーションデータの貼り付け!T102*シミュレーション!$D$14+シミュレーションデータの貼り付け!X102*シミュレーション!$D$15</f>
        <v>0</v>
      </c>
      <c r="E102" s="29">
        <f>シミュレーションデータの貼り付け!E102*シミュレーション!$D$10+シミュレーションデータの貼り付け!I102*シミュレーション!$D$11+シミュレーションデータの貼り付け!M102*シミュレーション!$D$12+シミュレーションデータの貼り付け!Q102*シミュレーション!$D$13+シミュレーションデータの貼り付け!U102*シミュレーション!$D$14+シミュレーションデータの貼り付け!Y102*シミュレーション!$D$15</f>
        <v>0</v>
      </c>
      <c r="F102" s="30">
        <f>シミュレーションデータの貼り付け!F102*シミュレーション!$D$10+シミュレーションデータの貼り付け!J102*シミュレーション!$D$11+シミュレーションデータの貼り付け!N102*シミュレーション!$D$12+シミュレーションデータの貼り付け!R102*シミュレーション!$D$13+シミュレーションデータの貼り付け!V102*シミュレーション!$D$14+シミュレーションデータの貼り付け!Z102*シミュレーション!$D$15</f>
        <v>0</v>
      </c>
      <c r="H102" s="18">
        <v>99</v>
      </c>
      <c r="I102" s="87">
        <f>シミュレーション!$D$19</f>
        <v>0</v>
      </c>
      <c r="J102" s="87">
        <f>I102*(1+'シミュレーション計算用（変更不要）'!C102)</f>
        <v>0</v>
      </c>
      <c r="K102" s="87">
        <f>J102*(1+'シミュレーション計算用（変更不要）'!D102)</f>
        <v>0</v>
      </c>
      <c r="L102" s="87">
        <f>K102*(1+'シミュレーション計算用（変更不要）'!E102)</f>
        <v>0</v>
      </c>
      <c r="M102" s="44">
        <f>L102*(1+'シミュレーション計算用（変更不要）'!F102)</f>
        <v>0</v>
      </c>
      <c r="O102" s="18">
        <v>99</v>
      </c>
      <c r="P102" s="87">
        <f>BarriarOptionPrice(シミュレーション!$K$11,シミュレーション!$H$11,I102,1-P$3,シミュレーション!$I$11,シミュレーション!$J$11,シミュレーション!$D$10:$D$15)</f>
        <v>0</v>
      </c>
      <c r="Q102" s="87">
        <f>BarriarOptionPrice(シミュレーション!$K$11,シミュレーション!$H$11,J102,1-Q$3,シミュレーション!$I$11,シミュレーション!$J$11,シミュレーション!$D$10:$D$15)</f>
        <v>0</v>
      </c>
      <c r="R102" s="87">
        <f>BarriarOptionPrice(シミュレーション!$K$11,シミュレーション!$H$11,K102,1-R$3,シミュレーション!$I$11,シミュレーション!$J$11,シミュレーション!$D$10:$D$15)</f>
        <v>0</v>
      </c>
      <c r="S102" s="87">
        <f>BarriarOptionPrice(シミュレーション!$K$11,シミュレーション!$H$11,L102,1-S$3,シミュレーション!$I$11,シミュレーション!$J$11,シミュレーション!$D$10:$D$15)</f>
        <v>0</v>
      </c>
      <c r="T102" s="44">
        <f>BarriarOptionPrice(シミュレーション!$K$11,シミュレーション!$H$11,M102,1-T$3,シミュレーション!$I$11,シミュレーション!$J$11,シミュレーション!$D$10:$D$15)</f>
        <v>0</v>
      </c>
      <c r="V102" s="18">
        <v>99</v>
      </c>
      <c r="W102" s="87">
        <f>BarriarOptionPrice(シミュレーション!$K$12,シミュレーション!$H$12,I102,1-P$3,シミュレーション!$I$12,シミュレーション!$J$12,シミュレーション!$D$10:$D$15)</f>
        <v>0</v>
      </c>
      <c r="X102" s="87">
        <f>BarriarOptionPrice(シミュレーション!$K$12,シミュレーション!$H$12,J102,1-Q$3,シミュレーション!$I$12,シミュレーション!$J$12,シミュレーション!$D$10:$D$15)</f>
        <v>0</v>
      </c>
      <c r="Y102" s="87">
        <f>BarriarOptionPrice(シミュレーション!$K$12,シミュレーション!$H$12,K102,1-R$3,シミュレーション!$I$12,シミュレーション!$J$12,シミュレーション!$D$10:$D$15)</f>
        <v>0</v>
      </c>
      <c r="Z102" s="87">
        <f>BarriarOptionPrice(シミュレーション!$K$12,シミュレーション!$H$12,L102,1-S$3,シミュレーション!$I$12,シミュレーション!$J$12,シミュレーション!$D$10:$D$15)</f>
        <v>0</v>
      </c>
      <c r="AA102" s="44">
        <f>BarriarOptionPrice(シミュレーション!$K$12,シミュレーション!$H$12,M102,1-T$3,シミュレーション!$I$12,シミュレーション!$J$12,シミュレーション!$D$10:$D$15)</f>
        <v>0</v>
      </c>
    </row>
    <row r="103" spans="2:27" ht="15" thickBot="1" x14ac:dyDescent="0.2">
      <c r="B103" s="39">
        <v>100</v>
      </c>
      <c r="C103" s="31">
        <f>シミュレーションデータの貼り付け!C103*シミュレーション!$D$10+シミュレーションデータの貼り付け!G103*シミュレーション!$D$11+シミュレーションデータの貼り付け!K103*シミュレーション!$D$12+シミュレーションデータの貼り付け!O103*シミュレーション!$D$13+シミュレーションデータの貼り付け!S103*シミュレーション!$D$14+シミュレーションデータの貼り付け!W103*シミュレーション!$D$15</f>
        <v>0</v>
      </c>
      <c r="D103" s="31">
        <f>シミュレーションデータの貼り付け!D103*シミュレーション!$D$10+シミュレーションデータの貼り付け!H103*シミュレーション!$D$11+シミュレーションデータの貼り付け!L103*シミュレーション!$D$12+シミュレーションデータの貼り付け!P103*シミュレーション!$D$13+シミュレーションデータの貼り付け!T103*シミュレーション!$D$14+シミュレーションデータの貼り付け!X103*シミュレーション!$D$15</f>
        <v>0</v>
      </c>
      <c r="E103" s="31">
        <f>シミュレーションデータの貼り付け!E103*シミュレーション!$D$10+シミュレーションデータの貼り付け!I103*シミュレーション!$D$11+シミュレーションデータの貼り付け!M103*シミュレーション!$D$12+シミュレーションデータの貼り付け!Q103*シミュレーション!$D$13+シミュレーションデータの貼り付け!U103*シミュレーション!$D$14+シミュレーションデータの貼り付け!Y103*シミュレーション!$D$15</f>
        <v>0</v>
      </c>
      <c r="F103" s="32">
        <f>シミュレーションデータの貼り付け!F103*シミュレーション!$D$10+シミュレーションデータの貼り付け!J103*シミュレーション!$D$11+シミュレーションデータの貼り付け!N103*シミュレーション!$D$12+シミュレーションデータの貼り付け!R103*シミュレーション!$D$13+シミュレーションデータの貼り付け!V103*シミュレーション!$D$14+シミュレーションデータの貼り付け!Z103*シミュレーション!$D$15</f>
        <v>0</v>
      </c>
      <c r="H103" s="39">
        <v>100</v>
      </c>
      <c r="I103" s="88">
        <f>シミュレーション!$D$19</f>
        <v>0</v>
      </c>
      <c r="J103" s="88">
        <f>I103*(1+'シミュレーション計算用（変更不要）'!C103)</f>
        <v>0</v>
      </c>
      <c r="K103" s="88">
        <f>J103*(1+'シミュレーション計算用（変更不要）'!D103)</f>
        <v>0</v>
      </c>
      <c r="L103" s="88">
        <f>K103*(1+'シミュレーション計算用（変更不要）'!E103)</f>
        <v>0</v>
      </c>
      <c r="M103" s="45">
        <f>L103*(1+'シミュレーション計算用（変更不要）'!F103)</f>
        <v>0</v>
      </c>
      <c r="O103" s="39">
        <v>100</v>
      </c>
      <c r="P103" s="88">
        <f>BarriarOptionPrice(シミュレーション!$K$11,シミュレーション!$H$11,I103,1-P$3,シミュレーション!$I$11,シミュレーション!$J$11,シミュレーション!$D$10:$D$15)</f>
        <v>0</v>
      </c>
      <c r="Q103" s="88">
        <f>BarriarOptionPrice(シミュレーション!$K$11,シミュレーション!$H$11,J103,1-Q$3,シミュレーション!$I$11,シミュレーション!$J$11,シミュレーション!$D$10:$D$15)</f>
        <v>0</v>
      </c>
      <c r="R103" s="88">
        <f>BarriarOptionPrice(シミュレーション!$K$11,シミュレーション!$H$11,K103,1-R$3,シミュレーション!$I$11,シミュレーション!$J$11,シミュレーション!$D$10:$D$15)</f>
        <v>0</v>
      </c>
      <c r="S103" s="88">
        <f>BarriarOptionPrice(シミュレーション!$K$11,シミュレーション!$H$11,L103,1-S$3,シミュレーション!$I$11,シミュレーション!$J$11,シミュレーション!$D$10:$D$15)</f>
        <v>0</v>
      </c>
      <c r="T103" s="45">
        <f>BarriarOptionPrice(シミュレーション!$K$11,シミュレーション!$H$11,M103,1-T$3,シミュレーション!$I$11,シミュレーション!$J$11,シミュレーション!$D$10:$D$15)</f>
        <v>0</v>
      </c>
      <c r="V103" s="39">
        <v>100</v>
      </c>
      <c r="W103" s="88">
        <f>BarriarOptionPrice(シミュレーション!$K$12,シミュレーション!$H$12,I103,1-P$3,シミュレーション!$I$12,シミュレーション!$J$12,シミュレーション!$D$10:$D$15)</f>
        <v>0</v>
      </c>
      <c r="X103" s="88">
        <f>BarriarOptionPrice(シミュレーション!$K$12,シミュレーション!$H$12,J103,1-Q$3,シミュレーション!$I$12,シミュレーション!$J$12,シミュレーション!$D$10:$D$15)</f>
        <v>0</v>
      </c>
      <c r="Y103" s="88">
        <f>BarriarOptionPrice(シミュレーション!$K$12,シミュレーション!$H$12,K103,1-R$3,シミュレーション!$I$12,シミュレーション!$J$12,シミュレーション!$D$10:$D$15)</f>
        <v>0</v>
      </c>
      <c r="Z103" s="88">
        <f>BarriarOptionPrice(シミュレーション!$K$12,シミュレーション!$H$12,L103,1-S$3,シミュレーション!$I$12,シミュレーション!$J$12,シミュレーション!$D$10:$D$15)</f>
        <v>0</v>
      </c>
      <c r="AA103" s="45">
        <f>BarriarOptionPrice(シミュレーション!$K$12,シミュレーション!$H$12,M103,1-T$3,シミュレーション!$I$12,シミュレーション!$J$12,シミュレーション!$D$10:$D$15)</f>
        <v>0</v>
      </c>
    </row>
    <row r="104" spans="2:27" ht="14.25" thickBot="1" x14ac:dyDescent="0.2"/>
    <row r="105" spans="2:27" ht="14.25" x14ac:dyDescent="0.15">
      <c r="O105" s="13"/>
      <c r="P105" s="256"/>
      <c r="Q105" s="91" t="s">
        <v>97</v>
      </c>
      <c r="R105" s="54"/>
      <c r="S105" s="91"/>
      <c r="T105" s="55"/>
      <c r="V105" s="13"/>
      <c r="W105" s="256"/>
      <c r="X105" s="91" t="s">
        <v>97</v>
      </c>
      <c r="Y105" s="54"/>
      <c r="Z105" s="91"/>
      <c r="AA105" s="55"/>
    </row>
    <row r="106" spans="2:27" ht="14.25" x14ac:dyDescent="0.15">
      <c r="O106" s="18" t="s">
        <v>72</v>
      </c>
      <c r="P106" s="113">
        <v>0</v>
      </c>
      <c r="Q106" s="51">
        <v>0.25</v>
      </c>
      <c r="R106" s="51">
        <v>0.5</v>
      </c>
      <c r="S106" s="51">
        <v>0.75</v>
      </c>
      <c r="T106" s="52">
        <v>1</v>
      </c>
      <c r="V106" s="18" t="s">
        <v>72</v>
      </c>
      <c r="W106" s="113">
        <v>0</v>
      </c>
      <c r="X106" s="51">
        <v>0.25</v>
      </c>
      <c r="Y106" s="51">
        <v>0.5</v>
      </c>
      <c r="Z106" s="51">
        <v>0.75</v>
      </c>
      <c r="AA106" s="52">
        <v>1</v>
      </c>
    </row>
    <row r="107" spans="2:27" ht="14.25" x14ac:dyDescent="0.15">
      <c r="O107" s="18">
        <v>1</v>
      </c>
      <c r="P107" s="258">
        <f>Judge_01(シミュレーション!$K$11,I4,シミュレーション!$J$11)</f>
        <v>0</v>
      </c>
      <c r="Q107" s="258">
        <f>IF(State_after_knock(シミュレーション!$K$11)=P107,State_after_knock(シミュレーション!$K$11),Judge_01(シミュレーション!$K$11,I4,シミュレーション!$J$11))</f>
        <v>0</v>
      </c>
      <c r="R107" s="258">
        <f>IF(State_after_knock(シミュレーション!$K$11)=Q107,State_after_knock(シミュレーション!$K$11),Judge_01(シミュレーション!$K$11,J4,シミュレーション!$J$11))</f>
        <v>0</v>
      </c>
      <c r="S107" s="258">
        <f>IF(State_after_knock(シミュレーション!$K$11)=R107,State_after_knock(シミュレーション!$K$11),Judge_01(シミュレーション!$K$11,K4,シミュレーション!$J$11))</f>
        <v>0</v>
      </c>
      <c r="T107" s="225">
        <f>IF(State_after_knock(シミュレーション!$K$11)=S107,State_after_knock(シミュレーション!$K$11),Judge_01(シミュレーション!$K$11,L4,シミュレーション!$J$11))</f>
        <v>0</v>
      </c>
      <c r="V107" s="18">
        <v>1</v>
      </c>
      <c r="W107" s="258">
        <f>Judge_01(シミュレーション!$K$12,I4,シミュレーション!$J$12)</f>
        <v>0</v>
      </c>
      <c r="X107" s="258">
        <f>IF(State_after_knock(シミュレーション!$K$12)=W107,State_after_knock(シミュレーション!$K$12),Judge_01(シミュレーション!$K$12,I4,シミュレーション!$J$12))</f>
        <v>0</v>
      </c>
      <c r="Y107" s="258">
        <f>IF(State_after_knock(シミュレーション!$K$12)=X107,State_after_knock(シミュレーション!$K$12),Judge_01(シミュレーション!$K$12,J4,シミュレーション!$J$12))</f>
        <v>0</v>
      </c>
      <c r="Z107" s="258">
        <f>IF(State_after_knock(シミュレーション!$K$12)=Y107,State_after_knock(シミュレーション!$K$12),Judge_01(シミュレーション!$K$12,K4,シミュレーション!$J$12))</f>
        <v>0</v>
      </c>
      <c r="AA107" s="225">
        <f>IF(State_after_knock(シミュレーション!$K$12)=Z107,State_after_knock(シミュレーション!$K$12),Judge_01(シミュレーション!$K$12,L4,シミュレーション!$J$12))</f>
        <v>0</v>
      </c>
    </row>
    <row r="108" spans="2:27" ht="14.25" x14ac:dyDescent="0.15">
      <c r="O108" s="18">
        <v>2</v>
      </c>
      <c r="P108" s="258">
        <f>Judge_01(シミュレーション!$K$11,I5,シミュレーション!$J$11)</f>
        <v>0</v>
      </c>
      <c r="Q108" s="258">
        <f>IF(State_after_knock(シミュレーション!$K$11)=P108,State_after_knock(シミュレーション!$K$11),Judge_01(シミュレーション!$K$11,I5,シミュレーション!$J$11))</f>
        <v>0</v>
      </c>
      <c r="R108" s="258">
        <f>IF(State_after_knock(シミュレーション!$K$11)=Q108,State_after_knock(シミュレーション!$K$11),Judge_01(シミュレーション!$K$11,J5,シミュレーション!$J$11))</f>
        <v>0</v>
      </c>
      <c r="S108" s="258">
        <f>IF(State_after_knock(シミュレーション!$K$11)=R108,State_after_knock(シミュレーション!$K$11),Judge_01(シミュレーション!$K$11,K5,シミュレーション!$J$11))</f>
        <v>0</v>
      </c>
      <c r="T108" s="225">
        <f>IF(State_after_knock(シミュレーション!$K$11)=S108,State_after_knock(シミュレーション!$K$11),Judge_01(シミュレーション!$K$11,L5,シミュレーション!$J$11))</f>
        <v>0</v>
      </c>
      <c r="V108" s="18">
        <v>2</v>
      </c>
      <c r="W108" s="258">
        <f>Judge_01(シミュレーション!$K$12,I5,シミュレーション!$J$12)</f>
        <v>0</v>
      </c>
      <c r="X108" s="258">
        <f>IF(State_after_knock(シミュレーション!$K$12)=W108,State_after_knock(シミュレーション!$K$12),Judge_01(シミュレーション!$K$12,I5,シミュレーション!$J$12))</f>
        <v>0</v>
      </c>
      <c r="Y108" s="258">
        <f>IF(State_after_knock(シミュレーション!$K$12)=X108,State_after_knock(シミュレーション!$K$12),Judge_01(シミュレーション!$K$12,J5,シミュレーション!$J$12))</f>
        <v>0</v>
      </c>
      <c r="Z108" s="258">
        <f>IF(State_after_knock(シミュレーション!$K$12)=Y108,State_after_knock(シミュレーション!$K$12),Judge_01(シミュレーション!$K$12,K5,シミュレーション!$J$12))</f>
        <v>0</v>
      </c>
      <c r="AA108" s="225">
        <f>IF(State_after_knock(シミュレーション!$K$12)=Z108,State_after_knock(シミュレーション!$K$12),Judge_01(シミュレーション!$K$12,L5,シミュレーション!$J$12))</f>
        <v>0</v>
      </c>
    </row>
    <row r="109" spans="2:27" ht="14.25" x14ac:dyDescent="0.15">
      <c r="O109" s="18">
        <v>3</v>
      </c>
      <c r="P109" s="258">
        <f>Judge_01(シミュレーション!$K$11,I6,シミュレーション!$J$11)</f>
        <v>0</v>
      </c>
      <c r="Q109" s="258">
        <f>IF(State_after_knock(シミュレーション!$K$11)=P109,State_after_knock(シミュレーション!$K$11),Judge_01(シミュレーション!$K$11,I6,シミュレーション!$J$11))</f>
        <v>0</v>
      </c>
      <c r="R109" s="258">
        <f>IF(State_after_knock(シミュレーション!$K$11)=Q109,State_after_knock(シミュレーション!$K$11),Judge_01(シミュレーション!$K$11,J6,シミュレーション!$J$11))</f>
        <v>0</v>
      </c>
      <c r="S109" s="258">
        <f>IF(State_after_knock(シミュレーション!$K$11)=R109,State_after_knock(シミュレーション!$K$11),Judge_01(シミュレーション!$K$11,K6,シミュレーション!$J$11))</f>
        <v>0</v>
      </c>
      <c r="T109" s="225">
        <f>IF(State_after_knock(シミュレーション!$K$11)=S109,State_after_knock(シミュレーション!$K$11),Judge_01(シミュレーション!$K$11,L6,シミュレーション!$J$11))</f>
        <v>0</v>
      </c>
      <c r="V109" s="18">
        <v>3</v>
      </c>
      <c r="W109" s="258">
        <f>Judge_01(シミュレーション!$K$12,I6,シミュレーション!$J$12)</f>
        <v>0</v>
      </c>
      <c r="X109" s="258">
        <f>IF(State_after_knock(シミュレーション!$K$12)=W109,State_after_knock(シミュレーション!$K$12),Judge_01(シミュレーション!$K$12,I6,シミュレーション!$J$12))</f>
        <v>0</v>
      </c>
      <c r="Y109" s="258">
        <f>IF(State_after_knock(シミュレーション!$K$12)=X109,State_after_knock(シミュレーション!$K$12),Judge_01(シミュレーション!$K$12,J6,シミュレーション!$J$12))</f>
        <v>0</v>
      </c>
      <c r="Z109" s="258">
        <f>IF(State_after_knock(シミュレーション!$K$12)=Y109,State_after_knock(シミュレーション!$K$12),Judge_01(シミュレーション!$K$12,K6,シミュレーション!$J$12))</f>
        <v>0</v>
      </c>
      <c r="AA109" s="225">
        <f>IF(State_after_knock(シミュレーション!$K$12)=Z109,State_after_knock(シミュレーション!$K$12),Judge_01(シミュレーション!$K$12,L6,シミュレーション!$J$12))</f>
        <v>0</v>
      </c>
    </row>
    <row r="110" spans="2:27" ht="14.25" x14ac:dyDescent="0.15">
      <c r="O110" s="18">
        <v>4</v>
      </c>
      <c r="P110" s="258">
        <f>Judge_01(シミュレーション!$K$11,I7,シミュレーション!$J$11)</f>
        <v>0</v>
      </c>
      <c r="Q110" s="258">
        <f>IF(State_after_knock(シミュレーション!$K$11)=P110,State_after_knock(シミュレーション!$K$11),Judge_01(シミュレーション!$K$11,I7,シミュレーション!$J$11))</f>
        <v>0</v>
      </c>
      <c r="R110" s="258">
        <f>IF(State_after_knock(シミュレーション!$K$11)=Q110,State_after_knock(シミュレーション!$K$11),Judge_01(シミュレーション!$K$11,J7,シミュレーション!$J$11))</f>
        <v>0</v>
      </c>
      <c r="S110" s="258">
        <f>IF(State_after_knock(シミュレーション!$K$11)=R110,State_after_knock(シミュレーション!$K$11),Judge_01(シミュレーション!$K$11,K7,シミュレーション!$J$11))</f>
        <v>0</v>
      </c>
      <c r="T110" s="225">
        <f>IF(State_after_knock(シミュレーション!$K$11)=S110,State_after_knock(シミュレーション!$K$11),Judge_01(シミュレーション!$K$11,L7,シミュレーション!$J$11))</f>
        <v>0</v>
      </c>
      <c r="V110" s="18">
        <v>4</v>
      </c>
      <c r="W110" s="258">
        <f>Judge_01(シミュレーション!$K$12,I7,シミュレーション!$J$12)</f>
        <v>0</v>
      </c>
      <c r="X110" s="258">
        <f>IF(State_after_knock(シミュレーション!$K$12)=W110,State_after_knock(シミュレーション!$K$12),Judge_01(シミュレーション!$K$12,I7,シミュレーション!$J$12))</f>
        <v>0</v>
      </c>
      <c r="Y110" s="258">
        <f>IF(State_after_knock(シミュレーション!$K$12)=X110,State_after_knock(シミュレーション!$K$12),Judge_01(シミュレーション!$K$12,J7,シミュレーション!$J$12))</f>
        <v>0</v>
      </c>
      <c r="Z110" s="258">
        <f>IF(State_after_knock(シミュレーション!$K$12)=Y110,State_after_knock(シミュレーション!$K$12),Judge_01(シミュレーション!$K$12,K7,シミュレーション!$J$12))</f>
        <v>0</v>
      </c>
      <c r="AA110" s="225">
        <f>IF(State_after_knock(シミュレーション!$K$12)=Z110,State_after_knock(シミュレーション!$K$12),Judge_01(シミュレーション!$K$12,L7,シミュレーション!$J$12))</f>
        <v>0</v>
      </c>
    </row>
    <row r="111" spans="2:27" ht="14.25" x14ac:dyDescent="0.15">
      <c r="O111" s="18">
        <v>5</v>
      </c>
      <c r="P111" s="258">
        <f>Judge_01(シミュレーション!$K$11,I8,シミュレーション!$J$11)</f>
        <v>0</v>
      </c>
      <c r="Q111" s="258">
        <f>IF(State_after_knock(シミュレーション!$K$11)=P111,State_after_knock(シミュレーション!$K$11),Judge_01(シミュレーション!$K$11,I8,シミュレーション!$J$11))</f>
        <v>0</v>
      </c>
      <c r="R111" s="258">
        <f>IF(State_after_knock(シミュレーション!$K$11)=Q111,State_after_knock(シミュレーション!$K$11),Judge_01(シミュレーション!$K$11,J8,シミュレーション!$J$11))</f>
        <v>0</v>
      </c>
      <c r="S111" s="258">
        <f>IF(State_after_knock(シミュレーション!$K$11)=R111,State_after_knock(シミュレーション!$K$11),Judge_01(シミュレーション!$K$11,K8,シミュレーション!$J$11))</f>
        <v>0</v>
      </c>
      <c r="T111" s="225">
        <f>IF(State_after_knock(シミュレーション!$K$11)=S111,State_after_knock(シミュレーション!$K$11),Judge_01(シミュレーション!$K$11,L8,シミュレーション!$J$11))</f>
        <v>0</v>
      </c>
      <c r="V111" s="18">
        <v>5</v>
      </c>
      <c r="W111" s="258">
        <f>Judge_01(シミュレーション!$K$12,I8,シミュレーション!$J$12)</f>
        <v>0</v>
      </c>
      <c r="X111" s="258">
        <f>IF(State_after_knock(シミュレーション!$K$12)=W111,State_after_knock(シミュレーション!$K$12),Judge_01(シミュレーション!$K$12,I8,シミュレーション!$J$12))</f>
        <v>0</v>
      </c>
      <c r="Y111" s="258">
        <f>IF(State_after_knock(シミュレーション!$K$12)=X111,State_after_knock(シミュレーション!$K$12),Judge_01(シミュレーション!$K$12,J8,シミュレーション!$J$12))</f>
        <v>0</v>
      </c>
      <c r="Z111" s="258">
        <f>IF(State_after_knock(シミュレーション!$K$12)=Y111,State_after_knock(シミュレーション!$K$12),Judge_01(シミュレーション!$K$12,K8,シミュレーション!$J$12))</f>
        <v>0</v>
      </c>
      <c r="AA111" s="225">
        <f>IF(State_after_knock(シミュレーション!$K$12)=Z111,State_after_knock(シミュレーション!$K$12),Judge_01(シミュレーション!$K$12,L8,シミュレーション!$J$12))</f>
        <v>0</v>
      </c>
    </row>
    <row r="112" spans="2:27" ht="14.25" x14ac:dyDescent="0.15">
      <c r="O112" s="18">
        <v>6</v>
      </c>
      <c r="P112" s="258">
        <f>Judge_01(シミュレーション!$K$11,I9,シミュレーション!$J$11)</f>
        <v>0</v>
      </c>
      <c r="Q112" s="258">
        <f>IF(State_after_knock(シミュレーション!$K$11)=P112,State_after_knock(シミュレーション!$K$11),Judge_01(シミュレーション!$K$11,I9,シミュレーション!$J$11))</f>
        <v>0</v>
      </c>
      <c r="R112" s="258">
        <f>IF(State_after_knock(シミュレーション!$K$11)=Q112,State_after_knock(シミュレーション!$K$11),Judge_01(シミュレーション!$K$11,J9,シミュレーション!$J$11))</f>
        <v>0</v>
      </c>
      <c r="S112" s="258">
        <f>IF(State_after_knock(シミュレーション!$K$11)=R112,State_after_knock(シミュレーション!$K$11),Judge_01(シミュレーション!$K$11,K9,シミュレーション!$J$11))</f>
        <v>0</v>
      </c>
      <c r="T112" s="225">
        <f>IF(State_after_knock(シミュレーション!$K$11)=S112,State_after_knock(シミュレーション!$K$11),Judge_01(シミュレーション!$K$11,L9,シミュレーション!$J$11))</f>
        <v>0</v>
      </c>
      <c r="V112" s="18">
        <v>6</v>
      </c>
      <c r="W112" s="258">
        <f>Judge_01(シミュレーション!$K$12,I9,シミュレーション!$J$12)</f>
        <v>0</v>
      </c>
      <c r="X112" s="258">
        <f>IF(State_after_knock(シミュレーション!$K$12)=W112,State_after_knock(シミュレーション!$K$12),Judge_01(シミュレーション!$K$12,I9,シミュレーション!$J$12))</f>
        <v>0</v>
      </c>
      <c r="Y112" s="258">
        <f>IF(State_after_knock(シミュレーション!$K$12)=X112,State_after_knock(シミュレーション!$K$12),Judge_01(シミュレーション!$K$12,J9,シミュレーション!$J$12))</f>
        <v>0</v>
      </c>
      <c r="Z112" s="258">
        <f>IF(State_after_knock(シミュレーション!$K$12)=Y112,State_after_knock(シミュレーション!$K$12),Judge_01(シミュレーション!$K$12,K9,シミュレーション!$J$12))</f>
        <v>0</v>
      </c>
      <c r="AA112" s="225">
        <f>IF(State_after_knock(シミュレーション!$K$12)=Z112,State_after_knock(シミュレーション!$K$12),Judge_01(シミュレーション!$K$12,L9,シミュレーション!$J$12))</f>
        <v>0</v>
      </c>
    </row>
    <row r="113" spans="15:27" ht="14.25" x14ac:dyDescent="0.15">
      <c r="O113" s="18">
        <v>7</v>
      </c>
      <c r="P113" s="258">
        <f>Judge_01(シミュレーション!$K$11,I10,シミュレーション!$J$11)</f>
        <v>0</v>
      </c>
      <c r="Q113" s="258">
        <f>IF(State_after_knock(シミュレーション!$K$11)=P113,State_after_knock(シミュレーション!$K$11),Judge_01(シミュレーション!$K$11,I10,シミュレーション!$J$11))</f>
        <v>0</v>
      </c>
      <c r="R113" s="258">
        <f>IF(State_after_knock(シミュレーション!$K$11)=Q113,State_after_knock(シミュレーション!$K$11),Judge_01(シミュレーション!$K$11,J10,シミュレーション!$J$11))</f>
        <v>0</v>
      </c>
      <c r="S113" s="258">
        <f>IF(State_after_knock(シミュレーション!$K$11)=R113,State_after_knock(シミュレーション!$K$11),Judge_01(シミュレーション!$K$11,K10,シミュレーション!$J$11))</f>
        <v>0</v>
      </c>
      <c r="T113" s="225">
        <f>IF(State_after_knock(シミュレーション!$K$11)=S113,State_after_knock(シミュレーション!$K$11),Judge_01(シミュレーション!$K$11,L10,シミュレーション!$J$11))</f>
        <v>0</v>
      </c>
      <c r="V113" s="18">
        <v>7</v>
      </c>
      <c r="W113" s="258">
        <f>Judge_01(シミュレーション!$K$12,I10,シミュレーション!$J$12)</f>
        <v>0</v>
      </c>
      <c r="X113" s="258">
        <f>IF(State_after_knock(シミュレーション!$K$12)=W113,State_after_knock(シミュレーション!$K$12),Judge_01(シミュレーション!$K$12,I10,シミュレーション!$J$12))</f>
        <v>0</v>
      </c>
      <c r="Y113" s="258">
        <f>IF(State_after_knock(シミュレーション!$K$12)=X113,State_after_knock(シミュレーション!$K$12),Judge_01(シミュレーション!$K$12,J10,シミュレーション!$J$12))</f>
        <v>0</v>
      </c>
      <c r="Z113" s="258">
        <f>IF(State_after_knock(シミュレーション!$K$12)=Y113,State_after_knock(シミュレーション!$K$12),Judge_01(シミュレーション!$K$12,K10,シミュレーション!$J$12))</f>
        <v>0</v>
      </c>
      <c r="AA113" s="225">
        <f>IF(State_after_knock(シミュレーション!$K$12)=Z113,State_after_knock(シミュレーション!$K$12),Judge_01(シミュレーション!$K$12,L10,シミュレーション!$J$12))</f>
        <v>0</v>
      </c>
    </row>
    <row r="114" spans="15:27" ht="14.25" x14ac:dyDescent="0.15">
      <c r="O114" s="18">
        <v>8</v>
      </c>
      <c r="P114" s="258">
        <f>Judge_01(シミュレーション!$K$11,I11,シミュレーション!$J$11)</f>
        <v>0</v>
      </c>
      <c r="Q114" s="258">
        <f>IF(State_after_knock(シミュレーション!$K$11)=P114,State_after_knock(シミュレーション!$K$11),Judge_01(シミュレーション!$K$11,I11,シミュレーション!$J$11))</f>
        <v>0</v>
      </c>
      <c r="R114" s="258">
        <f>IF(State_after_knock(シミュレーション!$K$11)=Q114,State_after_knock(シミュレーション!$K$11),Judge_01(シミュレーション!$K$11,J11,シミュレーション!$J$11))</f>
        <v>0</v>
      </c>
      <c r="S114" s="258">
        <f>IF(State_after_knock(シミュレーション!$K$11)=R114,State_after_knock(シミュレーション!$K$11),Judge_01(シミュレーション!$K$11,K11,シミュレーション!$J$11))</f>
        <v>0</v>
      </c>
      <c r="T114" s="225">
        <f>IF(State_after_knock(シミュレーション!$K$11)=S114,State_after_knock(シミュレーション!$K$11),Judge_01(シミュレーション!$K$11,L11,シミュレーション!$J$11))</f>
        <v>0</v>
      </c>
      <c r="V114" s="18">
        <v>8</v>
      </c>
      <c r="W114" s="258">
        <f>Judge_01(シミュレーション!$K$12,I11,シミュレーション!$J$12)</f>
        <v>0</v>
      </c>
      <c r="X114" s="258">
        <f>IF(State_after_knock(シミュレーション!$K$12)=W114,State_after_knock(シミュレーション!$K$12),Judge_01(シミュレーション!$K$12,I11,シミュレーション!$J$12))</f>
        <v>0</v>
      </c>
      <c r="Y114" s="258">
        <f>IF(State_after_knock(シミュレーション!$K$12)=X114,State_after_knock(シミュレーション!$K$12),Judge_01(シミュレーション!$K$12,J11,シミュレーション!$J$12))</f>
        <v>0</v>
      </c>
      <c r="Z114" s="258">
        <f>IF(State_after_knock(シミュレーション!$K$12)=Y114,State_after_knock(シミュレーション!$K$12),Judge_01(シミュレーション!$K$12,K11,シミュレーション!$J$12))</f>
        <v>0</v>
      </c>
      <c r="AA114" s="225">
        <f>IF(State_after_knock(シミュレーション!$K$12)=Z114,State_after_knock(シミュレーション!$K$12),Judge_01(シミュレーション!$K$12,L11,シミュレーション!$J$12))</f>
        <v>0</v>
      </c>
    </row>
    <row r="115" spans="15:27" ht="14.25" x14ac:dyDescent="0.15">
      <c r="O115" s="18">
        <v>9</v>
      </c>
      <c r="P115" s="258">
        <f>Judge_01(シミュレーション!$K$11,I12,シミュレーション!$J$11)</f>
        <v>0</v>
      </c>
      <c r="Q115" s="258">
        <f>IF(State_after_knock(シミュレーション!$K$11)=P115,State_after_knock(シミュレーション!$K$11),Judge_01(シミュレーション!$K$11,I12,シミュレーション!$J$11))</f>
        <v>0</v>
      </c>
      <c r="R115" s="258">
        <f>IF(State_after_knock(シミュレーション!$K$11)=Q115,State_after_knock(シミュレーション!$K$11),Judge_01(シミュレーション!$K$11,J12,シミュレーション!$J$11))</f>
        <v>0</v>
      </c>
      <c r="S115" s="258">
        <f>IF(State_after_knock(シミュレーション!$K$11)=R115,State_after_knock(シミュレーション!$K$11),Judge_01(シミュレーション!$K$11,K12,シミュレーション!$J$11))</f>
        <v>0</v>
      </c>
      <c r="T115" s="225">
        <f>IF(State_after_knock(シミュレーション!$K$11)=S115,State_after_knock(シミュレーション!$K$11),Judge_01(シミュレーション!$K$11,L12,シミュレーション!$J$11))</f>
        <v>0</v>
      </c>
      <c r="V115" s="18">
        <v>9</v>
      </c>
      <c r="W115" s="258">
        <f>Judge_01(シミュレーション!$K$12,I12,シミュレーション!$J$12)</f>
        <v>0</v>
      </c>
      <c r="X115" s="258">
        <f>IF(State_after_knock(シミュレーション!$K$12)=W115,State_after_knock(シミュレーション!$K$12),Judge_01(シミュレーション!$K$12,I12,シミュレーション!$J$12))</f>
        <v>0</v>
      </c>
      <c r="Y115" s="258">
        <f>IF(State_after_knock(シミュレーション!$K$12)=X115,State_after_knock(シミュレーション!$K$12),Judge_01(シミュレーション!$K$12,J12,シミュレーション!$J$12))</f>
        <v>0</v>
      </c>
      <c r="Z115" s="258">
        <f>IF(State_after_knock(シミュレーション!$K$12)=Y115,State_after_knock(シミュレーション!$K$12),Judge_01(シミュレーション!$K$12,K12,シミュレーション!$J$12))</f>
        <v>0</v>
      </c>
      <c r="AA115" s="225">
        <f>IF(State_after_knock(シミュレーション!$K$12)=Z115,State_after_knock(シミュレーション!$K$12),Judge_01(シミュレーション!$K$12,L12,シミュレーション!$J$12))</f>
        <v>0</v>
      </c>
    </row>
    <row r="116" spans="15:27" ht="14.25" x14ac:dyDescent="0.15">
      <c r="O116" s="18">
        <v>10</v>
      </c>
      <c r="P116" s="258">
        <f>Judge_01(シミュレーション!$K$11,I13,シミュレーション!$J$11)</f>
        <v>0</v>
      </c>
      <c r="Q116" s="258">
        <f>IF(State_after_knock(シミュレーション!$K$11)=P116,State_after_knock(シミュレーション!$K$11),Judge_01(シミュレーション!$K$11,I13,シミュレーション!$J$11))</f>
        <v>0</v>
      </c>
      <c r="R116" s="258">
        <f>IF(State_after_knock(シミュレーション!$K$11)=Q116,State_after_knock(シミュレーション!$K$11),Judge_01(シミュレーション!$K$11,J13,シミュレーション!$J$11))</f>
        <v>0</v>
      </c>
      <c r="S116" s="258">
        <f>IF(State_after_knock(シミュレーション!$K$11)=R116,State_after_knock(シミュレーション!$K$11),Judge_01(シミュレーション!$K$11,K13,シミュレーション!$J$11))</f>
        <v>0</v>
      </c>
      <c r="T116" s="225">
        <f>IF(State_after_knock(シミュレーション!$K$11)=S116,State_after_knock(シミュレーション!$K$11),Judge_01(シミュレーション!$K$11,L13,シミュレーション!$J$11))</f>
        <v>0</v>
      </c>
      <c r="V116" s="18">
        <v>10</v>
      </c>
      <c r="W116" s="258">
        <f>Judge_01(シミュレーション!$K$12,I13,シミュレーション!$J$12)</f>
        <v>0</v>
      </c>
      <c r="X116" s="258">
        <f>IF(State_after_knock(シミュレーション!$K$12)=W116,State_after_knock(シミュレーション!$K$12),Judge_01(シミュレーション!$K$12,I13,シミュレーション!$J$12))</f>
        <v>0</v>
      </c>
      <c r="Y116" s="258">
        <f>IF(State_after_knock(シミュレーション!$K$12)=X116,State_after_knock(シミュレーション!$K$12),Judge_01(シミュレーション!$K$12,J13,シミュレーション!$J$12))</f>
        <v>0</v>
      </c>
      <c r="Z116" s="258">
        <f>IF(State_after_knock(シミュレーション!$K$12)=Y116,State_after_knock(シミュレーション!$K$12),Judge_01(シミュレーション!$K$12,K13,シミュレーション!$J$12))</f>
        <v>0</v>
      </c>
      <c r="AA116" s="225">
        <f>IF(State_after_knock(シミュレーション!$K$12)=Z116,State_after_knock(シミュレーション!$K$12),Judge_01(シミュレーション!$K$12,L13,シミュレーション!$J$12))</f>
        <v>0</v>
      </c>
    </row>
    <row r="117" spans="15:27" ht="14.25" x14ac:dyDescent="0.15">
      <c r="O117" s="18">
        <v>11</v>
      </c>
      <c r="P117" s="258">
        <f>Judge_01(シミュレーション!$K$11,I14,シミュレーション!$J$11)</f>
        <v>0</v>
      </c>
      <c r="Q117" s="258">
        <f>IF(State_after_knock(シミュレーション!$K$11)=P117,State_after_knock(シミュレーション!$K$11),Judge_01(シミュレーション!$K$11,I14,シミュレーション!$J$11))</f>
        <v>0</v>
      </c>
      <c r="R117" s="258">
        <f>IF(State_after_knock(シミュレーション!$K$11)=Q117,State_after_knock(シミュレーション!$K$11),Judge_01(シミュレーション!$K$11,J14,シミュレーション!$J$11))</f>
        <v>0</v>
      </c>
      <c r="S117" s="258">
        <f>IF(State_after_knock(シミュレーション!$K$11)=R117,State_after_knock(シミュレーション!$K$11),Judge_01(シミュレーション!$K$11,K14,シミュレーション!$J$11))</f>
        <v>0</v>
      </c>
      <c r="T117" s="225">
        <f>IF(State_after_knock(シミュレーション!$K$11)=S117,State_after_knock(シミュレーション!$K$11),Judge_01(シミュレーション!$K$11,L14,シミュレーション!$J$11))</f>
        <v>0</v>
      </c>
      <c r="V117" s="18">
        <v>11</v>
      </c>
      <c r="W117" s="258">
        <f>Judge_01(シミュレーション!$K$12,I14,シミュレーション!$J$12)</f>
        <v>0</v>
      </c>
      <c r="X117" s="258">
        <f>IF(State_after_knock(シミュレーション!$K$12)=W117,State_after_knock(シミュレーション!$K$12),Judge_01(シミュレーション!$K$12,I14,シミュレーション!$J$12))</f>
        <v>0</v>
      </c>
      <c r="Y117" s="258">
        <f>IF(State_after_knock(シミュレーション!$K$12)=X117,State_after_knock(シミュレーション!$K$12),Judge_01(シミュレーション!$K$12,J14,シミュレーション!$J$12))</f>
        <v>0</v>
      </c>
      <c r="Z117" s="258">
        <f>IF(State_after_knock(シミュレーション!$K$12)=Y117,State_after_knock(シミュレーション!$K$12),Judge_01(シミュレーション!$K$12,K14,シミュレーション!$J$12))</f>
        <v>0</v>
      </c>
      <c r="AA117" s="225">
        <f>IF(State_after_knock(シミュレーション!$K$12)=Z117,State_after_knock(シミュレーション!$K$12),Judge_01(シミュレーション!$K$12,L14,シミュレーション!$J$12))</f>
        <v>0</v>
      </c>
    </row>
    <row r="118" spans="15:27" ht="14.25" x14ac:dyDescent="0.15">
      <c r="O118" s="18">
        <v>12</v>
      </c>
      <c r="P118" s="258">
        <f>Judge_01(シミュレーション!$K$11,I15,シミュレーション!$J$11)</f>
        <v>0</v>
      </c>
      <c r="Q118" s="258">
        <f>IF(State_after_knock(シミュレーション!$K$11)=P118,State_after_knock(シミュレーション!$K$11),Judge_01(シミュレーション!$K$11,I15,シミュレーション!$J$11))</f>
        <v>0</v>
      </c>
      <c r="R118" s="258">
        <f>IF(State_after_knock(シミュレーション!$K$11)=Q118,State_after_knock(シミュレーション!$K$11),Judge_01(シミュレーション!$K$11,J15,シミュレーション!$J$11))</f>
        <v>0</v>
      </c>
      <c r="S118" s="258">
        <f>IF(State_after_knock(シミュレーション!$K$11)=R118,State_after_knock(シミュレーション!$K$11),Judge_01(シミュレーション!$K$11,K15,シミュレーション!$J$11))</f>
        <v>0</v>
      </c>
      <c r="T118" s="225">
        <f>IF(State_after_knock(シミュレーション!$K$11)=S118,State_after_knock(シミュレーション!$K$11),Judge_01(シミュレーション!$K$11,L15,シミュレーション!$J$11))</f>
        <v>0</v>
      </c>
      <c r="V118" s="18">
        <v>12</v>
      </c>
      <c r="W118" s="258">
        <f>Judge_01(シミュレーション!$K$12,I15,シミュレーション!$J$12)</f>
        <v>0</v>
      </c>
      <c r="X118" s="258">
        <f>IF(State_after_knock(シミュレーション!$K$12)=W118,State_after_knock(シミュレーション!$K$12),Judge_01(シミュレーション!$K$12,I15,シミュレーション!$J$12))</f>
        <v>0</v>
      </c>
      <c r="Y118" s="258">
        <f>IF(State_after_knock(シミュレーション!$K$12)=X118,State_after_knock(シミュレーション!$K$12),Judge_01(シミュレーション!$K$12,J15,シミュレーション!$J$12))</f>
        <v>0</v>
      </c>
      <c r="Z118" s="258">
        <f>IF(State_after_knock(シミュレーション!$K$12)=Y118,State_after_knock(シミュレーション!$K$12),Judge_01(シミュレーション!$K$12,K15,シミュレーション!$J$12))</f>
        <v>0</v>
      </c>
      <c r="AA118" s="225">
        <f>IF(State_after_knock(シミュレーション!$K$12)=Z118,State_after_knock(シミュレーション!$K$12),Judge_01(シミュレーション!$K$12,L15,シミュレーション!$J$12))</f>
        <v>0</v>
      </c>
    </row>
    <row r="119" spans="15:27" ht="14.25" x14ac:dyDescent="0.15">
      <c r="O119" s="18">
        <v>13</v>
      </c>
      <c r="P119" s="258">
        <f>Judge_01(シミュレーション!$K$11,I16,シミュレーション!$J$11)</f>
        <v>0</v>
      </c>
      <c r="Q119" s="258">
        <f>IF(State_after_knock(シミュレーション!$K$11)=P119,State_after_knock(シミュレーション!$K$11),Judge_01(シミュレーション!$K$11,I16,シミュレーション!$J$11))</f>
        <v>0</v>
      </c>
      <c r="R119" s="258">
        <f>IF(State_after_knock(シミュレーション!$K$11)=Q119,State_after_knock(シミュレーション!$K$11),Judge_01(シミュレーション!$K$11,J16,シミュレーション!$J$11))</f>
        <v>0</v>
      </c>
      <c r="S119" s="258">
        <f>IF(State_after_knock(シミュレーション!$K$11)=R119,State_after_knock(シミュレーション!$K$11),Judge_01(シミュレーション!$K$11,K16,シミュレーション!$J$11))</f>
        <v>0</v>
      </c>
      <c r="T119" s="225">
        <f>IF(State_after_knock(シミュレーション!$K$11)=S119,State_after_knock(シミュレーション!$K$11),Judge_01(シミュレーション!$K$11,L16,シミュレーション!$J$11))</f>
        <v>0</v>
      </c>
      <c r="V119" s="18">
        <v>13</v>
      </c>
      <c r="W119" s="258">
        <f>Judge_01(シミュレーション!$K$12,I16,シミュレーション!$J$12)</f>
        <v>0</v>
      </c>
      <c r="X119" s="258">
        <f>IF(State_after_knock(シミュレーション!$K$12)=W119,State_after_knock(シミュレーション!$K$12),Judge_01(シミュレーション!$K$12,I16,シミュレーション!$J$12))</f>
        <v>0</v>
      </c>
      <c r="Y119" s="258">
        <f>IF(State_after_knock(シミュレーション!$K$12)=X119,State_after_knock(シミュレーション!$K$12),Judge_01(シミュレーション!$K$12,J16,シミュレーション!$J$12))</f>
        <v>0</v>
      </c>
      <c r="Z119" s="258">
        <f>IF(State_after_knock(シミュレーション!$K$12)=Y119,State_after_knock(シミュレーション!$K$12),Judge_01(シミュレーション!$K$12,K16,シミュレーション!$J$12))</f>
        <v>0</v>
      </c>
      <c r="AA119" s="225">
        <f>IF(State_after_knock(シミュレーション!$K$12)=Z119,State_after_knock(シミュレーション!$K$12),Judge_01(シミュレーション!$K$12,L16,シミュレーション!$J$12))</f>
        <v>0</v>
      </c>
    </row>
    <row r="120" spans="15:27" ht="14.25" x14ac:dyDescent="0.15">
      <c r="O120" s="18">
        <v>14</v>
      </c>
      <c r="P120" s="258">
        <f>Judge_01(シミュレーション!$K$11,I17,シミュレーション!$J$11)</f>
        <v>0</v>
      </c>
      <c r="Q120" s="258">
        <f>IF(State_after_knock(シミュレーション!$K$11)=P120,State_after_knock(シミュレーション!$K$11),Judge_01(シミュレーション!$K$11,I17,シミュレーション!$J$11))</f>
        <v>0</v>
      </c>
      <c r="R120" s="258">
        <f>IF(State_after_knock(シミュレーション!$K$11)=Q120,State_after_knock(シミュレーション!$K$11),Judge_01(シミュレーション!$K$11,J17,シミュレーション!$J$11))</f>
        <v>0</v>
      </c>
      <c r="S120" s="258">
        <f>IF(State_after_knock(シミュレーション!$K$11)=R120,State_after_knock(シミュレーション!$K$11),Judge_01(シミュレーション!$K$11,K17,シミュレーション!$J$11))</f>
        <v>0</v>
      </c>
      <c r="T120" s="225">
        <f>IF(State_after_knock(シミュレーション!$K$11)=S120,State_after_knock(シミュレーション!$K$11),Judge_01(シミュレーション!$K$11,L17,シミュレーション!$J$11))</f>
        <v>0</v>
      </c>
      <c r="V120" s="18">
        <v>14</v>
      </c>
      <c r="W120" s="258">
        <f>Judge_01(シミュレーション!$K$12,I17,シミュレーション!$J$12)</f>
        <v>0</v>
      </c>
      <c r="X120" s="258">
        <f>IF(State_after_knock(シミュレーション!$K$12)=W120,State_after_knock(シミュレーション!$K$12),Judge_01(シミュレーション!$K$12,I17,シミュレーション!$J$12))</f>
        <v>0</v>
      </c>
      <c r="Y120" s="258">
        <f>IF(State_after_knock(シミュレーション!$K$12)=X120,State_after_knock(シミュレーション!$K$12),Judge_01(シミュレーション!$K$12,J17,シミュレーション!$J$12))</f>
        <v>0</v>
      </c>
      <c r="Z120" s="258">
        <f>IF(State_after_knock(シミュレーション!$K$12)=Y120,State_after_knock(シミュレーション!$K$12),Judge_01(シミュレーション!$K$12,K17,シミュレーション!$J$12))</f>
        <v>0</v>
      </c>
      <c r="AA120" s="225">
        <f>IF(State_after_knock(シミュレーション!$K$12)=Z120,State_after_knock(シミュレーション!$K$12),Judge_01(シミュレーション!$K$12,L17,シミュレーション!$J$12))</f>
        <v>0</v>
      </c>
    </row>
    <row r="121" spans="15:27" ht="14.25" x14ac:dyDescent="0.15">
      <c r="O121" s="18">
        <v>15</v>
      </c>
      <c r="P121" s="258">
        <f>Judge_01(シミュレーション!$K$11,I18,シミュレーション!$J$11)</f>
        <v>0</v>
      </c>
      <c r="Q121" s="258">
        <f>IF(State_after_knock(シミュレーション!$K$11)=P121,State_after_knock(シミュレーション!$K$11),Judge_01(シミュレーション!$K$11,I18,シミュレーション!$J$11))</f>
        <v>0</v>
      </c>
      <c r="R121" s="258">
        <f>IF(State_after_knock(シミュレーション!$K$11)=Q121,State_after_knock(シミュレーション!$K$11),Judge_01(シミュレーション!$K$11,J18,シミュレーション!$J$11))</f>
        <v>0</v>
      </c>
      <c r="S121" s="258">
        <f>IF(State_after_knock(シミュレーション!$K$11)=R121,State_after_knock(シミュレーション!$K$11),Judge_01(シミュレーション!$K$11,K18,シミュレーション!$J$11))</f>
        <v>0</v>
      </c>
      <c r="T121" s="225">
        <f>IF(State_after_knock(シミュレーション!$K$11)=S121,State_after_knock(シミュレーション!$K$11),Judge_01(シミュレーション!$K$11,L18,シミュレーション!$J$11))</f>
        <v>0</v>
      </c>
      <c r="V121" s="18">
        <v>15</v>
      </c>
      <c r="W121" s="258">
        <f>Judge_01(シミュレーション!$K$12,I18,シミュレーション!$J$12)</f>
        <v>0</v>
      </c>
      <c r="X121" s="258">
        <f>IF(State_after_knock(シミュレーション!$K$12)=W121,State_after_knock(シミュレーション!$K$12),Judge_01(シミュレーション!$K$12,I18,シミュレーション!$J$12))</f>
        <v>0</v>
      </c>
      <c r="Y121" s="258">
        <f>IF(State_after_knock(シミュレーション!$K$12)=X121,State_after_knock(シミュレーション!$K$12),Judge_01(シミュレーション!$K$12,J18,シミュレーション!$J$12))</f>
        <v>0</v>
      </c>
      <c r="Z121" s="258">
        <f>IF(State_after_knock(シミュレーション!$K$12)=Y121,State_after_knock(シミュレーション!$K$12),Judge_01(シミュレーション!$K$12,K18,シミュレーション!$J$12))</f>
        <v>0</v>
      </c>
      <c r="AA121" s="225">
        <f>IF(State_after_knock(シミュレーション!$K$12)=Z121,State_after_knock(シミュレーション!$K$12),Judge_01(シミュレーション!$K$12,L18,シミュレーション!$J$12))</f>
        <v>0</v>
      </c>
    </row>
    <row r="122" spans="15:27" ht="14.25" x14ac:dyDescent="0.15">
      <c r="O122" s="18">
        <v>16</v>
      </c>
      <c r="P122" s="258">
        <f>Judge_01(シミュレーション!$K$11,I19,シミュレーション!$J$11)</f>
        <v>0</v>
      </c>
      <c r="Q122" s="258">
        <f>IF(State_after_knock(シミュレーション!$K$11)=P122,State_after_knock(シミュレーション!$K$11),Judge_01(シミュレーション!$K$11,I19,シミュレーション!$J$11))</f>
        <v>0</v>
      </c>
      <c r="R122" s="258">
        <f>IF(State_after_knock(シミュレーション!$K$11)=Q122,State_after_knock(シミュレーション!$K$11),Judge_01(シミュレーション!$K$11,J19,シミュレーション!$J$11))</f>
        <v>0</v>
      </c>
      <c r="S122" s="258">
        <f>IF(State_after_knock(シミュレーション!$K$11)=R122,State_after_knock(シミュレーション!$K$11),Judge_01(シミュレーション!$K$11,K19,シミュレーション!$J$11))</f>
        <v>0</v>
      </c>
      <c r="T122" s="225">
        <f>IF(State_after_knock(シミュレーション!$K$11)=S122,State_after_knock(シミュレーション!$K$11),Judge_01(シミュレーション!$K$11,L19,シミュレーション!$J$11))</f>
        <v>0</v>
      </c>
      <c r="V122" s="18">
        <v>16</v>
      </c>
      <c r="W122" s="258">
        <f>Judge_01(シミュレーション!$K$12,I19,シミュレーション!$J$12)</f>
        <v>0</v>
      </c>
      <c r="X122" s="258">
        <f>IF(State_after_knock(シミュレーション!$K$12)=W122,State_after_knock(シミュレーション!$K$12),Judge_01(シミュレーション!$K$12,I19,シミュレーション!$J$12))</f>
        <v>0</v>
      </c>
      <c r="Y122" s="258">
        <f>IF(State_after_knock(シミュレーション!$K$12)=X122,State_after_knock(シミュレーション!$K$12),Judge_01(シミュレーション!$K$12,J19,シミュレーション!$J$12))</f>
        <v>0</v>
      </c>
      <c r="Z122" s="258">
        <f>IF(State_after_knock(シミュレーション!$K$12)=Y122,State_after_knock(シミュレーション!$K$12),Judge_01(シミュレーション!$K$12,K19,シミュレーション!$J$12))</f>
        <v>0</v>
      </c>
      <c r="AA122" s="225">
        <f>IF(State_after_knock(シミュレーション!$K$12)=Z122,State_after_knock(シミュレーション!$K$12),Judge_01(シミュレーション!$K$12,L19,シミュレーション!$J$12))</f>
        <v>0</v>
      </c>
    </row>
    <row r="123" spans="15:27" ht="14.25" x14ac:dyDescent="0.15">
      <c r="O123" s="18">
        <v>17</v>
      </c>
      <c r="P123" s="258">
        <f>Judge_01(シミュレーション!$K$11,I20,シミュレーション!$J$11)</f>
        <v>0</v>
      </c>
      <c r="Q123" s="258">
        <f>IF(State_after_knock(シミュレーション!$K$11)=P123,State_after_knock(シミュレーション!$K$11),Judge_01(シミュレーション!$K$11,I20,シミュレーション!$J$11))</f>
        <v>0</v>
      </c>
      <c r="R123" s="258">
        <f>IF(State_after_knock(シミュレーション!$K$11)=Q123,State_after_knock(シミュレーション!$K$11),Judge_01(シミュレーション!$K$11,J20,シミュレーション!$J$11))</f>
        <v>0</v>
      </c>
      <c r="S123" s="258">
        <f>IF(State_after_knock(シミュレーション!$K$11)=R123,State_after_knock(シミュレーション!$K$11),Judge_01(シミュレーション!$K$11,K20,シミュレーション!$J$11))</f>
        <v>0</v>
      </c>
      <c r="T123" s="225">
        <f>IF(State_after_knock(シミュレーション!$K$11)=S123,State_after_knock(シミュレーション!$K$11),Judge_01(シミュレーション!$K$11,L20,シミュレーション!$J$11))</f>
        <v>0</v>
      </c>
      <c r="V123" s="18">
        <v>17</v>
      </c>
      <c r="W123" s="258">
        <f>Judge_01(シミュレーション!$K$12,I20,シミュレーション!$J$12)</f>
        <v>0</v>
      </c>
      <c r="X123" s="258">
        <f>IF(State_after_knock(シミュレーション!$K$12)=W123,State_after_knock(シミュレーション!$K$12),Judge_01(シミュレーション!$K$12,I20,シミュレーション!$J$12))</f>
        <v>0</v>
      </c>
      <c r="Y123" s="258">
        <f>IF(State_after_knock(シミュレーション!$K$12)=X123,State_after_knock(シミュレーション!$K$12),Judge_01(シミュレーション!$K$12,J20,シミュレーション!$J$12))</f>
        <v>0</v>
      </c>
      <c r="Z123" s="258">
        <f>IF(State_after_knock(シミュレーション!$K$12)=Y123,State_after_knock(シミュレーション!$K$12),Judge_01(シミュレーション!$K$12,K20,シミュレーション!$J$12))</f>
        <v>0</v>
      </c>
      <c r="AA123" s="225">
        <f>IF(State_after_knock(シミュレーション!$K$12)=Z123,State_after_knock(シミュレーション!$K$12),Judge_01(シミュレーション!$K$12,L20,シミュレーション!$J$12))</f>
        <v>0</v>
      </c>
    </row>
    <row r="124" spans="15:27" ht="14.25" x14ac:dyDescent="0.15">
      <c r="O124" s="18">
        <v>18</v>
      </c>
      <c r="P124" s="258">
        <f>Judge_01(シミュレーション!$K$11,I21,シミュレーション!$J$11)</f>
        <v>0</v>
      </c>
      <c r="Q124" s="258">
        <f>IF(State_after_knock(シミュレーション!$K$11)=P124,State_after_knock(シミュレーション!$K$11),Judge_01(シミュレーション!$K$11,I21,シミュレーション!$J$11))</f>
        <v>0</v>
      </c>
      <c r="R124" s="258">
        <f>IF(State_after_knock(シミュレーション!$K$11)=Q124,State_after_knock(シミュレーション!$K$11),Judge_01(シミュレーション!$K$11,J21,シミュレーション!$J$11))</f>
        <v>0</v>
      </c>
      <c r="S124" s="258">
        <f>IF(State_after_knock(シミュレーション!$K$11)=R124,State_after_knock(シミュレーション!$K$11),Judge_01(シミュレーション!$K$11,K21,シミュレーション!$J$11))</f>
        <v>0</v>
      </c>
      <c r="T124" s="225">
        <f>IF(State_after_knock(シミュレーション!$K$11)=S124,State_after_knock(シミュレーション!$K$11),Judge_01(シミュレーション!$K$11,L21,シミュレーション!$J$11))</f>
        <v>0</v>
      </c>
      <c r="V124" s="18">
        <v>18</v>
      </c>
      <c r="W124" s="258">
        <f>Judge_01(シミュレーション!$K$12,I21,シミュレーション!$J$12)</f>
        <v>0</v>
      </c>
      <c r="X124" s="258">
        <f>IF(State_after_knock(シミュレーション!$K$12)=W124,State_after_knock(シミュレーション!$K$12),Judge_01(シミュレーション!$K$12,I21,シミュレーション!$J$12))</f>
        <v>0</v>
      </c>
      <c r="Y124" s="258">
        <f>IF(State_after_knock(シミュレーション!$K$12)=X124,State_after_knock(シミュレーション!$K$12),Judge_01(シミュレーション!$K$12,J21,シミュレーション!$J$12))</f>
        <v>0</v>
      </c>
      <c r="Z124" s="258">
        <f>IF(State_after_knock(シミュレーション!$K$12)=Y124,State_after_knock(シミュレーション!$K$12),Judge_01(シミュレーション!$K$12,K21,シミュレーション!$J$12))</f>
        <v>0</v>
      </c>
      <c r="AA124" s="225">
        <f>IF(State_after_knock(シミュレーション!$K$12)=Z124,State_after_knock(シミュレーション!$K$12),Judge_01(シミュレーション!$K$12,L21,シミュレーション!$J$12))</f>
        <v>0</v>
      </c>
    </row>
    <row r="125" spans="15:27" ht="14.25" x14ac:dyDescent="0.15">
      <c r="O125" s="18">
        <v>19</v>
      </c>
      <c r="P125" s="258">
        <f>Judge_01(シミュレーション!$K$11,I22,シミュレーション!$J$11)</f>
        <v>0</v>
      </c>
      <c r="Q125" s="258">
        <f>IF(State_after_knock(シミュレーション!$K$11)=P125,State_after_knock(シミュレーション!$K$11),Judge_01(シミュレーション!$K$11,I22,シミュレーション!$J$11))</f>
        <v>0</v>
      </c>
      <c r="R125" s="258">
        <f>IF(State_after_knock(シミュレーション!$K$11)=Q125,State_after_knock(シミュレーション!$K$11),Judge_01(シミュレーション!$K$11,J22,シミュレーション!$J$11))</f>
        <v>0</v>
      </c>
      <c r="S125" s="258">
        <f>IF(State_after_knock(シミュレーション!$K$11)=R125,State_after_knock(シミュレーション!$K$11),Judge_01(シミュレーション!$K$11,K22,シミュレーション!$J$11))</f>
        <v>0</v>
      </c>
      <c r="T125" s="225">
        <f>IF(State_after_knock(シミュレーション!$K$11)=S125,State_after_knock(シミュレーション!$K$11),Judge_01(シミュレーション!$K$11,L22,シミュレーション!$J$11))</f>
        <v>0</v>
      </c>
      <c r="V125" s="18">
        <v>19</v>
      </c>
      <c r="W125" s="258">
        <f>Judge_01(シミュレーション!$K$12,I22,シミュレーション!$J$12)</f>
        <v>0</v>
      </c>
      <c r="X125" s="258">
        <f>IF(State_after_knock(シミュレーション!$K$12)=W125,State_after_knock(シミュレーション!$K$12),Judge_01(シミュレーション!$K$12,I22,シミュレーション!$J$12))</f>
        <v>0</v>
      </c>
      <c r="Y125" s="258">
        <f>IF(State_after_knock(シミュレーション!$K$12)=X125,State_after_knock(シミュレーション!$K$12),Judge_01(シミュレーション!$K$12,J22,シミュレーション!$J$12))</f>
        <v>0</v>
      </c>
      <c r="Z125" s="258">
        <f>IF(State_after_knock(シミュレーション!$K$12)=Y125,State_after_knock(シミュレーション!$K$12),Judge_01(シミュレーション!$K$12,K22,シミュレーション!$J$12))</f>
        <v>0</v>
      </c>
      <c r="AA125" s="225">
        <f>IF(State_after_knock(シミュレーション!$K$12)=Z125,State_after_knock(シミュレーション!$K$12),Judge_01(シミュレーション!$K$12,L22,シミュレーション!$J$12))</f>
        <v>0</v>
      </c>
    </row>
    <row r="126" spans="15:27" ht="14.25" x14ac:dyDescent="0.15">
      <c r="O126" s="18">
        <v>20</v>
      </c>
      <c r="P126" s="258">
        <f>Judge_01(シミュレーション!$K$11,I23,シミュレーション!$J$11)</f>
        <v>0</v>
      </c>
      <c r="Q126" s="258">
        <f>IF(State_after_knock(シミュレーション!$K$11)=P126,State_after_knock(シミュレーション!$K$11),Judge_01(シミュレーション!$K$11,I23,シミュレーション!$J$11))</f>
        <v>0</v>
      </c>
      <c r="R126" s="258">
        <f>IF(State_after_knock(シミュレーション!$K$11)=Q126,State_after_knock(シミュレーション!$K$11),Judge_01(シミュレーション!$K$11,J23,シミュレーション!$J$11))</f>
        <v>0</v>
      </c>
      <c r="S126" s="258">
        <f>IF(State_after_knock(シミュレーション!$K$11)=R126,State_after_knock(シミュレーション!$K$11),Judge_01(シミュレーション!$K$11,K23,シミュレーション!$J$11))</f>
        <v>0</v>
      </c>
      <c r="T126" s="225">
        <f>IF(State_after_knock(シミュレーション!$K$11)=S126,State_after_knock(シミュレーション!$K$11),Judge_01(シミュレーション!$K$11,L23,シミュレーション!$J$11))</f>
        <v>0</v>
      </c>
      <c r="V126" s="18">
        <v>20</v>
      </c>
      <c r="W126" s="258">
        <f>Judge_01(シミュレーション!$K$12,I23,シミュレーション!$J$12)</f>
        <v>0</v>
      </c>
      <c r="X126" s="258">
        <f>IF(State_after_knock(シミュレーション!$K$12)=W126,State_after_knock(シミュレーション!$K$12),Judge_01(シミュレーション!$K$12,I23,シミュレーション!$J$12))</f>
        <v>0</v>
      </c>
      <c r="Y126" s="258">
        <f>IF(State_after_knock(シミュレーション!$K$12)=X126,State_after_knock(シミュレーション!$K$12),Judge_01(シミュレーション!$K$12,J23,シミュレーション!$J$12))</f>
        <v>0</v>
      </c>
      <c r="Z126" s="258">
        <f>IF(State_after_knock(シミュレーション!$K$12)=Y126,State_after_knock(シミュレーション!$K$12),Judge_01(シミュレーション!$K$12,K23,シミュレーション!$J$12))</f>
        <v>0</v>
      </c>
      <c r="AA126" s="225">
        <f>IF(State_after_knock(シミュレーション!$K$12)=Z126,State_after_knock(シミュレーション!$K$12),Judge_01(シミュレーション!$K$12,L23,シミュレーション!$J$12))</f>
        <v>0</v>
      </c>
    </row>
    <row r="127" spans="15:27" ht="14.25" x14ac:dyDescent="0.15">
      <c r="O127" s="18">
        <v>21</v>
      </c>
      <c r="P127" s="258">
        <f>Judge_01(シミュレーション!$K$11,I24,シミュレーション!$J$11)</f>
        <v>0</v>
      </c>
      <c r="Q127" s="258">
        <f>IF(State_after_knock(シミュレーション!$K$11)=P127,State_after_knock(シミュレーション!$K$11),Judge_01(シミュレーション!$K$11,I24,シミュレーション!$J$11))</f>
        <v>0</v>
      </c>
      <c r="R127" s="258">
        <f>IF(State_after_knock(シミュレーション!$K$11)=Q127,State_after_knock(シミュレーション!$K$11),Judge_01(シミュレーション!$K$11,J24,シミュレーション!$J$11))</f>
        <v>0</v>
      </c>
      <c r="S127" s="258">
        <f>IF(State_after_knock(シミュレーション!$K$11)=R127,State_after_knock(シミュレーション!$K$11),Judge_01(シミュレーション!$K$11,K24,シミュレーション!$J$11))</f>
        <v>0</v>
      </c>
      <c r="T127" s="225">
        <f>IF(State_after_knock(シミュレーション!$K$11)=S127,State_after_knock(シミュレーション!$K$11),Judge_01(シミュレーション!$K$11,L24,シミュレーション!$J$11))</f>
        <v>0</v>
      </c>
      <c r="V127" s="18">
        <v>21</v>
      </c>
      <c r="W127" s="258">
        <f>Judge_01(シミュレーション!$K$12,I24,シミュレーション!$J$12)</f>
        <v>0</v>
      </c>
      <c r="X127" s="258">
        <f>IF(State_after_knock(シミュレーション!$K$12)=W127,State_after_knock(シミュレーション!$K$12),Judge_01(シミュレーション!$K$12,I24,シミュレーション!$J$12))</f>
        <v>0</v>
      </c>
      <c r="Y127" s="258">
        <f>IF(State_after_knock(シミュレーション!$K$12)=X127,State_after_knock(シミュレーション!$K$12),Judge_01(シミュレーション!$K$12,J24,シミュレーション!$J$12))</f>
        <v>0</v>
      </c>
      <c r="Z127" s="258">
        <f>IF(State_after_knock(シミュレーション!$K$12)=Y127,State_after_knock(シミュレーション!$K$12),Judge_01(シミュレーション!$K$12,K24,シミュレーション!$J$12))</f>
        <v>0</v>
      </c>
      <c r="AA127" s="225">
        <f>IF(State_after_knock(シミュレーション!$K$12)=Z127,State_after_knock(シミュレーション!$K$12),Judge_01(シミュレーション!$K$12,L24,シミュレーション!$J$12))</f>
        <v>0</v>
      </c>
    </row>
    <row r="128" spans="15:27" ht="14.25" x14ac:dyDescent="0.15">
      <c r="O128" s="18">
        <v>22</v>
      </c>
      <c r="P128" s="258">
        <f>Judge_01(シミュレーション!$K$11,I25,シミュレーション!$J$11)</f>
        <v>0</v>
      </c>
      <c r="Q128" s="258">
        <f>IF(State_after_knock(シミュレーション!$K$11)=P128,State_after_knock(シミュレーション!$K$11),Judge_01(シミュレーション!$K$11,I25,シミュレーション!$J$11))</f>
        <v>0</v>
      </c>
      <c r="R128" s="258">
        <f>IF(State_after_knock(シミュレーション!$K$11)=Q128,State_after_knock(シミュレーション!$K$11),Judge_01(シミュレーション!$K$11,J25,シミュレーション!$J$11))</f>
        <v>0</v>
      </c>
      <c r="S128" s="258">
        <f>IF(State_after_knock(シミュレーション!$K$11)=R128,State_after_knock(シミュレーション!$K$11),Judge_01(シミュレーション!$K$11,K25,シミュレーション!$J$11))</f>
        <v>0</v>
      </c>
      <c r="T128" s="225">
        <f>IF(State_after_knock(シミュレーション!$K$11)=S128,State_after_knock(シミュレーション!$K$11),Judge_01(シミュレーション!$K$11,L25,シミュレーション!$J$11))</f>
        <v>0</v>
      </c>
      <c r="V128" s="18">
        <v>22</v>
      </c>
      <c r="W128" s="258">
        <f>Judge_01(シミュレーション!$K$12,I25,シミュレーション!$J$12)</f>
        <v>0</v>
      </c>
      <c r="X128" s="258">
        <f>IF(State_after_knock(シミュレーション!$K$12)=W128,State_after_knock(シミュレーション!$K$12),Judge_01(シミュレーション!$K$12,I25,シミュレーション!$J$12))</f>
        <v>0</v>
      </c>
      <c r="Y128" s="258">
        <f>IF(State_after_knock(シミュレーション!$K$12)=X128,State_after_knock(シミュレーション!$K$12),Judge_01(シミュレーション!$K$12,J25,シミュレーション!$J$12))</f>
        <v>0</v>
      </c>
      <c r="Z128" s="258">
        <f>IF(State_after_knock(シミュレーション!$K$12)=Y128,State_after_knock(シミュレーション!$K$12),Judge_01(シミュレーション!$K$12,K25,シミュレーション!$J$12))</f>
        <v>0</v>
      </c>
      <c r="AA128" s="225">
        <f>IF(State_after_knock(シミュレーション!$K$12)=Z128,State_after_knock(シミュレーション!$K$12),Judge_01(シミュレーション!$K$12,L25,シミュレーション!$J$12))</f>
        <v>0</v>
      </c>
    </row>
    <row r="129" spans="15:27" ht="14.25" x14ac:dyDescent="0.15">
      <c r="O129" s="18">
        <v>23</v>
      </c>
      <c r="P129" s="258">
        <f>Judge_01(シミュレーション!$K$11,I26,シミュレーション!$J$11)</f>
        <v>0</v>
      </c>
      <c r="Q129" s="258">
        <f>IF(State_after_knock(シミュレーション!$K$11)=P129,State_after_knock(シミュレーション!$K$11),Judge_01(シミュレーション!$K$11,I26,シミュレーション!$J$11))</f>
        <v>0</v>
      </c>
      <c r="R129" s="258">
        <f>IF(State_after_knock(シミュレーション!$K$11)=Q129,State_after_knock(シミュレーション!$K$11),Judge_01(シミュレーション!$K$11,J26,シミュレーション!$J$11))</f>
        <v>0</v>
      </c>
      <c r="S129" s="258">
        <f>IF(State_after_knock(シミュレーション!$K$11)=R129,State_after_knock(シミュレーション!$K$11),Judge_01(シミュレーション!$K$11,K26,シミュレーション!$J$11))</f>
        <v>0</v>
      </c>
      <c r="T129" s="225">
        <f>IF(State_after_knock(シミュレーション!$K$11)=S129,State_after_knock(シミュレーション!$K$11),Judge_01(シミュレーション!$K$11,L26,シミュレーション!$J$11))</f>
        <v>0</v>
      </c>
      <c r="V129" s="18">
        <v>23</v>
      </c>
      <c r="W129" s="258">
        <f>Judge_01(シミュレーション!$K$12,I26,シミュレーション!$J$12)</f>
        <v>0</v>
      </c>
      <c r="X129" s="258">
        <f>IF(State_after_knock(シミュレーション!$K$12)=W129,State_after_knock(シミュレーション!$K$12),Judge_01(シミュレーション!$K$12,I26,シミュレーション!$J$12))</f>
        <v>0</v>
      </c>
      <c r="Y129" s="258">
        <f>IF(State_after_knock(シミュレーション!$K$12)=X129,State_after_knock(シミュレーション!$K$12),Judge_01(シミュレーション!$K$12,J26,シミュレーション!$J$12))</f>
        <v>0</v>
      </c>
      <c r="Z129" s="258">
        <f>IF(State_after_knock(シミュレーション!$K$12)=Y129,State_after_knock(シミュレーション!$K$12),Judge_01(シミュレーション!$K$12,K26,シミュレーション!$J$12))</f>
        <v>0</v>
      </c>
      <c r="AA129" s="225">
        <f>IF(State_after_knock(シミュレーション!$K$12)=Z129,State_after_knock(シミュレーション!$K$12),Judge_01(シミュレーション!$K$12,L26,シミュレーション!$J$12))</f>
        <v>0</v>
      </c>
    </row>
    <row r="130" spans="15:27" ht="14.25" x14ac:dyDescent="0.15">
      <c r="O130" s="18">
        <v>24</v>
      </c>
      <c r="P130" s="258">
        <f>Judge_01(シミュレーション!$K$11,I27,シミュレーション!$J$11)</f>
        <v>0</v>
      </c>
      <c r="Q130" s="258">
        <f>IF(State_after_knock(シミュレーション!$K$11)=P130,State_after_knock(シミュレーション!$K$11),Judge_01(シミュレーション!$K$11,I27,シミュレーション!$J$11))</f>
        <v>0</v>
      </c>
      <c r="R130" s="258">
        <f>IF(State_after_knock(シミュレーション!$K$11)=Q130,State_after_knock(シミュレーション!$K$11),Judge_01(シミュレーション!$K$11,J27,シミュレーション!$J$11))</f>
        <v>0</v>
      </c>
      <c r="S130" s="258">
        <f>IF(State_after_knock(シミュレーション!$K$11)=R130,State_after_knock(シミュレーション!$K$11),Judge_01(シミュレーション!$K$11,K27,シミュレーション!$J$11))</f>
        <v>0</v>
      </c>
      <c r="T130" s="225">
        <f>IF(State_after_knock(シミュレーション!$K$11)=S130,State_after_knock(シミュレーション!$K$11),Judge_01(シミュレーション!$K$11,L27,シミュレーション!$J$11))</f>
        <v>0</v>
      </c>
      <c r="V130" s="18">
        <v>24</v>
      </c>
      <c r="W130" s="258">
        <f>Judge_01(シミュレーション!$K$12,I27,シミュレーション!$J$12)</f>
        <v>0</v>
      </c>
      <c r="X130" s="258">
        <f>IF(State_after_knock(シミュレーション!$K$12)=W130,State_after_knock(シミュレーション!$K$12),Judge_01(シミュレーション!$K$12,I27,シミュレーション!$J$12))</f>
        <v>0</v>
      </c>
      <c r="Y130" s="258">
        <f>IF(State_after_knock(シミュレーション!$K$12)=X130,State_after_knock(シミュレーション!$K$12),Judge_01(シミュレーション!$K$12,J27,シミュレーション!$J$12))</f>
        <v>0</v>
      </c>
      <c r="Z130" s="258">
        <f>IF(State_after_knock(シミュレーション!$K$12)=Y130,State_after_knock(シミュレーション!$K$12),Judge_01(シミュレーション!$K$12,K27,シミュレーション!$J$12))</f>
        <v>0</v>
      </c>
      <c r="AA130" s="225">
        <f>IF(State_after_knock(シミュレーション!$K$12)=Z130,State_after_knock(シミュレーション!$K$12),Judge_01(シミュレーション!$K$12,L27,シミュレーション!$J$12))</f>
        <v>0</v>
      </c>
    </row>
    <row r="131" spans="15:27" ht="14.25" x14ac:dyDescent="0.15">
      <c r="O131" s="18">
        <v>25</v>
      </c>
      <c r="P131" s="258">
        <f>Judge_01(シミュレーション!$K$11,I28,シミュレーション!$J$11)</f>
        <v>0</v>
      </c>
      <c r="Q131" s="258">
        <f>IF(State_after_knock(シミュレーション!$K$11)=P131,State_after_knock(シミュレーション!$K$11),Judge_01(シミュレーション!$K$11,I28,シミュレーション!$J$11))</f>
        <v>0</v>
      </c>
      <c r="R131" s="258">
        <f>IF(State_after_knock(シミュレーション!$K$11)=Q131,State_after_knock(シミュレーション!$K$11),Judge_01(シミュレーション!$K$11,J28,シミュレーション!$J$11))</f>
        <v>0</v>
      </c>
      <c r="S131" s="258">
        <f>IF(State_after_knock(シミュレーション!$K$11)=R131,State_after_knock(シミュレーション!$K$11),Judge_01(シミュレーション!$K$11,K28,シミュレーション!$J$11))</f>
        <v>0</v>
      </c>
      <c r="T131" s="225">
        <f>IF(State_after_knock(シミュレーション!$K$11)=S131,State_after_knock(シミュレーション!$K$11),Judge_01(シミュレーション!$K$11,L28,シミュレーション!$J$11))</f>
        <v>0</v>
      </c>
      <c r="V131" s="18">
        <v>25</v>
      </c>
      <c r="W131" s="258">
        <f>Judge_01(シミュレーション!$K$12,I28,シミュレーション!$J$12)</f>
        <v>0</v>
      </c>
      <c r="X131" s="258">
        <f>IF(State_after_knock(シミュレーション!$K$12)=W131,State_after_knock(シミュレーション!$K$12),Judge_01(シミュレーション!$K$12,I28,シミュレーション!$J$12))</f>
        <v>0</v>
      </c>
      <c r="Y131" s="258">
        <f>IF(State_after_knock(シミュレーション!$K$12)=X131,State_after_knock(シミュレーション!$K$12),Judge_01(シミュレーション!$K$12,J28,シミュレーション!$J$12))</f>
        <v>0</v>
      </c>
      <c r="Z131" s="258">
        <f>IF(State_after_knock(シミュレーション!$K$12)=Y131,State_after_knock(シミュレーション!$K$12),Judge_01(シミュレーション!$K$12,K28,シミュレーション!$J$12))</f>
        <v>0</v>
      </c>
      <c r="AA131" s="225">
        <f>IF(State_after_knock(シミュレーション!$K$12)=Z131,State_after_knock(シミュレーション!$K$12),Judge_01(シミュレーション!$K$12,L28,シミュレーション!$J$12))</f>
        <v>0</v>
      </c>
    </row>
    <row r="132" spans="15:27" ht="14.25" x14ac:dyDescent="0.15">
      <c r="O132" s="18">
        <v>26</v>
      </c>
      <c r="P132" s="258">
        <f>Judge_01(シミュレーション!$K$11,I29,シミュレーション!$J$11)</f>
        <v>0</v>
      </c>
      <c r="Q132" s="258">
        <f>IF(State_after_knock(シミュレーション!$K$11)=P132,State_after_knock(シミュレーション!$K$11),Judge_01(シミュレーション!$K$11,I29,シミュレーション!$J$11))</f>
        <v>0</v>
      </c>
      <c r="R132" s="258">
        <f>IF(State_after_knock(シミュレーション!$K$11)=Q132,State_after_knock(シミュレーション!$K$11),Judge_01(シミュレーション!$K$11,J29,シミュレーション!$J$11))</f>
        <v>0</v>
      </c>
      <c r="S132" s="258">
        <f>IF(State_after_knock(シミュレーション!$K$11)=R132,State_after_knock(シミュレーション!$K$11),Judge_01(シミュレーション!$K$11,K29,シミュレーション!$J$11))</f>
        <v>0</v>
      </c>
      <c r="T132" s="225">
        <f>IF(State_after_knock(シミュレーション!$K$11)=S132,State_after_knock(シミュレーション!$K$11),Judge_01(シミュレーション!$K$11,L29,シミュレーション!$J$11))</f>
        <v>0</v>
      </c>
      <c r="V132" s="18">
        <v>26</v>
      </c>
      <c r="W132" s="258">
        <f>Judge_01(シミュレーション!$K$12,I29,シミュレーション!$J$12)</f>
        <v>0</v>
      </c>
      <c r="X132" s="258">
        <f>IF(State_after_knock(シミュレーション!$K$12)=W132,State_after_knock(シミュレーション!$K$12),Judge_01(シミュレーション!$K$12,I29,シミュレーション!$J$12))</f>
        <v>0</v>
      </c>
      <c r="Y132" s="258">
        <f>IF(State_after_knock(シミュレーション!$K$12)=X132,State_after_knock(シミュレーション!$K$12),Judge_01(シミュレーション!$K$12,J29,シミュレーション!$J$12))</f>
        <v>0</v>
      </c>
      <c r="Z132" s="258">
        <f>IF(State_after_knock(シミュレーション!$K$12)=Y132,State_after_knock(シミュレーション!$K$12),Judge_01(シミュレーション!$K$12,K29,シミュレーション!$J$12))</f>
        <v>0</v>
      </c>
      <c r="AA132" s="225">
        <f>IF(State_after_knock(シミュレーション!$K$12)=Z132,State_after_knock(シミュレーション!$K$12),Judge_01(シミュレーション!$K$12,L29,シミュレーション!$J$12))</f>
        <v>0</v>
      </c>
    </row>
    <row r="133" spans="15:27" ht="14.25" x14ac:dyDescent="0.15">
      <c r="O133" s="18">
        <v>27</v>
      </c>
      <c r="P133" s="258">
        <f>Judge_01(シミュレーション!$K$11,I30,シミュレーション!$J$11)</f>
        <v>0</v>
      </c>
      <c r="Q133" s="258">
        <f>IF(State_after_knock(シミュレーション!$K$11)=P133,State_after_knock(シミュレーション!$K$11),Judge_01(シミュレーション!$K$11,I30,シミュレーション!$J$11))</f>
        <v>0</v>
      </c>
      <c r="R133" s="258">
        <f>IF(State_after_knock(シミュレーション!$K$11)=Q133,State_after_knock(シミュレーション!$K$11),Judge_01(シミュレーション!$K$11,J30,シミュレーション!$J$11))</f>
        <v>0</v>
      </c>
      <c r="S133" s="258">
        <f>IF(State_after_knock(シミュレーション!$K$11)=R133,State_after_knock(シミュレーション!$K$11),Judge_01(シミュレーション!$K$11,K30,シミュレーション!$J$11))</f>
        <v>0</v>
      </c>
      <c r="T133" s="225">
        <f>IF(State_after_knock(シミュレーション!$K$11)=S133,State_after_knock(シミュレーション!$K$11),Judge_01(シミュレーション!$K$11,L30,シミュレーション!$J$11))</f>
        <v>0</v>
      </c>
      <c r="V133" s="18">
        <v>27</v>
      </c>
      <c r="W133" s="258">
        <f>Judge_01(シミュレーション!$K$12,I30,シミュレーション!$J$12)</f>
        <v>0</v>
      </c>
      <c r="X133" s="258">
        <f>IF(State_after_knock(シミュレーション!$K$12)=W133,State_after_knock(シミュレーション!$K$12),Judge_01(シミュレーション!$K$12,I30,シミュレーション!$J$12))</f>
        <v>0</v>
      </c>
      <c r="Y133" s="258">
        <f>IF(State_after_knock(シミュレーション!$K$12)=X133,State_after_knock(シミュレーション!$K$12),Judge_01(シミュレーション!$K$12,J30,シミュレーション!$J$12))</f>
        <v>0</v>
      </c>
      <c r="Z133" s="258">
        <f>IF(State_after_knock(シミュレーション!$K$12)=Y133,State_after_knock(シミュレーション!$K$12),Judge_01(シミュレーション!$K$12,K30,シミュレーション!$J$12))</f>
        <v>0</v>
      </c>
      <c r="AA133" s="225">
        <f>IF(State_after_knock(シミュレーション!$K$12)=Z133,State_after_knock(シミュレーション!$K$12),Judge_01(シミュレーション!$K$12,L30,シミュレーション!$J$12))</f>
        <v>0</v>
      </c>
    </row>
    <row r="134" spans="15:27" ht="14.25" x14ac:dyDescent="0.15">
      <c r="O134" s="18">
        <v>28</v>
      </c>
      <c r="P134" s="258">
        <f>Judge_01(シミュレーション!$K$11,I31,シミュレーション!$J$11)</f>
        <v>0</v>
      </c>
      <c r="Q134" s="258">
        <f>IF(State_after_knock(シミュレーション!$K$11)=P134,State_after_knock(シミュレーション!$K$11),Judge_01(シミュレーション!$K$11,I31,シミュレーション!$J$11))</f>
        <v>0</v>
      </c>
      <c r="R134" s="258">
        <f>IF(State_after_knock(シミュレーション!$K$11)=Q134,State_after_knock(シミュレーション!$K$11),Judge_01(シミュレーション!$K$11,J31,シミュレーション!$J$11))</f>
        <v>0</v>
      </c>
      <c r="S134" s="258">
        <f>IF(State_after_knock(シミュレーション!$K$11)=R134,State_after_knock(シミュレーション!$K$11),Judge_01(シミュレーション!$K$11,K31,シミュレーション!$J$11))</f>
        <v>0</v>
      </c>
      <c r="T134" s="225">
        <f>IF(State_after_knock(シミュレーション!$K$11)=S134,State_after_knock(シミュレーション!$K$11),Judge_01(シミュレーション!$K$11,L31,シミュレーション!$J$11))</f>
        <v>0</v>
      </c>
      <c r="V134" s="18">
        <v>28</v>
      </c>
      <c r="W134" s="258">
        <f>Judge_01(シミュレーション!$K$12,I31,シミュレーション!$J$12)</f>
        <v>0</v>
      </c>
      <c r="X134" s="258">
        <f>IF(State_after_knock(シミュレーション!$K$12)=W134,State_after_knock(シミュレーション!$K$12),Judge_01(シミュレーション!$K$12,I31,シミュレーション!$J$12))</f>
        <v>0</v>
      </c>
      <c r="Y134" s="258">
        <f>IF(State_after_knock(シミュレーション!$K$12)=X134,State_after_knock(シミュレーション!$K$12),Judge_01(シミュレーション!$K$12,J31,シミュレーション!$J$12))</f>
        <v>0</v>
      </c>
      <c r="Z134" s="258">
        <f>IF(State_after_knock(シミュレーション!$K$12)=Y134,State_after_knock(シミュレーション!$K$12),Judge_01(シミュレーション!$K$12,K31,シミュレーション!$J$12))</f>
        <v>0</v>
      </c>
      <c r="AA134" s="225">
        <f>IF(State_after_knock(シミュレーション!$K$12)=Z134,State_after_knock(シミュレーション!$K$12),Judge_01(シミュレーション!$K$12,L31,シミュレーション!$J$12))</f>
        <v>0</v>
      </c>
    </row>
    <row r="135" spans="15:27" ht="14.25" x14ac:dyDescent="0.15">
      <c r="O135" s="18">
        <v>29</v>
      </c>
      <c r="P135" s="258">
        <f>Judge_01(シミュレーション!$K$11,I32,シミュレーション!$J$11)</f>
        <v>0</v>
      </c>
      <c r="Q135" s="258">
        <f>IF(State_after_knock(シミュレーション!$K$11)=P135,State_after_knock(シミュレーション!$K$11),Judge_01(シミュレーション!$K$11,I32,シミュレーション!$J$11))</f>
        <v>0</v>
      </c>
      <c r="R135" s="258">
        <f>IF(State_after_knock(シミュレーション!$K$11)=Q135,State_after_knock(シミュレーション!$K$11),Judge_01(シミュレーション!$K$11,J32,シミュレーション!$J$11))</f>
        <v>0</v>
      </c>
      <c r="S135" s="258">
        <f>IF(State_after_knock(シミュレーション!$K$11)=R135,State_after_knock(シミュレーション!$K$11),Judge_01(シミュレーション!$K$11,K32,シミュレーション!$J$11))</f>
        <v>0</v>
      </c>
      <c r="T135" s="225">
        <f>IF(State_after_knock(シミュレーション!$K$11)=S135,State_after_knock(シミュレーション!$K$11),Judge_01(シミュレーション!$K$11,L32,シミュレーション!$J$11))</f>
        <v>0</v>
      </c>
      <c r="V135" s="18">
        <v>29</v>
      </c>
      <c r="W135" s="258">
        <f>Judge_01(シミュレーション!$K$12,I32,シミュレーション!$J$12)</f>
        <v>0</v>
      </c>
      <c r="X135" s="258">
        <f>IF(State_after_knock(シミュレーション!$K$12)=W135,State_after_knock(シミュレーション!$K$12),Judge_01(シミュレーション!$K$12,I32,シミュレーション!$J$12))</f>
        <v>0</v>
      </c>
      <c r="Y135" s="258">
        <f>IF(State_after_knock(シミュレーション!$K$12)=X135,State_after_knock(シミュレーション!$K$12),Judge_01(シミュレーション!$K$12,J32,シミュレーション!$J$12))</f>
        <v>0</v>
      </c>
      <c r="Z135" s="258">
        <f>IF(State_after_knock(シミュレーション!$K$12)=Y135,State_after_knock(シミュレーション!$K$12),Judge_01(シミュレーション!$K$12,K32,シミュレーション!$J$12))</f>
        <v>0</v>
      </c>
      <c r="AA135" s="225">
        <f>IF(State_after_knock(シミュレーション!$K$12)=Z135,State_after_knock(シミュレーション!$K$12),Judge_01(シミュレーション!$K$12,L32,シミュレーション!$J$12))</f>
        <v>0</v>
      </c>
    </row>
    <row r="136" spans="15:27" ht="14.25" x14ac:dyDescent="0.15">
      <c r="O136" s="18">
        <v>30</v>
      </c>
      <c r="P136" s="258">
        <f>Judge_01(シミュレーション!$K$11,I33,シミュレーション!$J$11)</f>
        <v>0</v>
      </c>
      <c r="Q136" s="258">
        <f>IF(State_after_knock(シミュレーション!$K$11)=P136,State_after_knock(シミュレーション!$K$11),Judge_01(シミュレーション!$K$11,I33,シミュレーション!$J$11))</f>
        <v>0</v>
      </c>
      <c r="R136" s="258">
        <f>IF(State_after_knock(シミュレーション!$K$11)=Q136,State_after_knock(シミュレーション!$K$11),Judge_01(シミュレーション!$K$11,J33,シミュレーション!$J$11))</f>
        <v>0</v>
      </c>
      <c r="S136" s="258">
        <f>IF(State_after_knock(シミュレーション!$K$11)=R136,State_after_knock(シミュレーション!$K$11),Judge_01(シミュレーション!$K$11,K33,シミュレーション!$J$11))</f>
        <v>0</v>
      </c>
      <c r="T136" s="225">
        <f>IF(State_after_knock(シミュレーション!$K$11)=S136,State_after_knock(シミュレーション!$K$11),Judge_01(シミュレーション!$K$11,L33,シミュレーション!$J$11))</f>
        <v>0</v>
      </c>
      <c r="V136" s="18">
        <v>30</v>
      </c>
      <c r="W136" s="258">
        <f>Judge_01(シミュレーション!$K$12,I33,シミュレーション!$J$12)</f>
        <v>0</v>
      </c>
      <c r="X136" s="258">
        <f>IF(State_after_knock(シミュレーション!$K$12)=W136,State_after_knock(シミュレーション!$K$12),Judge_01(シミュレーション!$K$12,I33,シミュレーション!$J$12))</f>
        <v>0</v>
      </c>
      <c r="Y136" s="258">
        <f>IF(State_after_knock(シミュレーション!$K$12)=X136,State_after_knock(シミュレーション!$K$12),Judge_01(シミュレーション!$K$12,J33,シミュレーション!$J$12))</f>
        <v>0</v>
      </c>
      <c r="Z136" s="258">
        <f>IF(State_after_knock(シミュレーション!$K$12)=Y136,State_after_knock(シミュレーション!$K$12),Judge_01(シミュレーション!$K$12,K33,シミュレーション!$J$12))</f>
        <v>0</v>
      </c>
      <c r="AA136" s="225">
        <f>IF(State_after_knock(シミュレーション!$K$12)=Z136,State_after_knock(シミュレーション!$K$12),Judge_01(シミュレーション!$K$12,L33,シミュレーション!$J$12))</f>
        <v>0</v>
      </c>
    </row>
    <row r="137" spans="15:27" ht="14.25" x14ac:dyDescent="0.15">
      <c r="O137" s="18">
        <v>31</v>
      </c>
      <c r="P137" s="258">
        <f>Judge_01(シミュレーション!$K$11,I34,シミュレーション!$J$11)</f>
        <v>0</v>
      </c>
      <c r="Q137" s="258">
        <f>IF(State_after_knock(シミュレーション!$K$11)=P137,State_after_knock(シミュレーション!$K$11),Judge_01(シミュレーション!$K$11,I34,シミュレーション!$J$11))</f>
        <v>0</v>
      </c>
      <c r="R137" s="258">
        <f>IF(State_after_knock(シミュレーション!$K$11)=Q137,State_after_knock(シミュレーション!$K$11),Judge_01(シミュレーション!$K$11,J34,シミュレーション!$J$11))</f>
        <v>0</v>
      </c>
      <c r="S137" s="258">
        <f>IF(State_after_knock(シミュレーション!$K$11)=R137,State_after_knock(シミュレーション!$K$11),Judge_01(シミュレーション!$K$11,K34,シミュレーション!$J$11))</f>
        <v>0</v>
      </c>
      <c r="T137" s="225">
        <f>IF(State_after_knock(シミュレーション!$K$11)=S137,State_after_knock(シミュレーション!$K$11),Judge_01(シミュレーション!$K$11,L34,シミュレーション!$J$11))</f>
        <v>0</v>
      </c>
      <c r="V137" s="18">
        <v>31</v>
      </c>
      <c r="W137" s="258">
        <f>Judge_01(シミュレーション!$K$12,I34,シミュレーション!$J$12)</f>
        <v>0</v>
      </c>
      <c r="X137" s="258">
        <f>IF(State_after_knock(シミュレーション!$K$12)=W137,State_after_knock(シミュレーション!$K$12),Judge_01(シミュレーション!$K$12,I34,シミュレーション!$J$12))</f>
        <v>0</v>
      </c>
      <c r="Y137" s="258">
        <f>IF(State_after_knock(シミュレーション!$K$12)=X137,State_after_knock(シミュレーション!$K$12),Judge_01(シミュレーション!$K$12,J34,シミュレーション!$J$12))</f>
        <v>0</v>
      </c>
      <c r="Z137" s="258">
        <f>IF(State_after_knock(シミュレーション!$K$12)=Y137,State_after_knock(シミュレーション!$K$12),Judge_01(シミュレーション!$K$12,K34,シミュレーション!$J$12))</f>
        <v>0</v>
      </c>
      <c r="AA137" s="225">
        <f>IF(State_after_knock(シミュレーション!$K$12)=Z137,State_after_knock(シミュレーション!$K$12),Judge_01(シミュレーション!$K$12,L34,シミュレーション!$J$12))</f>
        <v>0</v>
      </c>
    </row>
    <row r="138" spans="15:27" ht="14.25" x14ac:dyDescent="0.15">
      <c r="O138" s="18">
        <v>32</v>
      </c>
      <c r="P138" s="258">
        <f>Judge_01(シミュレーション!$K$11,I35,シミュレーション!$J$11)</f>
        <v>0</v>
      </c>
      <c r="Q138" s="258">
        <f>IF(State_after_knock(シミュレーション!$K$11)=P138,State_after_knock(シミュレーション!$K$11),Judge_01(シミュレーション!$K$11,I35,シミュレーション!$J$11))</f>
        <v>0</v>
      </c>
      <c r="R138" s="258">
        <f>IF(State_after_knock(シミュレーション!$K$11)=Q138,State_after_knock(シミュレーション!$K$11),Judge_01(シミュレーション!$K$11,J35,シミュレーション!$J$11))</f>
        <v>0</v>
      </c>
      <c r="S138" s="258">
        <f>IF(State_after_knock(シミュレーション!$K$11)=R138,State_after_knock(シミュレーション!$K$11),Judge_01(シミュレーション!$K$11,K35,シミュレーション!$J$11))</f>
        <v>0</v>
      </c>
      <c r="T138" s="225">
        <f>IF(State_after_knock(シミュレーション!$K$11)=S138,State_after_knock(シミュレーション!$K$11),Judge_01(シミュレーション!$K$11,L35,シミュレーション!$J$11))</f>
        <v>0</v>
      </c>
      <c r="V138" s="18">
        <v>32</v>
      </c>
      <c r="W138" s="258">
        <f>Judge_01(シミュレーション!$K$12,I35,シミュレーション!$J$12)</f>
        <v>0</v>
      </c>
      <c r="X138" s="258">
        <f>IF(State_after_knock(シミュレーション!$K$12)=W138,State_after_knock(シミュレーション!$K$12),Judge_01(シミュレーション!$K$12,I35,シミュレーション!$J$12))</f>
        <v>0</v>
      </c>
      <c r="Y138" s="258">
        <f>IF(State_after_knock(シミュレーション!$K$12)=X138,State_after_knock(シミュレーション!$K$12),Judge_01(シミュレーション!$K$12,J35,シミュレーション!$J$12))</f>
        <v>0</v>
      </c>
      <c r="Z138" s="258">
        <f>IF(State_after_knock(シミュレーション!$K$12)=Y138,State_after_knock(シミュレーション!$K$12),Judge_01(シミュレーション!$K$12,K35,シミュレーション!$J$12))</f>
        <v>0</v>
      </c>
      <c r="AA138" s="225">
        <f>IF(State_after_knock(シミュレーション!$K$12)=Z138,State_after_knock(シミュレーション!$K$12),Judge_01(シミュレーション!$K$12,L35,シミュレーション!$J$12))</f>
        <v>0</v>
      </c>
    </row>
    <row r="139" spans="15:27" ht="14.25" x14ac:dyDescent="0.15">
      <c r="O139" s="18">
        <v>33</v>
      </c>
      <c r="P139" s="258">
        <f>Judge_01(シミュレーション!$K$11,I36,シミュレーション!$J$11)</f>
        <v>0</v>
      </c>
      <c r="Q139" s="258">
        <f>IF(State_after_knock(シミュレーション!$K$11)=P139,State_after_knock(シミュレーション!$K$11),Judge_01(シミュレーション!$K$11,I36,シミュレーション!$J$11))</f>
        <v>0</v>
      </c>
      <c r="R139" s="258">
        <f>IF(State_after_knock(シミュレーション!$K$11)=Q139,State_after_knock(シミュレーション!$K$11),Judge_01(シミュレーション!$K$11,J36,シミュレーション!$J$11))</f>
        <v>0</v>
      </c>
      <c r="S139" s="258">
        <f>IF(State_after_knock(シミュレーション!$K$11)=R139,State_after_knock(シミュレーション!$K$11),Judge_01(シミュレーション!$K$11,K36,シミュレーション!$J$11))</f>
        <v>0</v>
      </c>
      <c r="T139" s="225">
        <f>IF(State_after_knock(シミュレーション!$K$11)=S139,State_after_knock(シミュレーション!$K$11),Judge_01(シミュレーション!$K$11,L36,シミュレーション!$J$11))</f>
        <v>0</v>
      </c>
      <c r="V139" s="18">
        <v>33</v>
      </c>
      <c r="W139" s="258">
        <f>Judge_01(シミュレーション!$K$12,I36,シミュレーション!$J$12)</f>
        <v>0</v>
      </c>
      <c r="X139" s="258">
        <f>IF(State_after_knock(シミュレーション!$K$12)=W139,State_after_knock(シミュレーション!$K$12),Judge_01(シミュレーション!$K$12,I36,シミュレーション!$J$12))</f>
        <v>0</v>
      </c>
      <c r="Y139" s="258">
        <f>IF(State_after_knock(シミュレーション!$K$12)=X139,State_after_knock(シミュレーション!$K$12),Judge_01(シミュレーション!$K$12,J36,シミュレーション!$J$12))</f>
        <v>0</v>
      </c>
      <c r="Z139" s="258">
        <f>IF(State_after_knock(シミュレーション!$K$12)=Y139,State_after_knock(シミュレーション!$K$12),Judge_01(シミュレーション!$K$12,K36,シミュレーション!$J$12))</f>
        <v>0</v>
      </c>
      <c r="AA139" s="225">
        <f>IF(State_after_knock(シミュレーション!$K$12)=Z139,State_after_knock(シミュレーション!$K$12),Judge_01(シミュレーション!$K$12,L36,シミュレーション!$J$12))</f>
        <v>0</v>
      </c>
    </row>
    <row r="140" spans="15:27" ht="14.25" x14ac:dyDescent="0.15">
      <c r="O140" s="18">
        <v>34</v>
      </c>
      <c r="P140" s="258">
        <f>Judge_01(シミュレーション!$K$11,I37,シミュレーション!$J$11)</f>
        <v>0</v>
      </c>
      <c r="Q140" s="258">
        <f>IF(State_after_knock(シミュレーション!$K$11)=P140,State_after_knock(シミュレーション!$K$11),Judge_01(シミュレーション!$K$11,I37,シミュレーション!$J$11))</f>
        <v>0</v>
      </c>
      <c r="R140" s="258">
        <f>IF(State_after_knock(シミュレーション!$K$11)=Q140,State_after_knock(シミュレーション!$K$11),Judge_01(シミュレーション!$K$11,J37,シミュレーション!$J$11))</f>
        <v>0</v>
      </c>
      <c r="S140" s="258">
        <f>IF(State_after_knock(シミュレーション!$K$11)=R140,State_after_knock(シミュレーション!$K$11),Judge_01(シミュレーション!$K$11,K37,シミュレーション!$J$11))</f>
        <v>0</v>
      </c>
      <c r="T140" s="225">
        <f>IF(State_after_knock(シミュレーション!$K$11)=S140,State_after_knock(シミュレーション!$K$11),Judge_01(シミュレーション!$K$11,L37,シミュレーション!$J$11))</f>
        <v>0</v>
      </c>
      <c r="V140" s="18">
        <v>34</v>
      </c>
      <c r="W140" s="258">
        <f>Judge_01(シミュレーション!$K$12,I37,シミュレーション!$J$12)</f>
        <v>0</v>
      </c>
      <c r="X140" s="258">
        <f>IF(State_after_knock(シミュレーション!$K$12)=W140,State_after_knock(シミュレーション!$K$12),Judge_01(シミュレーション!$K$12,I37,シミュレーション!$J$12))</f>
        <v>0</v>
      </c>
      <c r="Y140" s="258">
        <f>IF(State_after_knock(シミュレーション!$K$12)=X140,State_after_knock(シミュレーション!$K$12),Judge_01(シミュレーション!$K$12,J37,シミュレーション!$J$12))</f>
        <v>0</v>
      </c>
      <c r="Z140" s="258">
        <f>IF(State_after_knock(シミュレーション!$K$12)=Y140,State_after_knock(シミュレーション!$K$12),Judge_01(シミュレーション!$K$12,K37,シミュレーション!$J$12))</f>
        <v>0</v>
      </c>
      <c r="AA140" s="225">
        <f>IF(State_after_knock(シミュレーション!$K$12)=Z140,State_after_knock(シミュレーション!$K$12),Judge_01(シミュレーション!$K$12,L37,シミュレーション!$J$12))</f>
        <v>0</v>
      </c>
    </row>
    <row r="141" spans="15:27" ht="14.25" x14ac:dyDescent="0.15">
      <c r="O141" s="18">
        <v>35</v>
      </c>
      <c r="P141" s="258">
        <f>Judge_01(シミュレーション!$K$11,I38,シミュレーション!$J$11)</f>
        <v>0</v>
      </c>
      <c r="Q141" s="258">
        <f>IF(State_after_knock(シミュレーション!$K$11)=P141,State_after_knock(シミュレーション!$K$11),Judge_01(シミュレーション!$K$11,I38,シミュレーション!$J$11))</f>
        <v>0</v>
      </c>
      <c r="R141" s="258">
        <f>IF(State_after_knock(シミュレーション!$K$11)=Q141,State_after_knock(シミュレーション!$K$11),Judge_01(シミュレーション!$K$11,J38,シミュレーション!$J$11))</f>
        <v>0</v>
      </c>
      <c r="S141" s="258">
        <f>IF(State_after_knock(シミュレーション!$K$11)=R141,State_after_knock(シミュレーション!$K$11),Judge_01(シミュレーション!$K$11,K38,シミュレーション!$J$11))</f>
        <v>0</v>
      </c>
      <c r="T141" s="225">
        <f>IF(State_after_knock(シミュレーション!$K$11)=S141,State_after_knock(シミュレーション!$K$11),Judge_01(シミュレーション!$K$11,L38,シミュレーション!$J$11))</f>
        <v>0</v>
      </c>
      <c r="V141" s="18">
        <v>35</v>
      </c>
      <c r="W141" s="258">
        <f>Judge_01(シミュレーション!$K$12,I38,シミュレーション!$J$12)</f>
        <v>0</v>
      </c>
      <c r="X141" s="258">
        <f>IF(State_after_knock(シミュレーション!$K$12)=W141,State_after_knock(シミュレーション!$K$12),Judge_01(シミュレーション!$K$12,I38,シミュレーション!$J$12))</f>
        <v>0</v>
      </c>
      <c r="Y141" s="258">
        <f>IF(State_after_knock(シミュレーション!$K$12)=X141,State_after_knock(シミュレーション!$K$12),Judge_01(シミュレーション!$K$12,J38,シミュレーション!$J$12))</f>
        <v>0</v>
      </c>
      <c r="Z141" s="258">
        <f>IF(State_after_knock(シミュレーション!$K$12)=Y141,State_after_knock(シミュレーション!$K$12),Judge_01(シミュレーション!$K$12,K38,シミュレーション!$J$12))</f>
        <v>0</v>
      </c>
      <c r="AA141" s="225">
        <f>IF(State_after_knock(シミュレーション!$K$12)=Z141,State_after_knock(シミュレーション!$K$12),Judge_01(シミュレーション!$K$12,L38,シミュレーション!$J$12))</f>
        <v>0</v>
      </c>
    </row>
    <row r="142" spans="15:27" ht="14.25" x14ac:dyDescent="0.15">
      <c r="O142" s="18">
        <v>36</v>
      </c>
      <c r="P142" s="258">
        <f>Judge_01(シミュレーション!$K$11,I39,シミュレーション!$J$11)</f>
        <v>0</v>
      </c>
      <c r="Q142" s="258">
        <f>IF(State_after_knock(シミュレーション!$K$11)=P142,State_after_knock(シミュレーション!$K$11),Judge_01(シミュレーション!$K$11,I39,シミュレーション!$J$11))</f>
        <v>0</v>
      </c>
      <c r="R142" s="258">
        <f>IF(State_after_knock(シミュレーション!$K$11)=Q142,State_after_knock(シミュレーション!$K$11),Judge_01(シミュレーション!$K$11,J39,シミュレーション!$J$11))</f>
        <v>0</v>
      </c>
      <c r="S142" s="258">
        <f>IF(State_after_knock(シミュレーション!$K$11)=R142,State_after_knock(シミュレーション!$K$11),Judge_01(シミュレーション!$K$11,K39,シミュレーション!$J$11))</f>
        <v>0</v>
      </c>
      <c r="T142" s="225">
        <f>IF(State_after_knock(シミュレーション!$K$11)=S142,State_after_knock(シミュレーション!$K$11),Judge_01(シミュレーション!$K$11,L39,シミュレーション!$J$11))</f>
        <v>0</v>
      </c>
      <c r="V142" s="18">
        <v>36</v>
      </c>
      <c r="W142" s="258">
        <f>Judge_01(シミュレーション!$K$12,I39,シミュレーション!$J$12)</f>
        <v>0</v>
      </c>
      <c r="X142" s="258">
        <f>IF(State_after_knock(シミュレーション!$K$12)=W142,State_after_knock(シミュレーション!$K$12),Judge_01(シミュレーション!$K$12,I39,シミュレーション!$J$12))</f>
        <v>0</v>
      </c>
      <c r="Y142" s="258">
        <f>IF(State_after_knock(シミュレーション!$K$12)=X142,State_after_knock(シミュレーション!$K$12),Judge_01(シミュレーション!$K$12,J39,シミュレーション!$J$12))</f>
        <v>0</v>
      </c>
      <c r="Z142" s="258">
        <f>IF(State_after_knock(シミュレーション!$K$12)=Y142,State_after_knock(シミュレーション!$K$12),Judge_01(シミュレーション!$K$12,K39,シミュレーション!$J$12))</f>
        <v>0</v>
      </c>
      <c r="AA142" s="225">
        <f>IF(State_after_knock(シミュレーション!$K$12)=Z142,State_after_knock(シミュレーション!$K$12),Judge_01(シミュレーション!$K$12,L39,シミュレーション!$J$12))</f>
        <v>0</v>
      </c>
    </row>
    <row r="143" spans="15:27" ht="14.25" x14ac:dyDescent="0.15">
      <c r="O143" s="18">
        <v>37</v>
      </c>
      <c r="P143" s="258">
        <f>Judge_01(シミュレーション!$K$11,I40,シミュレーション!$J$11)</f>
        <v>0</v>
      </c>
      <c r="Q143" s="258">
        <f>IF(State_after_knock(シミュレーション!$K$11)=P143,State_after_knock(シミュレーション!$K$11),Judge_01(シミュレーション!$K$11,I40,シミュレーション!$J$11))</f>
        <v>0</v>
      </c>
      <c r="R143" s="258">
        <f>IF(State_after_knock(シミュレーション!$K$11)=Q143,State_after_knock(シミュレーション!$K$11),Judge_01(シミュレーション!$K$11,J40,シミュレーション!$J$11))</f>
        <v>0</v>
      </c>
      <c r="S143" s="258">
        <f>IF(State_after_knock(シミュレーション!$K$11)=R143,State_after_knock(シミュレーション!$K$11),Judge_01(シミュレーション!$K$11,K40,シミュレーション!$J$11))</f>
        <v>0</v>
      </c>
      <c r="T143" s="225">
        <f>IF(State_after_knock(シミュレーション!$K$11)=S143,State_after_knock(シミュレーション!$K$11),Judge_01(シミュレーション!$K$11,L40,シミュレーション!$J$11))</f>
        <v>0</v>
      </c>
      <c r="V143" s="18">
        <v>37</v>
      </c>
      <c r="W143" s="258">
        <f>Judge_01(シミュレーション!$K$12,I40,シミュレーション!$J$12)</f>
        <v>0</v>
      </c>
      <c r="X143" s="258">
        <f>IF(State_after_knock(シミュレーション!$K$12)=W143,State_after_knock(シミュレーション!$K$12),Judge_01(シミュレーション!$K$12,I40,シミュレーション!$J$12))</f>
        <v>0</v>
      </c>
      <c r="Y143" s="258">
        <f>IF(State_after_knock(シミュレーション!$K$12)=X143,State_after_knock(シミュレーション!$K$12),Judge_01(シミュレーション!$K$12,J40,シミュレーション!$J$12))</f>
        <v>0</v>
      </c>
      <c r="Z143" s="258">
        <f>IF(State_after_knock(シミュレーション!$K$12)=Y143,State_after_knock(シミュレーション!$K$12),Judge_01(シミュレーション!$K$12,K40,シミュレーション!$J$12))</f>
        <v>0</v>
      </c>
      <c r="AA143" s="225">
        <f>IF(State_after_knock(シミュレーション!$K$12)=Z143,State_after_knock(シミュレーション!$K$12),Judge_01(シミュレーション!$K$12,L40,シミュレーション!$J$12))</f>
        <v>0</v>
      </c>
    </row>
    <row r="144" spans="15:27" ht="14.25" x14ac:dyDescent="0.15">
      <c r="O144" s="18">
        <v>38</v>
      </c>
      <c r="P144" s="258">
        <f>Judge_01(シミュレーション!$K$11,I41,シミュレーション!$J$11)</f>
        <v>0</v>
      </c>
      <c r="Q144" s="258">
        <f>IF(State_after_knock(シミュレーション!$K$11)=P144,State_after_knock(シミュレーション!$K$11),Judge_01(シミュレーション!$K$11,I41,シミュレーション!$J$11))</f>
        <v>0</v>
      </c>
      <c r="R144" s="258">
        <f>IF(State_after_knock(シミュレーション!$K$11)=Q144,State_after_knock(シミュレーション!$K$11),Judge_01(シミュレーション!$K$11,J41,シミュレーション!$J$11))</f>
        <v>0</v>
      </c>
      <c r="S144" s="258">
        <f>IF(State_after_knock(シミュレーション!$K$11)=R144,State_after_knock(シミュレーション!$K$11),Judge_01(シミュレーション!$K$11,K41,シミュレーション!$J$11))</f>
        <v>0</v>
      </c>
      <c r="T144" s="225">
        <f>IF(State_after_knock(シミュレーション!$K$11)=S144,State_after_knock(シミュレーション!$K$11),Judge_01(シミュレーション!$K$11,L41,シミュレーション!$J$11))</f>
        <v>0</v>
      </c>
      <c r="V144" s="18">
        <v>38</v>
      </c>
      <c r="W144" s="258">
        <f>Judge_01(シミュレーション!$K$12,I41,シミュレーション!$J$12)</f>
        <v>0</v>
      </c>
      <c r="X144" s="258">
        <f>IF(State_after_knock(シミュレーション!$K$12)=W144,State_after_knock(シミュレーション!$K$12),Judge_01(シミュレーション!$K$12,I41,シミュレーション!$J$12))</f>
        <v>0</v>
      </c>
      <c r="Y144" s="258">
        <f>IF(State_after_knock(シミュレーション!$K$12)=X144,State_after_knock(シミュレーション!$K$12),Judge_01(シミュレーション!$K$12,J41,シミュレーション!$J$12))</f>
        <v>0</v>
      </c>
      <c r="Z144" s="258">
        <f>IF(State_after_knock(シミュレーション!$K$12)=Y144,State_after_knock(シミュレーション!$K$12),Judge_01(シミュレーション!$K$12,K41,シミュレーション!$J$12))</f>
        <v>0</v>
      </c>
      <c r="AA144" s="225">
        <f>IF(State_after_knock(シミュレーション!$K$12)=Z144,State_after_knock(シミュレーション!$K$12),Judge_01(シミュレーション!$K$12,L41,シミュレーション!$J$12))</f>
        <v>0</v>
      </c>
    </row>
    <row r="145" spans="15:27" ht="14.25" x14ac:dyDescent="0.15">
      <c r="O145" s="18">
        <v>39</v>
      </c>
      <c r="P145" s="258">
        <f>Judge_01(シミュレーション!$K$11,I42,シミュレーション!$J$11)</f>
        <v>0</v>
      </c>
      <c r="Q145" s="258">
        <f>IF(State_after_knock(シミュレーション!$K$11)=P145,State_after_knock(シミュレーション!$K$11),Judge_01(シミュレーション!$K$11,I42,シミュレーション!$J$11))</f>
        <v>0</v>
      </c>
      <c r="R145" s="258">
        <f>IF(State_after_knock(シミュレーション!$K$11)=Q145,State_after_knock(シミュレーション!$K$11),Judge_01(シミュレーション!$K$11,J42,シミュレーション!$J$11))</f>
        <v>0</v>
      </c>
      <c r="S145" s="258">
        <f>IF(State_after_knock(シミュレーション!$K$11)=R145,State_after_knock(シミュレーション!$K$11),Judge_01(シミュレーション!$K$11,K42,シミュレーション!$J$11))</f>
        <v>0</v>
      </c>
      <c r="T145" s="225">
        <f>IF(State_after_knock(シミュレーション!$K$11)=S145,State_after_knock(シミュレーション!$K$11),Judge_01(シミュレーション!$K$11,L42,シミュレーション!$J$11))</f>
        <v>0</v>
      </c>
      <c r="V145" s="18">
        <v>39</v>
      </c>
      <c r="W145" s="258">
        <f>Judge_01(シミュレーション!$K$12,I42,シミュレーション!$J$12)</f>
        <v>0</v>
      </c>
      <c r="X145" s="258">
        <f>IF(State_after_knock(シミュレーション!$K$12)=W145,State_after_knock(シミュレーション!$K$12),Judge_01(シミュレーション!$K$12,I42,シミュレーション!$J$12))</f>
        <v>0</v>
      </c>
      <c r="Y145" s="258">
        <f>IF(State_after_knock(シミュレーション!$K$12)=X145,State_after_knock(シミュレーション!$K$12),Judge_01(シミュレーション!$K$12,J42,シミュレーション!$J$12))</f>
        <v>0</v>
      </c>
      <c r="Z145" s="258">
        <f>IF(State_after_knock(シミュレーション!$K$12)=Y145,State_after_knock(シミュレーション!$K$12),Judge_01(シミュレーション!$K$12,K42,シミュレーション!$J$12))</f>
        <v>0</v>
      </c>
      <c r="AA145" s="225">
        <f>IF(State_after_knock(シミュレーション!$K$12)=Z145,State_after_knock(シミュレーション!$K$12),Judge_01(シミュレーション!$K$12,L42,シミュレーション!$J$12))</f>
        <v>0</v>
      </c>
    </row>
    <row r="146" spans="15:27" ht="14.25" x14ac:dyDescent="0.15">
      <c r="O146" s="18">
        <v>40</v>
      </c>
      <c r="P146" s="258">
        <f>Judge_01(シミュレーション!$K$11,I43,シミュレーション!$J$11)</f>
        <v>0</v>
      </c>
      <c r="Q146" s="258">
        <f>IF(State_after_knock(シミュレーション!$K$11)=P146,State_after_knock(シミュレーション!$K$11),Judge_01(シミュレーション!$K$11,I43,シミュレーション!$J$11))</f>
        <v>0</v>
      </c>
      <c r="R146" s="258">
        <f>IF(State_after_knock(シミュレーション!$K$11)=Q146,State_after_knock(シミュレーション!$K$11),Judge_01(シミュレーション!$K$11,J43,シミュレーション!$J$11))</f>
        <v>0</v>
      </c>
      <c r="S146" s="258">
        <f>IF(State_after_knock(シミュレーション!$K$11)=R146,State_after_knock(シミュレーション!$K$11),Judge_01(シミュレーション!$K$11,K43,シミュレーション!$J$11))</f>
        <v>0</v>
      </c>
      <c r="T146" s="225">
        <f>IF(State_after_knock(シミュレーション!$K$11)=S146,State_after_knock(シミュレーション!$K$11),Judge_01(シミュレーション!$K$11,L43,シミュレーション!$J$11))</f>
        <v>0</v>
      </c>
      <c r="V146" s="18">
        <v>40</v>
      </c>
      <c r="W146" s="258">
        <f>Judge_01(シミュレーション!$K$12,I43,シミュレーション!$J$12)</f>
        <v>0</v>
      </c>
      <c r="X146" s="258">
        <f>IF(State_after_knock(シミュレーション!$K$12)=W146,State_after_knock(シミュレーション!$K$12),Judge_01(シミュレーション!$K$12,I43,シミュレーション!$J$12))</f>
        <v>0</v>
      </c>
      <c r="Y146" s="258">
        <f>IF(State_after_knock(シミュレーション!$K$12)=X146,State_after_knock(シミュレーション!$K$12),Judge_01(シミュレーション!$K$12,J43,シミュレーション!$J$12))</f>
        <v>0</v>
      </c>
      <c r="Z146" s="258">
        <f>IF(State_after_knock(シミュレーション!$K$12)=Y146,State_after_knock(シミュレーション!$K$12),Judge_01(シミュレーション!$K$12,K43,シミュレーション!$J$12))</f>
        <v>0</v>
      </c>
      <c r="AA146" s="225">
        <f>IF(State_after_knock(シミュレーション!$K$12)=Z146,State_after_knock(シミュレーション!$K$12),Judge_01(シミュレーション!$K$12,L43,シミュレーション!$J$12))</f>
        <v>0</v>
      </c>
    </row>
    <row r="147" spans="15:27" ht="14.25" x14ac:dyDescent="0.15">
      <c r="O147" s="18">
        <v>41</v>
      </c>
      <c r="P147" s="258">
        <f>Judge_01(シミュレーション!$K$11,I44,シミュレーション!$J$11)</f>
        <v>0</v>
      </c>
      <c r="Q147" s="258">
        <f>IF(State_after_knock(シミュレーション!$K$11)=P147,State_after_knock(シミュレーション!$K$11),Judge_01(シミュレーション!$K$11,I44,シミュレーション!$J$11))</f>
        <v>0</v>
      </c>
      <c r="R147" s="258">
        <f>IF(State_after_knock(シミュレーション!$K$11)=Q147,State_after_knock(シミュレーション!$K$11),Judge_01(シミュレーション!$K$11,J44,シミュレーション!$J$11))</f>
        <v>0</v>
      </c>
      <c r="S147" s="258">
        <f>IF(State_after_knock(シミュレーション!$K$11)=R147,State_after_knock(シミュレーション!$K$11),Judge_01(シミュレーション!$K$11,K44,シミュレーション!$J$11))</f>
        <v>0</v>
      </c>
      <c r="T147" s="225">
        <f>IF(State_after_knock(シミュレーション!$K$11)=S147,State_after_knock(シミュレーション!$K$11),Judge_01(シミュレーション!$K$11,L44,シミュレーション!$J$11))</f>
        <v>0</v>
      </c>
      <c r="V147" s="18">
        <v>41</v>
      </c>
      <c r="W147" s="258">
        <f>Judge_01(シミュレーション!$K$12,I44,シミュレーション!$J$12)</f>
        <v>0</v>
      </c>
      <c r="X147" s="258">
        <f>IF(State_after_knock(シミュレーション!$K$12)=W147,State_after_knock(シミュレーション!$K$12),Judge_01(シミュレーション!$K$12,I44,シミュレーション!$J$12))</f>
        <v>0</v>
      </c>
      <c r="Y147" s="258">
        <f>IF(State_after_knock(シミュレーション!$K$12)=X147,State_after_knock(シミュレーション!$K$12),Judge_01(シミュレーション!$K$12,J44,シミュレーション!$J$12))</f>
        <v>0</v>
      </c>
      <c r="Z147" s="258">
        <f>IF(State_after_knock(シミュレーション!$K$12)=Y147,State_after_knock(シミュレーション!$K$12),Judge_01(シミュレーション!$K$12,K44,シミュレーション!$J$12))</f>
        <v>0</v>
      </c>
      <c r="AA147" s="225">
        <f>IF(State_after_knock(シミュレーション!$K$12)=Z147,State_after_knock(シミュレーション!$K$12),Judge_01(シミュレーション!$K$12,L44,シミュレーション!$J$12))</f>
        <v>0</v>
      </c>
    </row>
    <row r="148" spans="15:27" ht="14.25" x14ac:dyDescent="0.15">
      <c r="O148" s="18">
        <v>42</v>
      </c>
      <c r="P148" s="258">
        <f>Judge_01(シミュレーション!$K$11,I45,シミュレーション!$J$11)</f>
        <v>0</v>
      </c>
      <c r="Q148" s="258">
        <f>IF(State_after_knock(シミュレーション!$K$11)=P148,State_after_knock(シミュレーション!$K$11),Judge_01(シミュレーション!$K$11,I45,シミュレーション!$J$11))</f>
        <v>0</v>
      </c>
      <c r="R148" s="258">
        <f>IF(State_after_knock(シミュレーション!$K$11)=Q148,State_after_knock(シミュレーション!$K$11),Judge_01(シミュレーション!$K$11,J45,シミュレーション!$J$11))</f>
        <v>0</v>
      </c>
      <c r="S148" s="258">
        <f>IF(State_after_knock(シミュレーション!$K$11)=R148,State_after_knock(シミュレーション!$K$11),Judge_01(シミュレーション!$K$11,K45,シミュレーション!$J$11))</f>
        <v>0</v>
      </c>
      <c r="T148" s="225">
        <f>IF(State_after_knock(シミュレーション!$K$11)=S148,State_after_knock(シミュレーション!$K$11),Judge_01(シミュレーション!$K$11,L45,シミュレーション!$J$11))</f>
        <v>0</v>
      </c>
      <c r="V148" s="18">
        <v>42</v>
      </c>
      <c r="W148" s="258">
        <f>Judge_01(シミュレーション!$K$12,I45,シミュレーション!$J$12)</f>
        <v>0</v>
      </c>
      <c r="X148" s="258">
        <f>IF(State_after_knock(シミュレーション!$K$12)=W148,State_after_knock(シミュレーション!$K$12),Judge_01(シミュレーション!$K$12,I45,シミュレーション!$J$12))</f>
        <v>0</v>
      </c>
      <c r="Y148" s="258">
        <f>IF(State_after_knock(シミュレーション!$K$12)=X148,State_after_knock(シミュレーション!$K$12),Judge_01(シミュレーション!$K$12,J45,シミュレーション!$J$12))</f>
        <v>0</v>
      </c>
      <c r="Z148" s="258">
        <f>IF(State_after_knock(シミュレーション!$K$12)=Y148,State_after_knock(シミュレーション!$K$12),Judge_01(シミュレーション!$K$12,K45,シミュレーション!$J$12))</f>
        <v>0</v>
      </c>
      <c r="AA148" s="225">
        <f>IF(State_after_knock(シミュレーション!$K$12)=Z148,State_after_knock(シミュレーション!$K$12),Judge_01(シミュレーション!$K$12,L45,シミュレーション!$J$12))</f>
        <v>0</v>
      </c>
    </row>
    <row r="149" spans="15:27" ht="14.25" x14ac:dyDescent="0.15">
      <c r="O149" s="18">
        <v>43</v>
      </c>
      <c r="P149" s="258">
        <f>Judge_01(シミュレーション!$K$11,I46,シミュレーション!$J$11)</f>
        <v>0</v>
      </c>
      <c r="Q149" s="258">
        <f>IF(State_after_knock(シミュレーション!$K$11)=P149,State_after_knock(シミュレーション!$K$11),Judge_01(シミュレーション!$K$11,I46,シミュレーション!$J$11))</f>
        <v>0</v>
      </c>
      <c r="R149" s="258">
        <f>IF(State_after_knock(シミュレーション!$K$11)=Q149,State_after_knock(シミュレーション!$K$11),Judge_01(シミュレーション!$K$11,J46,シミュレーション!$J$11))</f>
        <v>0</v>
      </c>
      <c r="S149" s="258">
        <f>IF(State_after_knock(シミュレーション!$K$11)=R149,State_after_knock(シミュレーション!$K$11),Judge_01(シミュレーション!$K$11,K46,シミュレーション!$J$11))</f>
        <v>0</v>
      </c>
      <c r="T149" s="225">
        <f>IF(State_after_knock(シミュレーション!$K$11)=S149,State_after_knock(シミュレーション!$K$11),Judge_01(シミュレーション!$K$11,L46,シミュレーション!$J$11))</f>
        <v>0</v>
      </c>
      <c r="V149" s="18">
        <v>43</v>
      </c>
      <c r="W149" s="258">
        <f>Judge_01(シミュレーション!$K$12,I46,シミュレーション!$J$12)</f>
        <v>0</v>
      </c>
      <c r="X149" s="258">
        <f>IF(State_after_knock(シミュレーション!$K$12)=W149,State_after_knock(シミュレーション!$K$12),Judge_01(シミュレーション!$K$12,I46,シミュレーション!$J$12))</f>
        <v>0</v>
      </c>
      <c r="Y149" s="258">
        <f>IF(State_after_knock(シミュレーション!$K$12)=X149,State_after_knock(シミュレーション!$K$12),Judge_01(シミュレーション!$K$12,J46,シミュレーション!$J$12))</f>
        <v>0</v>
      </c>
      <c r="Z149" s="258">
        <f>IF(State_after_knock(シミュレーション!$K$12)=Y149,State_after_knock(シミュレーション!$K$12),Judge_01(シミュレーション!$K$12,K46,シミュレーション!$J$12))</f>
        <v>0</v>
      </c>
      <c r="AA149" s="225">
        <f>IF(State_after_knock(シミュレーション!$K$12)=Z149,State_after_knock(シミュレーション!$K$12),Judge_01(シミュレーション!$K$12,L46,シミュレーション!$J$12))</f>
        <v>0</v>
      </c>
    </row>
    <row r="150" spans="15:27" ht="14.25" x14ac:dyDescent="0.15">
      <c r="O150" s="18">
        <v>44</v>
      </c>
      <c r="P150" s="258">
        <f>Judge_01(シミュレーション!$K$11,I47,シミュレーション!$J$11)</f>
        <v>0</v>
      </c>
      <c r="Q150" s="258">
        <f>IF(State_after_knock(シミュレーション!$K$11)=P150,State_after_knock(シミュレーション!$K$11),Judge_01(シミュレーション!$K$11,I47,シミュレーション!$J$11))</f>
        <v>0</v>
      </c>
      <c r="R150" s="258">
        <f>IF(State_after_knock(シミュレーション!$K$11)=Q150,State_after_knock(シミュレーション!$K$11),Judge_01(シミュレーション!$K$11,J47,シミュレーション!$J$11))</f>
        <v>0</v>
      </c>
      <c r="S150" s="258">
        <f>IF(State_after_knock(シミュレーション!$K$11)=R150,State_after_knock(シミュレーション!$K$11),Judge_01(シミュレーション!$K$11,K47,シミュレーション!$J$11))</f>
        <v>0</v>
      </c>
      <c r="T150" s="225">
        <f>IF(State_after_knock(シミュレーション!$K$11)=S150,State_after_knock(シミュレーション!$K$11),Judge_01(シミュレーション!$K$11,L47,シミュレーション!$J$11))</f>
        <v>0</v>
      </c>
      <c r="V150" s="18">
        <v>44</v>
      </c>
      <c r="W150" s="258">
        <f>Judge_01(シミュレーション!$K$12,I47,シミュレーション!$J$12)</f>
        <v>0</v>
      </c>
      <c r="X150" s="258">
        <f>IF(State_after_knock(シミュレーション!$K$12)=W150,State_after_knock(シミュレーション!$K$12),Judge_01(シミュレーション!$K$12,I47,シミュレーション!$J$12))</f>
        <v>0</v>
      </c>
      <c r="Y150" s="258">
        <f>IF(State_after_knock(シミュレーション!$K$12)=X150,State_after_knock(シミュレーション!$K$12),Judge_01(シミュレーション!$K$12,J47,シミュレーション!$J$12))</f>
        <v>0</v>
      </c>
      <c r="Z150" s="258">
        <f>IF(State_after_knock(シミュレーション!$K$12)=Y150,State_after_knock(シミュレーション!$K$12),Judge_01(シミュレーション!$K$12,K47,シミュレーション!$J$12))</f>
        <v>0</v>
      </c>
      <c r="AA150" s="225">
        <f>IF(State_after_knock(シミュレーション!$K$12)=Z150,State_after_knock(シミュレーション!$K$12),Judge_01(シミュレーション!$K$12,L47,シミュレーション!$J$12))</f>
        <v>0</v>
      </c>
    </row>
    <row r="151" spans="15:27" ht="14.25" x14ac:dyDescent="0.15">
      <c r="O151" s="18">
        <v>45</v>
      </c>
      <c r="P151" s="258">
        <f>Judge_01(シミュレーション!$K$11,I48,シミュレーション!$J$11)</f>
        <v>0</v>
      </c>
      <c r="Q151" s="258">
        <f>IF(State_after_knock(シミュレーション!$K$11)=P151,State_after_knock(シミュレーション!$K$11),Judge_01(シミュレーション!$K$11,I48,シミュレーション!$J$11))</f>
        <v>0</v>
      </c>
      <c r="R151" s="258">
        <f>IF(State_after_knock(シミュレーション!$K$11)=Q151,State_after_knock(シミュレーション!$K$11),Judge_01(シミュレーション!$K$11,J48,シミュレーション!$J$11))</f>
        <v>0</v>
      </c>
      <c r="S151" s="258">
        <f>IF(State_after_knock(シミュレーション!$K$11)=R151,State_after_knock(シミュレーション!$K$11),Judge_01(シミュレーション!$K$11,K48,シミュレーション!$J$11))</f>
        <v>0</v>
      </c>
      <c r="T151" s="225">
        <f>IF(State_after_knock(シミュレーション!$K$11)=S151,State_after_knock(シミュレーション!$K$11),Judge_01(シミュレーション!$K$11,L48,シミュレーション!$J$11))</f>
        <v>0</v>
      </c>
      <c r="V151" s="18">
        <v>45</v>
      </c>
      <c r="W151" s="258">
        <f>Judge_01(シミュレーション!$K$12,I48,シミュレーション!$J$12)</f>
        <v>0</v>
      </c>
      <c r="X151" s="258">
        <f>IF(State_after_knock(シミュレーション!$K$12)=W151,State_after_knock(シミュレーション!$K$12),Judge_01(シミュレーション!$K$12,I48,シミュレーション!$J$12))</f>
        <v>0</v>
      </c>
      <c r="Y151" s="258">
        <f>IF(State_after_knock(シミュレーション!$K$12)=X151,State_after_knock(シミュレーション!$K$12),Judge_01(シミュレーション!$K$12,J48,シミュレーション!$J$12))</f>
        <v>0</v>
      </c>
      <c r="Z151" s="258">
        <f>IF(State_after_knock(シミュレーション!$K$12)=Y151,State_after_knock(シミュレーション!$K$12),Judge_01(シミュレーション!$K$12,K48,シミュレーション!$J$12))</f>
        <v>0</v>
      </c>
      <c r="AA151" s="225">
        <f>IF(State_after_knock(シミュレーション!$K$12)=Z151,State_after_knock(シミュレーション!$K$12),Judge_01(シミュレーション!$K$12,L48,シミュレーション!$J$12))</f>
        <v>0</v>
      </c>
    </row>
    <row r="152" spans="15:27" ht="14.25" x14ac:dyDescent="0.15">
      <c r="O152" s="18">
        <v>46</v>
      </c>
      <c r="P152" s="258">
        <f>Judge_01(シミュレーション!$K$11,I49,シミュレーション!$J$11)</f>
        <v>0</v>
      </c>
      <c r="Q152" s="258">
        <f>IF(State_after_knock(シミュレーション!$K$11)=P152,State_after_knock(シミュレーション!$K$11),Judge_01(シミュレーション!$K$11,I49,シミュレーション!$J$11))</f>
        <v>0</v>
      </c>
      <c r="R152" s="258">
        <f>IF(State_after_knock(シミュレーション!$K$11)=Q152,State_after_knock(シミュレーション!$K$11),Judge_01(シミュレーション!$K$11,J49,シミュレーション!$J$11))</f>
        <v>0</v>
      </c>
      <c r="S152" s="258">
        <f>IF(State_after_knock(シミュレーション!$K$11)=R152,State_after_knock(シミュレーション!$K$11),Judge_01(シミュレーション!$K$11,K49,シミュレーション!$J$11))</f>
        <v>0</v>
      </c>
      <c r="T152" s="225">
        <f>IF(State_after_knock(シミュレーション!$K$11)=S152,State_after_knock(シミュレーション!$K$11),Judge_01(シミュレーション!$K$11,L49,シミュレーション!$J$11))</f>
        <v>0</v>
      </c>
      <c r="V152" s="18">
        <v>46</v>
      </c>
      <c r="W152" s="258">
        <f>Judge_01(シミュレーション!$K$12,I49,シミュレーション!$J$12)</f>
        <v>0</v>
      </c>
      <c r="X152" s="258">
        <f>IF(State_after_knock(シミュレーション!$K$12)=W152,State_after_knock(シミュレーション!$K$12),Judge_01(シミュレーション!$K$12,I49,シミュレーション!$J$12))</f>
        <v>0</v>
      </c>
      <c r="Y152" s="258">
        <f>IF(State_after_knock(シミュレーション!$K$12)=X152,State_after_knock(シミュレーション!$K$12),Judge_01(シミュレーション!$K$12,J49,シミュレーション!$J$12))</f>
        <v>0</v>
      </c>
      <c r="Z152" s="258">
        <f>IF(State_after_knock(シミュレーション!$K$12)=Y152,State_after_knock(シミュレーション!$K$12),Judge_01(シミュレーション!$K$12,K49,シミュレーション!$J$12))</f>
        <v>0</v>
      </c>
      <c r="AA152" s="225">
        <f>IF(State_after_knock(シミュレーション!$K$12)=Z152,State_after_knock(シミュレーション!$K$12),Judge_01(シミュレーション!$K$12,L49,シミュレーション!$J$12))</f>
        <v>0</v>
      </c>
    </row>
    <row r="153" spans="15:27" ht="14.25" x14ac:dyDescent="0.15">
      <c r="O153" s="18">
        <v>47</v>
      </c>
      <c r="P153" s="258">
        <f>Judge_01(シミュレーション!$K$11,I50,シミュレーション!$J$11)</f>
        <v>0</v>
      </c>
      <c r="Q153" s="258">
        <f>IF(State_after_knock(シミュレーション!$K$11)=P153,State_after_knock(シミュレーション!$K$11),Judge_01(シミュレーション!$K$11,I50,シミュレーション!$J$11))</f>
        <v>0</v>
      </c>
      <c r="R153" s="258">
        <f>IF(State_after_knock(シミュレーション!$K$11)=Q153,State_after_knock(シミュレーション!$K$11),Judge_01(シミュレーション!$K$11,J50,シミュレーション!$J$11))</f>
        <v>0</v>
      </c>
      <c r="S153" s="258">
        <f>IF(State_after_knock(シミュレーション!$K$11)=R153,State_after_knock(シミュレーション!$K$11),Judge_01(シミュレーション!$K$11,K50,シミュレーション!$J$11))</f>
        <v>0</v>
      </c>
      <c r="T153" s="225">
        <f>IF(State_after_knock(シミュレーション!$K$11)=S153,State_after_knock(シミュレーション!$K$11),Judge_01(シミュレーション!$K$11,L50,シミュレーション!$J$11))</f>
        <v>0</v>
      </c>
      <c r="V153" s="18">
        <v>47</v>
      </c>
      <c r="W153" s="258">
        <f>Judge_01(シミュレーション!$K$12,I50,シミュレーション!$J$12)</f>
        <v>0</v>
      </c>
      <c r="X153" s="258">
        <f>IF(State_after_knock(シミュレーション!$K$12)=W153,State_after_knock(シミュレーション!$K$12),Judge_01(シミュレーション!$K$12,I50,シミュレーション!$J$12))</f>
        <v>0</v>
      </c>
      <c r="Y153" s="258">
        <f>IF(State_after_knock(シミュレーション!$K$12)=X153,State_after_knock(シミュレーション!$K$12),Judge_01(シミュレーション!$K$12,J50,シミュレーション!$J$12))</f>
        <v>0</v>
      </c>
      <c r="Z153" s="258">
        <f>IF(State_after_knock(シミュレーション!$K$12)=Y153,State_after_knock(シミュレーション!$K$12),Judge_01(シミュレーション!$K$12,K50,シミュレーション!$J$12))</f>
        <v>0</v>
      </c>
      <c r="AA153" s="225">
        <f>IF(State_after_knock(シミュレーション!$K$12)=Z153,State_after_knock(シミュレーション!$K$12),Judge_01(シミュレーション!$K$12,L50,シミュレーション!$J$12))</f>
        <v>0</v>
      </c>
    </row>
    <row r="154" spans="15:27" ht="14.25" x14ac:dyDescent="0.15">
      <c r="O154" s="18">
        <v>48</v>
      </c>
      <c r="P154" s="258">
        <f>Judge_01(シミュレーション!$K$11,I51,シミュレーション!$J$11)</f>
        <v>0</v>
      </c>
      <c r="Q154" s="258">
        <f>IF(State_after_knock(シミュレーション!$K$11)=P154,State_after_knock(シミュレーション!$K$11),Judge_01(シミュレーション!$K$11,I51,シミュレーション!$J$11))</f>
        <v>0</v>
      </c>
      <c r="R154" s="258">
        <f>IF(State_after_knock(シミュレーション!$K$11)=Q154,State_after_knock(シミュレーション!$K$11),Judge_01(シミュレーション!$K$11,J51,シミュレーション!$J$11))</f>
        <v>0</v>
      </c>
      <c r="S154" s="258">
        <f>IF(State_after_knock(シミュレーション!$K$11)=R154,State_after_knock(シミュレーション!$K$11),Judge_01(シミュレーション!$K$11,K51,シミュレーション!$J$11))</f>
        <v>0</v>
      </c>
      <c r="T154" s="225">
        <f>IF(State_after_knock(シミュレーション!$K$11)=S154,State_after_knock(シミュレーション!$K$11),Judge_01(シミュレーション!$K$11,L51,シミュレーション!$J$11))</f>
        <v>0</v>
      </c>
      <c r="V154" s="18">
        <v>48</v>
      </c>
      <c r="W154" s="258">
        <f>Judge_01(シミュレーション!$K$12,I51,シミュレーション!$J$12)</f>
        <v>0</v>
      </c>
      <c r="X154" s="258">
        <f>IF(State_after_knock(シミュレーション!$K$12)=W154,State_after_knock(シミュレーション!$K$12),Judge_01(シミュレーション!$K$12,I51,シミュレーション!$J$12))</f>
        <v>0</v>
      </c>
      <c r="Y154" s="258">
        <f>IF(State_after_knock(シミュレーション!$K$12)=X154,State_after_knock(シミュレーション!$K$12),Judge_01(シミュレーション!$K$12,J51,シミュレーション!$J$12))</f>
        <v>0</v>
      </c>
      <c r="Z154" s="258">
        <f>IF(State_after_knock(シミュレーション!$K$12)=Y154,State_after_knock(シミュレーション!$K$12),Judge_01(シミュレーション!$K$12,K51,シミュレーション!$J$12))</f>
        <v>0</v>
      </c>
      <c r="AA154" s="225">
        <f>IF(State_after_knock(シミュレーション!$K$12)=Z154,State_after_knock(シミュレーション!$K$12),Judge_01(シミュレーション!$K$12,L51,シミュレーション!$J$12))</f>
        <v>0</v>
      </c>
    </row>
    <row r="155" spans="15:27" ht="14.25" x14ac:dyDescent="0.15">
      <c r="O155" s="18">
        <v>49</v>
      </c>
      <c r="P155" s="258">
        <f>Judge_01(シミュレーション!$K$11,I52,シミュレーション!$J$11)</f>
        <v>0</v>
      </c>
      <c r="Q155" s="258">
        <f>IF(State_after_knock(シミュレーション!$K$11)=P155,State_after_knock(シミュレーション!$K$11),Judge_01(シミュレーション!$K$11,I52,シミュレーション!$J$11))</f>
        <v>0</v>
      </c>
      <c r="R155" s="258">
        <f>IF(State_after_knock(シミュレーション!$K$11)=Q155,State_after_knock(シミュレーション!$K$11),Judge_01(シミュレーション!$K$11,J52,シミュレーション!$J$11))</f>
        <v>0</v>
      </c>
      <c r="S155" s="258">
        <f>IF(State_after_knock(シミュレーション!$K$11)=R155,State_after_knock(シミュレーション!$K$11),Judge_01(シミュレーション!$K$11,K52,シミュレーション!$J$11))</f>
        <v>0</v>
      </c>
      <c r="T155" s="225">
        <f>IF(State_after_knock(シミュレーション!$K$11)=S155,State_after_knock(シミュレーション!$K$11),Judge_01(シミュレーション!$K$11,L52,シミュレーション!$J$11))</f>
        <v>0</v>
      </c>
      <c r="V155" s="18">
        <v>49</v>
      </c>
      <c r="W155" s="258">
        <f>Judge_01(シミュレーション!$K$12,I52,シミュレーション!$J$12)</f>
        <v>0</v>
      </c>
      <c r="X155" s="258">
        <f>IF(State_after_knock(シミュレーション!$K$12)=W155,State_after_knock(シミュレーション!$K$12),Judge_01(シミュレーション!$K$12,I52,シミュレーション!$J$12))</f>
        <v>0</v>
      </c>
      <c r="Y155" s="258">
        <f>IF(State_after_knock(シミュレーション!$K$12)=X155,State_after_knock(シミュレーション!$K$12),Judge_01(シミュレーション!$K$12,J52,シミュレーション!$J$12))</f>
        <v>0</v>
      </c>
      <c r="Z155" s="258">
        <f>IF(State_after_knock(シミュレーション!$K$12)=Y155,State_after_knock(シミュレーション!$K$12),Judge_01(シミュレーション!$K$12,K52,シミュレーション!$J$12))</f>
        <v>0</v>
      </c>
      <c r="AA155" s="225">
        <f>IF(State_after_knock(シミュレーション!$K$12)=Z155,State_after_knock(シミュレーション!$K$12),Judge_01(シミュレーション!$K$12,L52,シミュレーション!$J$12))</f>
        <v>0</v>
      </c>
    </row>
    <row r="156" spans="15:27" ht="14.25" x14ac:dyDescent="0.15">
      <c r="O156" s="18">
        <v>50</v>
      </c>
      <c r="P156" s="258">
        <f>Judge_01(シミュレーション!$K$11,I53,シミュレーション!$J$11)</f>
        <v>0</v>
      </c>
      <c r="Q156" s="258">
        <f>IF(State_after_knock(シミュレーション!$K$11)=P156,State_after_knock(シミュレーション!$K$11),Judge_01(シミュレーション!$K$11,I53,シミュレーション!$J$11))</f>
        <v>0</v>
      </c>
      <c r="R156" s="258">
        <f>IF(State_after_knock(シミュレーション!$K$11)=Q156,State_after_knock(シミュレーション!$K$11),Judge_01(シミュレーション!$K$11,J53,シミュレーション!$J$11))</f>
        <v>0</v>
      </c>
      <c r="S156" s="258">
        <f>IF(State_after_knock(シミュレーション!$K$11)=R156,State_after_knock(シミュレーション!$K$11),Judge_01(シミュレーション!$K$11,K53,シミュレーション!$J$11))</f>
        <v>0</v>
      </c>
      <c r="T156" s="225">
        <f>IF(State_after_knock(シミュレーション!$K$11)=S156,State_after_knock(シミュレーション!$K$11),Judge_01(シミュレーション!$K$11,L53,シミュレーション!$J$11))</f>
        <v>0</v>
      </c>
      <c r="V156" s="18">
        <v>50</v>
      </c>
      <c r="W156" s="258">
        <f>Judge_01(シミュレーション!$K$12,I53,シミュレーション!$J$12)</f>
        <v>0</v>
      </c>
      <c r="X156" s="258">
        <f>IF(State_after_knock(シミュレーション!$K$12)=W156,State_after_knock(シミュレーション!$K$12),Judge_01(シミュレーション!$K$12,I53,シミュレーション!$J$12))</f>
        <v>0</v>
      </c>
      <c r="Y156" s="258">
        <f>IF(State_after_knock(シミュレーション!$K$12)=X156,State_after_knock(シミュレーション!$K$12),Judge_01(シミュレーション!$K$12,J53,シミュレーション!$J$12))</f>
        <v>0</v>
      </c>
      <c r="Z156" s="258">
        <f>IF(State_after_knock(シミュレーション!$K$12)=Y156,State_after_knock(シミュレーション!$K$12),Judge_01(シミュレーション!$K$12,K53,シミュレーション!$J$12))</f>
        <v>0</v>
      </c>
      <c r="AA156" s="225">
        <f>IF(State_after_knock(シミュレーション!$K$12)=Z156,State_after_knock(シミュレーション!$K$12),Judge_01(シミュレーション!$K$12,L53,シミュレーション!$J$12))</f>
        <v>0</v>
      </c>
    </row>
    <row r="157" spans="15:27" ht="14.25" x14ac:dyDescent="0.15">
      <c r="O157" s="18">
        <v>51</v>
      </c>
      <c r="P157" s="258">
        <f>Judge_01(シミュレーション!$K$11,I54,シミュレーション!$J$11)</f>
        <v>0</v>
      </c>
      <c r="Q157" s="258">
        <f>IF(State_after_knock(シミュレーション!$K$11)=P157,State_after_knock(シミュレーション!$K$11),Judge_01(シミュレーション!$K$11,I54,シミュレーション!$J$11))</f>
        <v>0</v>
      </c>
      <c r="R157" s="258">
        <f>IF(State_after_knock(シミュレーション!$K$11)=Q157,State_after_knock(シミュレーション!$K$11),Judge_01(シミュレーション!$K$11,J54,シミュレーション!$J$11))</f>
        <v>0</v>
      </c>
      <c r="S157" s="258">
        <f>IF(State_after_knock(シミュレーション!$K$11)=R157,State_after_knock(シミュレーション!$K$11),Judge_01(シミュレーション!$K$11,K54,シミュレーション!$J$11))</f>
        <v>0</v>
      </c>
      <c r="T157" s="225">
        <f>IF(State_after_knock(シミュレーション!$K$11)=S157,State_after_knock(シミュレーション!$K$11),Judge_01(シミュレーション!$K$11,L54,シミュレーション!$J$11))</f>
        <v>0</v>
      </c>
      <c r="V157" s="18">
        <v>51</v>
      </c>
      <c r="W157" s="258">
        <f>Judge_01(シミュレーション!$K$12,I54,シミュレーション!$J$12)</f>
        <v>0</v>
      </c>
      <c r="X157" s="258">
        <f>IF(State_after_knock(シミュレーション!$K$12)=W157,State_after_knock(シミュレーション!$K$12),Judge_01(シミュレーション!$K$12,I54,シミュレーション!$J$12))</f>
        <v>0</v>
      </c>
      <c r="Y157" s="258">
        <f>IF(State_after_knock(シミュレーション!$K$12)=X157,State_after_knock(シミュレーション!$K$12),Judge_01(シミュレーション!$K$12,J54,シミュレーション!$J$12))</f>
        <v>0</v>
      </c>
      <c r="Z157" s="258">
        <f>IF(State_after_knock(シミュレーション!$K$12)=Y157,State_after_knock(シミュレーション!$K$12),Judge_01(シミュレーション!$K$12,K54,シミュレーション!$J$12))</f>
        <v>0</v>
      </c>
      <c r="AA157" s="225">
        <f>IF(State_after_knock(シミュレーション!$K$12)=Z157,State_after_knock(シミュレーション!$K$12),Judge_01(シミュレーション!$K$12,L54,シミュレーション!$J$12))</f>
        <v>0</v>
      </c>
    </row>
    <row r="158" spans="15:27" ht="14.25" x14ac:dyDescent="0.15">
      <c r="O158" s="18">
        <v>52</v>
      </c>
      <c r="P158" s="258">
        <f>Judge_01(シミュレーション!$K$11,I55,シミュレーション!$J$11)</f>
        <v>0</v>
      </c>
      <c r="Q158" s="258">
        <f>IF(State_after_knock(シミュレーション!$K$11)=P158,State_after_knock(シミュレーション!$K$11),Judge_01(シミュレーション!$K$11,I55,シミュレーション!$J$11))</f>
        <v>0</v>
      </c>
      <c r="R158" s="258">
        <f>IF(State_after_knock(シミュレーション!$K$11)=Q158,State_after_knock(シミュレーション!$K$11),Judge_01(シミュレーション!$K$11,J55,シミュレーション!$J$11))</f>
        <v>0</v>
      </c>
      <c r="S158" s="258">
        <f>IF(State_after_knock(シミュレーション!$K$11)=R158,State_after_knock(シミュレーション!$K$11),Judge_01(シミュレーション!$K$11,K55,シミュレーション!$J$11))</f>
        <v>0</v>
      </c>
      <c r="T158" s="225">
        <f>IF(State_after_knock(シミュレーション!$K$11)=S158,State_after_knock(シミュレーション!$K$11),Judge_01(シミュレーション!$K$11,L55,シミュレーション!$J$11))</f>
        <v>0</v>
      </c>
      <c r="V158" s="18">
        <v>52</v>
      </c>
      <c r="W158" s="258">
        <f>Judge_01(シミュレーション!$K$12,I55,シミュレーション!$J$12)</f>
        <v>0</v>
      </c>
      <c r="X158" s="258">
        <f>IF(State_after_knock(シミュレーション!$K$12)=W158,State_after_knock(シミュレーション!$K$12),Judge_01(シミュレーション!$K$12,I55,シミュレーション!$J$12))</f>
        <v>0</v>
      </c>
      <c r="Y158" s="258">
        <f>IF(State_after_knock(シミュレーション!$K$12)=X158,State_after_knock(シミュレーション!$K$12),Judge_01(シミュレーション!$K$12,J55,シミュレーション!$J$12))</f>
        <v>0</v>
      </c>
      <c r="Z158" s="258">
        <f>IF(State_after_knock(シミュレーション!$K$12)=Y158,State_after_knock(シミュレーション!$K$12),Judge_01(シミュレーション!$K$12,K55,シミュレーション!$J$12))</f>
        <v>0</v>
      </c>
      <c r="AA158" s="225">
        <f>IF(State_after_knock(シミュレーション!$K$12)=Z158,State_after_knock(シミュレーション!$K$12),Judge_01(シミュレーション!$K$12,L55,シミュレーション!$J$12))</f>
        <v>0</v>
      </c>
    </row>
    <row r="159" spans="15:27" ht="14.25" x14ac:dyDescent="0.15">
      <c r="O159" s="18">
        <v>53</v>
      </c>
      <c r="P159" s="258">
        <f>Judge_01(シミュレーション!$K$11,I56,シミュレーション!$J$11)</f>
        <v>0</v>
      </c>
      <c r="Q159" s="258">
        <f>IF(State_after_knock(シミュレーション!$K$11)=P159,State_after_knock(シミュレーション!$K$11),Judge_01(シミュレーション!$K$11,I56,シミュレーション!$J$11))</f>
        <v>0</v>
      </c>
      <c r="R159" s="258">
        <f>IF(State_after_knock(シミュレーション!$K$11)=Q159,State_after_knock(シミュレーション!$K$11),Judge_01(シミュレーション!$K$11,J56,シミュレーション!$J$11))</f>
        <v>0</v>
      </c>
      <c r="S159" s="258">
        <f>IF(State_after_knock(シミュレーション!$K$11)=R159,State_after_knock(シミュレーション!$K$11),Judge_01(シミュレーション!$K$11,K56,シミュレーション!$J$11))</f>
        <v>0</v>
      </c>
      <c r="T159" s="225">
        <f>IF(State_after_knock(シミュレーション!$K$11)=S159,State_after_knock(シミュレーション!$K$11),Judge_01(シミュレーション!$K$11,L56,シミュレーション!$J$11))</f>
        <v>0</v>
      </c>
      <c r="V159" s="18">
        <v>53</v>
      </c>
      <c r="W159" s="258">
        <f>Judge_01(シミュレーション!$K$12,I56,シミュレーション!$J$12)</f>
        <v>0</v>
      </c>
      <c r="X159" s="258">
        <f>IF(State_after_knock(シミュレーション!$K$12)=W159,State_after_knock(シミュレーション!$K$12),Judge_01(シミュレーション!$K$12,I56,シミュレーション!$J$12))</f>
        <v>0</v>
      </c>
      <c r="Y159" s="258">
        <f>IF(State_after_knock(シミュレーション!$K$12)=X159,State_after_knock(シミュレーション!$K$12),Judge_01(シミュレーション!$K$12,J56,シミュレーション!$J$12))</f>
        <v>0</v>
      </c>
      <c r="Z159" s="258">
        <f>IF(State_after_knock(シミュレーション!$K$12)=Y159,State_after_knock(シミュレーション!$K$12),Judge_01(シミュレーション!$K$12,K56,シミュレーション!$J$12))</f>
        <v>0</v>
      </c>
      <c r="AA159" s="225">
        <f>IF(State_after_knock(シミュレーション!$K$12)=Z159,State_after_knock(シミュレーション!$K$12),Judge_01(シミュレーション!$K$12,L56,シミュレーション!$J$12))</f>
        <v>0</v>
      </c>
    </row>
    <row r="160" spans="15:27" ht="14.25" x14ac:dyDescent="0.15">
      <c r="O160" s="18">
        <v>54</v>
      </c>
      <c r="P160" s="258">
        <f>Judge_01(シミュレーション!$K$11,I57,シミュレーション!$J$11)</f>
        <v>0</v>
      </c>
      <c r="Q160" s="258">
        <f>IF(State_after_knock(シミュレーション!$K$11)=P160,State_after_knock(シミュレーション!$K$11),Judge_01(シミュレーション!$K$11,I57,シミュレーション!$J$11))</f>
        <v>0</v>
      </c>
      <c r="R160" s="258">
        <f>IF(State_after_knock(シミュレーション!$K$11)=Q160,State_after_knock(シミュレーション!$K$11),Judge_01(シミュレーション!$K$11,J57,シミュレーション!$J$11))</f>
        <v>0</v>
      </c>
      <c r="S160" s="258">
        <f>IF(State_after_knock(シミュレーション!$K$11)=R160,State_after_knock(シミュレーション!$K$11),Judge_01(シミュレーション!$K$11,K57,シミュレーション!$J$11))</f>
        <v>0</v>
      </c>
      <c r="T160" s="225">
        <f>IF(State_after_knock(シミュレーション!$K$11)=S160,State_after_knock(シミュレーション!$K$11),Judge_01(シミュレーション!$K$11,L57,シミュレーション!$J$11))</f>
        <v>0</v>
      </c>
      <c r="V160" s="18">
        <v>54</v>
      </c>
      <c r="W160" s="258">
        <f>Judge_01(シミュレーション!$K$12,I57,シミュレーション!$J$12)</f>
        <v>0</v>
      </c>
      <c r="X160" s="258">
        <f>IF(State_after_knock(シミュレーション!$K$12)=W160,State_after_knock(シミュレーション!$K$12),Judge_01(シミュレーション!$K$12,I57,シミュレーション!$J$12))</f>
        <v>0</v>
      </c>
      <c r="Y160" s="258">
        <f>IF(State_after_knock(シミュレーション!$K$12)=X160,State_after_knock(シミュレーション!$K$12),Judge_01(シミュレーション!$K$12,J57,シミュレーション!$J$12))</f>
        <v>0</v>
      </c>
      <c r="Z160" s="258">
        <f>IF(State_after_knock(シミュレーション!$K$12)=Y160,State_after_knock(シミュレーション!$K$12),Judge_01(シミュレーション!$K$12,K57,シミュレーション!$J$12))</f>
        <v>0</v>
      </c>
      <c r="AA160" s="225">
        <f>IF(State_after_knock(シミュレーション!$K$12)=Z160,State_after_knock(シミュレーション!$K$12),Judge_01(シミュレーション!$K$12,L57,シミュレーション!$J$12))</f>
        <v>0</v>
      </c>
    </row>
    <row r="161" spans="15:27" ht="14.25" x14ac:dyDescent="0.15">
      <c r="O161" s="18">
        <v>55</v>
      </c>
      <c r="P161" s="258">
        <f>Judge_01(シミュレーション!$K$11,I58,シミュレーション!$J$11)</f>
        <v>0</v>
      </c>
      <c r="Q161" s="258">
        <f>IF(State_after_knock(シミュレーション!$K$11)=P161,State_after_knock(シミュレーション!$K$11),Judge_01(シミュレーション!$K$11,I58,シミュレーション!$J$11))</f>
        <v>0</v>
      </c>
      <c r="R161" s="258">
        <f>IF(State_after_knock(シミュレーション!$K$11)=Q161,State_after_knock(シミュレーション!$K$11),Judge_01(シミュレーション!$K$11,J58,シミュレーション!$J$11))</f>
        <v>0</v>
      </c>
      <c r="S161" s="258">
        <f>IF(State_after_knock(シミュレーション!$K$11)=R161,State_after_knock(シミュレーション!$K$11),Judge_01(シミュレーション!$K$11,K58,シミュレーション!$J$11))</f>
        <v>0</v>
      </c>
      <c r="T161" s="225">
        <f>IF(State_after_knock(シミュレーション!$K$11)=S161,State_after_knock(シミュレーション!$K$11),Judge_01(シミュレーション!$K$11,L58,シミュレーション!$J$11))</f>
        <v>0</v>
      </c>
      <c r="V161" s="18">
        <v>55</v>
      </c>
      <c r="W161" s="258">
        <f>Judge_01(シミュレーション!$K$12,I58,シミュレーション!$J$12)</f>
        <v>0</v>
      </c>
      <c r="X161" s="258">
        <f>IF(State_after_knock(シミュレーション!$K$12)=W161,State_after_knock(シミュレーション!$K$12),Judge_01(シミュレーション!$K$12,I58,シミュレーション!$J$12))</f>
        <v>0</v>
      </c>
      <c r="Y161" s="258">
        <f>IF(State_after_knock(シミュレーション!$K$12)=X161,State_after_knock(シミュレーション!$K$12),Judge_01(シミュレーション!$K$12,J58,シミュレーション!$J$12))</f>
        <v>0</v>
      </c>
      <c r="Z161" s="258">
        <f>IF(State_after_knock(シミュレーション!$K$12)=Y161,State_after_knock(シミュレーション!$K$12),Judge_01(シミュレーション!$K$12,K58,シミュレーション!$J$12))</f>
        <v>0</v>
      </c>
      <c r="AA161" s="225">
        <f>IF(State_after_knock(シミュレーション!$K$12)=Z161,State_after_knock(シミュレーション!$K$12),Judge_01(シミュレーション!$K$12,L58,シミュレーション!$J$12))</f>
        <v>0</v>
      </c>
    </row>
    <row r="162" spans="15:27" ht="14.25" x14ac:dyDescent="0.15">
      <c r="O162" s="18">
        <v>56</v>
      </c>
      <c r="P162" s="258">
        <f>Judge_01(シミュレーション!$K$11,I59,シミュレーション!$J$11)</f>
        <v>0</v>
      </c>
      <c r="Q162" s="258">
        <f>IF(State_after_knock(シミュレーション!$K$11)=P162,State_after_knock(シミュレーション!$K$11),Judge_01(シミュレーション!$K$11,I59,シミュレーション!$J$11))</f>
        <v>0</v>
      </c>
      <c r="R162" s="258">
        <f>IF(State_after_knock(シミュレーション!$K$11)=Q162,State_after_knock(シミュレーション!$K$11),Judge_01(シミュレーション!$K$11,J59,シミュレーション!$J$11))</f>
        <v>0</v>
      </c>
      <c r="S162" s="258">
        <f>IF(State_after_knock(シミュレーション!$K$11)=R162,State_after_knock(シミュレーション!$K$11),Judge_01(シミュレーション!$K$11,K59,シミュレーション!$J$11))</f>
        <v>0</v>
      </c>
      <c r="T162" s="225">
        <f>IF(State_after_knock(シミュレーション!$K$11)=S162,State_after_knock(シミュレーション!$K$11),Judge_01(シミュレーション!$K$11,L59,シミュレーション!$J$11))</f>
        <v>0</v>
      </c>
      <c r="V162" s="18">
        <v>56</v>
      </c>
      <c r="W162" s="258">
        <f>Judge_01(シミュレーション!$K$12,I59,シミュレーション!$J$12)</f>
        <v>0</v>
      </c>
      <c r="X162" s="258">
        <f>IF(State_after_knock(シミュレーション!$K$12)=W162,State_after_knock(シミュレーション!$K$12),Judge_01(シミュレーション!$K$12,I59,シミュレーション!$J$12))</f>
        <v>0</v>
      </c>
      <c r="Y162" s="258">
        <f>IF(State_after_knock(シミュレーション!$K$12)=X162,State_after_knock(シミュレーション!$K$12),Judge_01(シミュレーション!$K$12,J59,シミュレーション!$J$12))</f>
        <v>0</v>
      </c>
      <c r="Z162" s="258">
        <f>IF(State_after_knock(シミュレーション!$K$12)=Y162,State_after_knock(シミュレーション!$K$12),Judge_01(シミュレーション!$K$12,K59,シミュレーション!$J$12))</f>
        <v>0</v>
      </c>
      <c r="AA162" s="225">
        <f>IF(State_after_knock(シミュレーション!$K$12)=Z162,State_after_knock(シミュレーション!$K$12),Judge_01(シミュレーション!$K$12,L59,シミュレーション!$J$12))</f>
        <v>0</v>
      </c>
    </row>
    <row r="163" spans="15:27" ht="14.25" x14ac:dyDescent="0.15">
      <c r="O163" s="18">
        <v>57</v>
      </c>
      <c r="P163" s="258">
        <f>Judge_01(シミュレーション!$K$11,I60,シミュレーション!$J$11)</f>
        <v>0</v>
      </c>
      <c r="Q163" s="258">
        <f>IF(State_after_knock(シミュレーション!$K$11)=P163,State_after_knock(シミュレーション!$K$11),Judge_01(シミュレーション!$K$11,I60,シミュレーション!$J$11))</f>
        <v>0</v>
      </c>
      <c r="R163" s="258">
        <f>IF(State_after_knock(シミュレーション!$K$11)=Q163,State_after_knock(シミュレーション!$K$11),Judge_01(シミュレーション!$K$11,J60,シミュレーション!$J$11))</f>
        <v>0</v>
      </c>
      <c r="S163" s="258">
        <f>IF(State_after_knock(シミュレーション!$K$11)=R163,State_after_knock(シミュレーション!$K$11),Judge_01(シミュレーション!$K$11,K60,シミュレーション!$J$11))</f>
        <v>0</v>
      </c>
      <c r="T163" s="225">
        <f>IF(State_after_knock(シミュレーション!$K$11)=S163,State_after_knock(シミュレーション!$K$11),Judge_01(シミュレーション!$K$11,L60,シミュレーション!$J$11))</f>
        <v>0</v>
      </c>
      <c r="V163" s="18">
        <v>57</v>
      </c>
      <c r="W163" s="258">
        <f>Judge_01(シミュレーション!$K$12,I60,シミュレーション!$J$12)</f>
        <v>0</v>
      </c>
      <c r="X163" s="258">
        <f>IF(State_after_knock(シミュレーション!$K$12)=W163,State_after_knock(シミュレーション!$K$12),Judge_01(シミュレーション!$K$12,I60,シミュレーション!$J$12))</f>
        <v>0</v>
      </c>
      <c r="Y163" s="258">
        <f>IF(State_after_knock(シミュレーション!$K$12)=X163,State_after_knock(シミュレーション!$K$12),Judge_01(シミュレーション!$K$12,J60,シミュレーション!$J$12))</f>
        <v>0</v>
      </c>
      <c r="Z163" s="258">
        <f>IF(State_after_knock(シミュレーション!$K$12)=Y163,State_after_knock(シミュレーション!$K$12),Judge_01(シミュレーション!$K$12,K60,シミュレーション!$J$12))</f>
        <v>0</v>
      </c>
      <c r="AA163" s="225">
        <f>IF(State_after_knock(シミュレーション!$K$12)=Z163,State_after_knock(シミュレーション!$K$12),Judge_01(シミュレーション!$K$12,L60,シミュレーション!$J$12))</f>
        <v>0</v>
      </c>
    </row>
    <row r="164" spans="15:27" ht="14.25" x14ac:dyDescent="0.15">
      <c r="O164" s="18">
        <v>58</v>
      </c>
      <c r="P164" s="258">
        <f>Judge_01(シミュレーション!$K$11,I61,シミュレーション!$J$11)</f>
        <v>0</v>
      </c>
      <c r="Q164" s="258">
        <f>IF(State_after_knock(シミュレーション!$K$11)=P164,State_after_knock(シミュレーション!$K$11),Judge_01(シミュレーション!$K$11,I61,シミュレーション!$J$11))</f>
        <v>0</v>
      </c>
      <c r="R164" s="258">
        <f>IF(State_after_knock(シミュレーション!$K$11)=Q164,State_after_knock(シミュレーション!$K$11),Judge_01(シミュレーション!$K$11,J61,シミュレーション!$J$11))</f>
        <v>0</v>
      </c>
      <c r="S164" s="258">
        <f>IF(State_after_knock(シミュレーション!$K$11)=R164,State_after_knock(シミュレーション!$K$11),Judge_01(シミュレーション!$K$11,K61,シミュレーション!$J$11))</f>
        <v>0</v>
      </c>
      <c r="T164" s="225">
        <f>IF(State_after_knock(シミュレーション!$K$11)=S164,State_after_knock(シミュレーション!$K$11),Judge_01(シミュレーション!$K$11,L61,シミュレーション!$J$11))</f>
        <v>0</v>
      </c>
      <c r="V164" s="18">
        <v>58</v>
      </c>
      <c r="W164" s="258">
        <f>Judge_01(シミュレーション!$K$12,I61,シミュレーション!$J$12)</f>
        <v>0</v>
      </c>
      <c r="X164" s="258">
        <f>IF(State_after_knock(シミュレーション!$K$12)=W164,State_after_knock(シミュレーション!$K$12),Judge_01(シミュレーション!$K$12,I61,シミュレーション!$J$12))</f>
        <v>0</v>
      </c>
      <c r="Y164" s="258">
        <f>IF(State_after_knock(シミュレーション!$K$12)=X164,State_after_knock(シミュレーション!$K$12),Judge_01(シミュレーション!$K$12,J61,シミュレーション!$J$12))</f>
        <v>0</v>
      </c>
      <c r="Z164" s="258">
        <f>IF(State_after_knock(シミュレーション!$K$12)=Y164,State_after_knock(シミュレーション!$K$12),Judge_01(シミュレーション!$K$12,K61,シミュレーション!$J$12))</f>
        <v>0</v>
      </c>
      <c r="AA164" s="225">
        <f>IF(State_after_knock(シミュレーション!$K$12)=Z164,State_after_knock(シミュレーション!$K$12),Judge_01(シミュレーション!$K$12,L61,シミュレーション!$J$12))</f>
        <v>0</v>
      </c>
    </row>
    <row r="165" spans="15:27" ht="14.25" x14ac:dyDescent="0.15">
      <c r="O165" s="18">
        <v>59</v>
      </c>
      <c r="P165" s="258">
        <f>Judge_01(シミュレーション!$K$11,I62,シミュレーション!$J$11)</f>
        <v>0</v>
      </c>
      <c r="Q165" s="258">
        <f>IF(State_after_knock(シミュレーション!$K$11)=P165,State_after_knock(シミュレーション!$K$11),Judge_01(シミュレーション!$K$11,I62,シミュレーション!$J$11))</f>
        <v>0</v>
      </c>
      <c r="R165" s="258">
        <f>IF(State_after_knock(シミュレーション!$K$11)=Q165,State_after_knock(シミュレーション!$K$11),Judge_01(シミュレーション!$K$11,J62,シミュレーション!$J$11))</f>
        <v>0</v>
      </c>
      <c r="S165" s="258">
        <f>IF(State_after_knock(シミュレーション!$K$11)=R165,State_after_knock(シミュレーション!$K$11),Judge_01(シミュレーション!$K$11,K62,シミュレーション!$J$11))</f>
        <v>0</v>
      </c>
      <c r="T165" s="225">
        <f>IF(State_after_knock(シミュレーション!$K$11)=S165,State_after_knock(シミュレーション!$K$11),Judge_01(シミュレーション!$K$11,L62,シミュレーション!$J$11))</f>
        <v>0</v>
      </c>
      <c r="V165" s="18">
        <v>59</v>
      </c>
      <c r="W165" s="258">
        <f>Judge_01(シミュレーション!$K$12,I62,シミュレーション!$J$12)</f>
        <v>0</v>
      </c>
      <c r="X165" s="258">
        <f>IF(State_after_knock(シミュレーション!$K$12)=W165,State_after_knock(シミュレーション!$K$12),Judge_01(シミュレーション!$K$12,I62,シミュレーション!$J$12))</f>
        <v>0</v>
      </c>
      <c r="Y165" s="258">
        <f>IF(State_after_knock(シミュレーション!$K$12)=X165,State_after_knock(シミュレーション!$K$12),Judge_01(シミュレーション!$K$12,J62,シミュレーション!$J$12))</f>
        <v>0</v>
      </c>
      <c r="Z165" s="258">
        <f>IF(State_after_knock(シミュレーション!$K$12)=Y165,State_after_knock(シミュレーション!$K$12),Judge_01(シミュレーション!$K$12,K62,シミュレーション!$J$12))</f>
        <v>0</v>
      </c>
      <c r="AA165" s="225">
        <f>IF(State_after_knock(シミュレーション!$K$12)=Z165,State_after_knock(シミュレーション!$K$12),Judge_01(シミュレーション!$K$12,L62,シミュレーション!$J$12))</f>
        <v>0</v>
      </c>
    </row>
    <row r="166" spans="15:27" ht="14.25" x14ac:dyDescent="0.15">
      <c r="O166" s="18">
        <v>60</v>
      </c>
      <c r="P166" s="258">
        <f>Judge_01(シミュレーション!$K$11,I63,シミュレーション!$J$11)</f>
        <v>0</v>
      </c>
      <c r="Q166" s="258">
        <f>IF(State_after_knock(シミュレーション!$K$11)=P166,State_after_knock(シミュレーション!$K$11),Judge_01(シミュレーション!$K$11,I63,シミュレーション!$J$11))</f>
        <v>0</v>
      </c>
      <c r="R166" s="258">
        <f>IF(State_after_knock(シミュレーション!$K$11)=Q166,State_after_knock(シミュレーション!$K$11),Judge_01(シミュレーション!$K$11,J63,シミュレーション!$J$11))</f>
        <v>0</v>
      </c>
      <c r="S166" s="258">
        <f>IF(State_after_knock(シミュレーション!$K$11)=R166,State_after_knock(シミュレーション!$K$11),Judge_01(シミュレーション!$K$11,K63,シミュレーション!$J$11))</f>
        <v>0</v>
      </c>
      <c r="T166" s="225">
        <f>IF(State_after_knock(シミュレーション!$K$11)=S166,State_after_knock(シミュレーション!$K$11),Judge_01(シミュレーション!$K$11,L63,シミュレーション!$J$11))</f>
        <v>0</v>
      </c>
      <c r="V166" s="18">
        <v>60</v>
      </c>
      <c r="W166" s="258">
        <f>Judge_01(シミュレーション!$K$12,I63,シミュレーション!$J$12)</f>
        <v>0</v>
      </c>
      <c r="X166" s="258">
        <f>IF(State_after_knock(シミュレーション!$K$12)=W166,State_after_knock(シミュレーション!$K$12),Judge_01(シミュレーション!$K$12,I63,シミュレーション!$J$12))</f>
        <v>0</v>
      </c>
      <c r="Y166" s="258">
        <f>IF(State_after_knock(シミュレーション!$K$12)=X166,State_after_knock(シミュレーション!$K$12),Judge_01(シミュレーション!$K$12,J63,シミュレーション!$J$12))</f>
        <v>0</v>
      </c>
      <c r="Z166" s="258">
        <f>IF(State_after_knock(シミュレーション!$K$12)=Y166,State_after_knock(シミュレーション!$K$12),Judge_01(シミュレーション!$K$12,K63,シミュレーション!$J$12))</f>
        <v>0</v>
      </c>
      <c r="AA166" s="225">
        <f>IF(State_after_knock(シミュレーション!$K$12)=Z166,State_after_knock(シミュレーション!$K$12),Judge_01(シミュレーション!$K$12,L63,シミュレーション!$J$12))</f>
        <v>0</v>
      </c>
    </row>
    <row r="167" spans="15:27" ht="14.25" x14ac:dyDescent="0.15">
      <c r="O167" s="18">
        <v>61</v>
      </c>
      <c r="P167" s="258">
        <f>Judge_01(シミュレーション!$K$11,I64,シミュレーション!$J$11)</f>
        <v>0</v>
      </c>
      <c r="Q167" s="258">
        <f>IF(State_after_knock(シミュレーション!$K$11)=P167,State_after_knock(シミュレーション!$K$11),Judge_01(シミュレーション!$K$11,I64,シミュレーション!$J$11))</f>
        <v>0</v>
      </c>
      <c r="R167" s="258">
        <f>IF(State_after_knock(シミュレーション!$K$11)=Q167,State_after_knock(シミュレーション!$K$11),Judge_01(シミュレーション!$K$11,J64,シミュレーション!$J$11))</f>
        <v>0</v>
      </c>
      <c r="S167" s="258">
        <f>IF(State_after_knock(シミュレーション!$K$11)=R167,State_after_knock(シミュレーション!$K$11),Judge_01(シミュレーション!$K$11,K64,シミュレーション!$J$11))</f>
        <v>0</v>
      </c>
      <c r="T167" s="225">
        <f>IF(State_after_knock(シミュレーション!$K$11)=S167,State_after_knock(シミュレーション!$K$11),Judge_01(シミュレーション!$K$11,L64,シミュレーション!$J$11))</f>
        <v>0</v>
      </c>
      <c r="V167" s="18">
        <v>61</v>
      </c>
      <c r="W167" s="258">
        <f>Judge_01(シミュレーション!$K$12,I64,シミュレーション!$J$12)</f>
        <v>0</v>
      </c>
      <c r="X167" s="258">
        <f>IF(State_after_knock(シミュレーション!$K$12)=W167,State_after_knock(シミュレーション!$K$12),Judge_01(シミュレーション!$K$12,I64,シミュレーション!$J$12))</f>
        <v>0</v>
      </c>
      <c r="Y167" s="258">
        <f>IF(State_after_knock(シミュレーション!$K$12)=X167,State_after_knock(シミュレーション!$K$12),Judge_01(シミュレーション!$K$12,J64,シミュレーション!$J$12))</f>
        <v>0</v>
      </c>
      <c r="Z167" s="258">
        <f>IF(State_after_knock(シミュレーション!$K$12)=Y167,State_after_knock(シミュレーション!$K$12),Judge_01(シミュレーション!$K$12,K64,シミュレーション!$J$12))</f>
        <v>0</v>
      </c>
      <c r="AA167" s="225">
        <f>IF(State_after_knock(シミュレーション!$K$12)=Z167,State_after_knock(シミュレーション!$K$12),Judge_01(シミュレーション!$K$12,L64,シミュレーション!$J$12))</f>
        <v>0</v>
      </c>
    </row>
    <row r="168" spans="15:27" ht="14.25" x14ac:dyDescent="0.15">
      <c r="O168" s="18">
        <v>62</v>
      </c>
      <c r="P168" s="258">
        <f>Judge_01(シミュレーション!$K$11,I65,シミュレーション!$J$11)</f>
        <v>0</v>
      </c>
      <c r="Q168" s="258">
        <f>IF(State_after_knock(シミュレーション!$K$11)=P168,State_after_knock(シミュレーション!$K$11),Judge_01(シミュレーション!$K$11,I65,シミュレーション!$J$11))</f>
        <v>0</v>
      </c>
      <c r="R168" s="258">
        <f>IF(State_after_knock(シミュレーション!$K$11)=Q168,State_after_knock(シミュレーション!$K$11),Judge_01(シミュレーション!$K$11,J65,シミュレーション!$J$11))</f>
        <v>0</v>
      </c>
      <c r="S168" s="258">
        <f>IF(State_after_knock(シミュレーション!$K$11)=R168,State_after_knock(シミュレーション!$K$11),Judge_01(シミュレーション!$K$11,K65,シミュレーション!$J$11))</f>
        <v>0</v>
      </c>
      <c r="T168" s="225">
        <f>IF(State_after_knock(シミュレーション!$K$11)=S168,State_after_knock(シミュレーション!$K$11),Judge_01(シミュレーション!$K$11,L65,シミュレーション!$J$11))</f>
        <v>0</v>
      </c>
      <c r="V168" s="18">
        <v>62</v>
      </c>
      <c r="W168" s="258">
        <f>Judge_01(シミュレーション!$K$12,I65,シミュレーション!$J$12)</f>
        <v>0</v>
      </c>
      <c r="X168" s="258">
        <f>IF(State_after_knock(シミュレーション!$K$12)=W168,State_after_knock(シミュレーション!$K$12),Judge_01(シミュレーション!$K$12,I65,シミュレーション!$J$12))</f>
        <v>0</v>
      </c>
      <c r="Y168" s="258">
        <f>IF(State_after_knock(シミュレーション!$K$12)=X168,State_after_knock(シミュレーション!$K$12),Judge_01(シミュレーション!$K$12,J65,シミュレーション!$J$12))</f>
        <v>0</v>
      </c>
      <c r="Z168" s="258">
        <f>IF(State_after_knock(シミュレーション!$K$12)=Y168,State_after_knock(シミュレーション!$K$12),Judge_01(シミュレーション!$K$12,K65,シミュレーション!$J$12))</f>
        <v>0</v>
      </c>
      <c r="AA168" s="225">
        <f>IF(State_after_knock(シミュレーション!$K$12)=Z168,State_after_knock(シミュレーション!$K$12),Judge_01(シミュレーション!$K$12,L65,シミュレーション!$J$12))</f>
        <v>0</v>
      </c>
    </row>
    <row r="169" spans="15:27" ht="14.25" x14ac:dyDescent="0.15">
      <c r="O169" s="18">
        <v>63</v>
      </c>
      <c r="P169" s="258">
        <f>Judge_01(シミュレーション!$K$11,I66,シミュレーション!$J$11)</f>
        <v>0</v>
      </c>
      <c r="Q169" s="258">
        <f>IF(State_after_knock(シミュレーション!$K$11)=P169,State_after_knock(シミュレーション!$K$11),Judge_01(シミュレーション!$K$11,I66,シミュレーション!$J$11))</f>
        <v>0</v>
      </c>
      <c r="R169" s="258">
        <f>IF(State_after_knock(シミュレーション!$K$11)=Q169,State_after_knock(シミュレーション!$K$11),Judge_01(シミュレーション!$K$11,J66,シミュレーション!$J$11))</f>
        <v>0</v>
      </c>
      <c r="S169" s="258">
        <f>IF(State_after_knock(シミュレーション!$K$11)=R169,State_after_knock(シミュレーション!$K$11),Judge_01(シミュレーション!$K$11,K66,シミュレーション!$J$11))</f>
        <v>0</v>
      </c>
      <c r="T169" s="225">
        <f>IF(State_after_knock(シミュレーション!$K$11)=S169,State_after_knock(シミュレーション!$K$11),Judge_01(シミュレーション!$K$11,L66,シミュレーション!$J$11))</f>
        <v>0</v>
      </c>
      <c r="V169" s="18">
        <v>63</v>
      </c>
      <c r="W169" s="258">
        <f>Judge_01(シミュレーション!$K$12,I66,シミュレーション!$J$12)</f>
        <v>0</v>
      </c>
      <c r="X169" s="258">
        <f>IF(State_after_knock(シミュレーション!$K$12)=W169,State_after_knock(シミュレーション!$K$12),Judge_01(シミュレーション!$K$12,I66,シミュレーション!$J$12))</f>
        <v>0</v>
      </c>
      <c r="Y169" s="258">
        <f>IF(State_after_knock(シミュレーション!$K$12)=X169,State_after_knock(シミュレーション!$K$12),Judge_01(シミュレーション!$K$12,J66,シミュレーション!$J$12))</f>
        <v>0</v>
      </c>
      <c r="Z169" s="258">
        <f>IF(State_after_knock(シミュレーション!$K$12)=Y169,State_after_knock(シミュレーション!$K$12),Judge_01(シミュレーション!$K$12,K66,シミュレーション!$J$12))</f>
        <v>0</v>
      </c>
      <c r="AA169" s="225">
        <f>IF(State_after_knock(シミュレーション!$K$12)=Z169,State_after_knock(シミュレーション!$K$12),Judge_01(シミュレーション!$K$12,L66,シミュレーション!$J$12))</f>
        <v>0</v>
      </c>
    </row>
    <row r="170" spans="15:27" ht="14.25" x14ac:dyDescent="0.15">
      <c r="O170" s="18">
        <v>64</v>
      </c>
      <c r="P170" s="258">
        <f>Judge_01(シミュレーション!$K$11,I67,シミュレーション!$J$11)</f>
        <v>0</v>
      </c>
      <c r="Q170" s="258">
        <f>IF(State_after_knock(シミュレーション!$K$11)=P170,State_after_knock(シミュレーション!$K$11),Judge_01(シミュレーション!$K$11,I67,シミュレーション!$J$11))</f>
        <v>0</v>
      </c>
      <c r="R170" s="258">
        <f>IF(State_after_knock(シミュレーション!$K$11)=Q170,State_after_knock(シミュレーション!$K$11),Judge_01(シミュレーション!$K$11,J67,シミュレーション!$J$11))</f>
        <v>0</v>
      </c>
      <c r="S170" s="258">
        <f>IF(State_after_knock(シミュレーション!$K$11)=R170,State_after_knock(シミュレーション!$K$11),Judge_01(シミュレーション!$K$11,K67,シミュレーション!$J$11))</f>
        <v>0</v>
      </c>
      <c r="T170" s="225">
        <f>IF(State_after_knock(シミュレーション!$K$11)=S170,State_after_knock(シミュレーション!$K$11),Judge_01(シミュレーション!$K$11,L67,シミュレーション!$J$11))</f>
        <v>0</v>
      </c>
      <c r="V170" s="18">
        <v>64</v>
      </c>
      <c r="W170" s="258">
        <f>Judge_01(シミュレーション!$K$12,I67,シミュレーション!$J$12)</f>
        <v>0</v>
      </c>
      <c r="X170" s="258">
        <f>IF(State_after_knock(シミュレーション!$K$12)=W170,State_after_knock(シミュレーション!$K$12),Judge_01(シミュレーション!$K$12,I67,シミュレーション!$J$12))</f>
        <v>0</v>
      </c>
      <c r="Y170" s="258">
        <f>IF(State_after_knock(シミュレーション!$K$12)=X170,State_after_knock(シミュレーション!$K$12),Judge_01(シミュレーション!$K$12,J67,シミュレーション!$J$12))</f>
        <v>0</v>
      </c>
      <c r="Z170" s="258">
        <f>IF(State_after_knock(シミュレーション!$K$12)=Y170,State_after_knock(シミュレーション!$K$12),Judge_01(シミュレーション!$K$12,K67,シミュレーション!$J$12))</f>
        <v>0</v>
      </c>
      <c r="AA170" s="225">
        <f>IF(State_after_knock(シミュレーション!$K$12)=Z170,State_after_knock(シミュレーション!$K$12),Judge_01(シミュレーション!$K$12,L67,シミュレーション!$J$12))</f>
        <v>0</v>
      </c>
    </row>
    <row r="171" spans="15:27" ht="14.25" x14ac:dyDescent="0.15">
      <c r="O171" s="18">
        <v>65</v>
      </c>
      <c r="P171" s="258">
        <f>Judge_01(シミュレーション!$K$11,I68,シミュレーション!$J$11)</f>
        <v>0</v>
      </c>
      <c r="Q171" s="258">
        <f>IF(State_after_knock(シミュレーション!$K$11)=P171,State_after_knock(シミュレーション!$K$11),Judge_01(シミュレーション!$K$11,I68,シミュレーション!$J$11))</f>
        <v>0</v>
      </c>
      <c r="R171" s="258">
        <f>IF(State_after_knock(シミュレーション!$K$11)=Q171,State_after_knock(シミュレーション!$K$11),Judge_01(シミュレーション!$K$11,J68,シミュレーション!$J$11))</f>
        <v>0</v>
      </c>
      <c r="S171" s="258">
        <f>IF(State_after_knock(シミュレーション!$K$11)=R171,State_after_knock(シミュレーション!$K$11),Judge_01(シミュレーション!$K$11,K68,シミュレーション!$J$11))</f>
        <v>0</v>
      </c>
      <c r="T171" s="225">
        <f>IF(State_after_knock(シミュレーション!$K$11)=S171,State_after_knock(シミュレーション!$K$11),Judge_01(シミュレーション!$K$11,L68,シミュレーション!$J$11))</f>
        <v>0</v>
      </c>
      <c r="V171" s="18">
        <v>65</v>
      </c>
      <c r="W171" s="258">
        <f>Judge_01(シミュレーション!$K$12,I68,シミュレーション!$J$12)</f>
        <v>0</v>
      </c>
      <c r="X171" s="258">
        <f>IF(State_after_knock(シミュレーション!$K$12)=W171,State_after_knock(シミュレーション!$K$12),Judge_01(シミュレーション!$K$12,I68,シミュレーション!$J$12))</f>
        <v>0</v>
      </c>
      <c r="Y171" s="258">
        <f>IF(State_after_knock(シミュレーション!$K$12)=X171,State_after_knock(シミュレーション!$K$12),Judge_01(シミュレーション!$K$12,J68,シミュレーション!$J$12))</f>
        <v>0</v>
      </c>
      <c r="Z171" s="258">
        <f>IF(State_after_knock(シミュレーション!$K$12)=Y171,State_after_knock(シミュレーション!$K$12),Judge_01(シミュレーション!$K$12,K68,シミュレーション!$J$12))</f>
        <v>0</v>
      </c>
      <c r="AA171" s="225">
        <f>IF(State_after_knock(シミュレーション!$K$12)=Z171,State_after_knock(シミュレーション!$K$12),Judge_01(シミュレーション!$K$12,L68,シミュレーション!$J$12))</f>
        <v>0</v>
      </c>
    </row>
    <row r="172" spans="15:27" ht="14.25" x14ac:dyDescent="0.15">
      <c r="O172" s="18">
        <v>66</v>
      </c>
      <c r="P172" s="258">
        <f>Judge_01(シミュレーション!$K$11,I69,シミュレーション!$J$11)</f>
        <v>0</v>
      </c>
      <c r="Q172" s="258">
        <f>IF(State_after_knock(シミュレーション!$K$11)=P172,State_after_knock(シミュレーション!$K$11),Judge_01(シミュレーション!$K$11,I69,シミュレーション!$J$11))</f>
        <v>0</v>
      </c>
      <c r="R172" s="258">
        <f>IF(State_after_knock(シミュレーション!$K$11)=Q172,State_after_knock(シミュレーション!$K$11),Judge_01(シミュレーション!$K$11,J69,シミュレーション!$J$11))</f>
        <v>0</v>
      </c>
      <c r="S172" s="258">
        <f>IF(State_after_knock(シミュレーション!$K$11)=R172,State_after_knock(シミュレーション!$K$11),Judge_01(シミュレーション!$K$11,K69,シミュレーション!$J$11))</f>
        <v>0</v>
      </c>
      <c r="T172" s="225">
        <f>IF(State_after_knock(シミュレーション!$K$11)=S172,State_after_knock(シミュレーション!$K$11),Judge_01(シミュレーション!$K$11,L69,シミュレーション!$J$11))</f>
        <v>0</v>
      </c>
      <c r="V172" s="18">
        <v>66</v>
      </c>
      <c r="W172" s="258">
        <f>Judge_01(シミュレーション!$K$12,I69,シミュレーション!$J$12)</f>
        <v>0</v>
      </c>
      <c r="X172" s="258">
        <f>IF(State_after_knock(シミュレーション!$K$12)=W172,State_after_knock(シミュレーション!$K$12),Judge_01(シミュレーション!$K$12,I69,シミュレーション!$J$12))</f>
        <v>0</v>
      </c>
      <c r="Y172" s="258">
        <f>IF(State_after_knock(シミュレーション!$K$12)=X172,State_after_knock(シミュレーション!$K$12),Judge_01(シミュレーション!$K$12,J69,シミュレーション!$J$12))</f>
        <v>0</v>
      </c>
      <c r="Z172" s="258">
        <f>IF(State_after_knock(シミュレーション!$K$12)=Y172,State_after_knock(シミュレーション!$K$12),Judge_01(シミュレーション!$K$12,K69,シミュレーション!$J$12))</f>
        <v>0</v>
      </c>
      <c r="AA172" s="225">
        <f>IF(State_after_knock(シミュレーション!$K$12)=Z172,State_after_knock(シミュレーション!$K$12),Judge_01(シミュレーション!$K$12,L69,シミュレーション!$J$12))</f>
        <v>0</v>
      </c>
    </row>
    <row r="173" spans="15:27" ht="14.25" x14ac:dyDescent="0.15">
      <c r="O173" s="18">
        <v>67</v>
      </c>
      <c r="P173" s="258">
        <f>Judge_01(シミュレーション!$K$11,I70,シミュレーション!$J$11)</f>
        <v>0</v>
      </c>
      <c r="Q173" s="258">
        <f>IF(State_after_knock(シミュレーション!$K$11)=P173,State_after_knock(シミュレーション!$K$11),Judge_01(シミュレーション!$K$11,I70,シミュレーション!$J$11))</f>
        <v>0</v>
      </c>
      <c r="R173" s="258">
        <f>IF(State_after_knock(シミュレーション!$K$11)=Q173,State_after_knock(シミュレーション!$K$11),Judge_01(シミュレーション!$K$11,J70,シミュレーション!$J$11))</f>
        <v>0</v>
      </c>
      <c r="S173" s="258">
        <f>IF(State_after_knock(シミュレーション!$K$11)=R173,State_after_knock(シミュレーション!$K$11),Judge_01(シミュレーション!$K$11,K70,シミュレーション!$J$11))</f>
        <v>0</v>
      </c>
      <c r="T173" s="225">
        <f>IF(State_after_knock(シミュレーション!$K$11)=S173,State_after_knock(シミュレーション!$K$11),Judge_01(シミュレーション!$K$11,L70,シミュレーション!$J$11))</f>
        <v>0</v>
      </c>
      <c r="V173" s="18">
        <v>67</v>
      </c>
      <c r="W173" s="258">
        <f>Judge_01(シミュレーション!$K$12,I70,シミュレーション!$J$12)</f>
        <v>0</v>
      </c>
      <c r="X173" s="258">
        <f>IF(State_after_knock(シミュレーション!$K$12)=W173,State_after_knock(シミュレーション!$K$12),Judge_01(シミュレーション!$K$12,I70,シミュレーション!$J$12))</f>
        <v>0</v>
      </c>
      <c r="Y173" s="258">
        <f>IF(State_after_knock(シミュレーション!$K$12)=X173,State_after_knock(シミュレーション!$K$12),Judge_01(シミュレーション!$K$12,J70,シミュレーション!$J$12))</f>
        <v>0</v>
      </c>
      <c r="Z173" s="258">
        <f>IF(State_after_knock(シミュレーション!$K$12)=Y173,State_after_knock(シミュレーション!$K$12),Judge_01(シミュレーション!$K$12,K70,シミュレーション!$J$12))</f>
        <v>0</v>
      </c>
      <c r="AA173" s="225">
        <f>IF(State_after_knock(シミュレーション!$K$12)=Z173,State_after_knock(シミュレーション!$K$12),Judge_01(シミュレーション!$K$12,L70,シミュレーション!$J$12))</f>
        <v>0</v>
      </c>
    </row>
    <row r="174" spans="15:27" ht="14.25" x14ac:dyDescent="0.15">
      <c r="O174" s="18">
        <v>68</v>
      </c>
      <c r="P174" s="258">
        <f>Judge_01(シミュレーション!$K$11,I71,シミュレーション!$J$11)</f>
        <v>0</v>
      </c>
      <c r="Q174" s="258">
        <f>IF(State_after_knock(シミュレーション!$K$11)=P174,State_after_knock(シミュレーション!$K$11),Judge_01(シミュレーション!$K$11,I71,シミュレーション!$J$11))</f>
        <v>0</v>
      </c>
      <c r="R174" s="258">
        <f>IF(State_after_knock(シミュレーション!$K$11)=Q174,State_after_knock(シミュレーション!$K$11),Judge_01(シミュレーション!$K$11,J71,シミュレーション!$J$11))</f>
        <v>0</v>
      </c>
      <c r="S174" s="258">
        <f>IF(State_after_knock(シミュレーション!$K$11)=R174,State_after_knock(シミュレーション!$K$11),Judge_01(シミュレーション!$K$11,K71,シミュレーション!$J$11))</f>
        <v>0</v>
      </c>
      <c r="T174" s="225">
        <f>IF(State_after_knock(シミュレーション!$K$11)=S174,State_after_knock(シミュレーション!$K$11),Judge_01(シミュレーション!$K$11,L71,シミュレーション!$J$11))</f>
        <v>0</v>
      </c>
      <c r="V174" s="18">
        <v>68</v>
      </c>
      <c r="W174" s="258">
        <f>Judge_01(シミュレーション!$K$12,I71,シミュレーション!$J$12)</f>
        <v>0</v>
      </c>
      <c r="X174" s="258">
        <f>IF(State_after_knock(シミュレーション!$K$12)=W174,State_after_knock(シミュレーション!$K$12),Judge_01(シミュレーション!$K$12,I71,シミュレーション!$J$12))</f>
        <v>0</v>
      </c>
      <c r="Y174" s="258">
        <f>IF(State_after_knock(シミュレーション!$K$12)=X174,State_after_knock(シミュレーション!$K$12),Judge_01(シミュレーション!$K$12,J71,シミュレーション!$J$12))</f>
        <v>0</v>
      </c>
      <c r="Z174" s="258">
        <f>IF(State_after_knock(シミュレーション!$K$12)=Y174,State_after_knock(シミュレーション!$K$12),Judge_01(シミュレーション!$K$12,K71,シミュレーション!$J$12))</f>
        <v>0</v>
      </c>
      <c r="AA174" s="225">
        <f>IF(State_after_knock(シミュレーション!$K$12)=Z174,State_after_knock(シミュレーション!$K$12),Judge_01(シミュレーション!$K$12,L71,シミュレーション!$J$12))</f>
        <v>0</v>
      </c>
    </row>
    <row r="175" spans="15:27" ht="14.25" x14ac:dyDescent="0.15">
      <c r="O175" s="18">
        <v>69</v>
      </c>
      <c r="P175" s="258">
        <f>Judge_01(シミュレーション!$K$11,I72,シミュレーション!$J$11)</f>
        <v>0</v>
      </c>
      <c r="Q175" s="258">
        <f>IF(State_after_knock(シミュレーション!$K$11)=P175,State_after_knock(シミュレーション!$K$11),Judge_01(シミュレーション!$K$11,I72,シミュレーション!$J$11))</f>
        <v>0</v>
      </c>
      <c r="R175" s="258">
        <f>IF(State_after_knock(シミュレーション!$K$11)=Q175,State_after_knock(シミュレーション!$K$11),Judge_01(シミュレーション!$K$11,J72,シミュレーション!$J$11))</f>
        <v>0</v>
      </c>
      <c r="S175" s="258">
        <f>IF(State_after_knock(シミュレーション!$K$11)=R175,State_after_knock(シミュレーション!$K$11),Judge_01(シミュレーション!$K$11,K72,シミュレーション!$J$11))</f>
        <v>0</v>
      </c>
      <c r="T175" s="225">
        <f>IF(State_after_knock(シミュレーション!$K$11)=S175,State_after_knock(シミュレーション!$K$11),Judge_01(シミュレーション!$K$11,L72,シミュレーション!$J$11))</f>
        <v>0</v>
      </c>
      <c r="V175" s="18">
        <v>69</v>
      </c>
      <c r="W175" s="258">
        <f>Judge_01(シミュレーション!$K$12,I72,シミュレーション!$J$12)</f>
        <v>0</v>
      </c>
      <c r="X175" s="258">
        <f>IF(State_after_knock(シミュレーション!$K$12)=W175,State_after_knock(シミュレーション!$K$12),Judge_01(シミュレーション!$K$12,I72,シミュレーション!$J$12))</f>
        <v>0</v>
      </c>
      <c r="Y175" s="258">
        <f>IF(State_after_knock(シミュレーション!$K$12)=X175,State_after_knock(シミュレーション!$K$12),Judge_01(シミュレーション!$K$12,J72,シミュレーション!$J$12))</f>
        <v>0</v>
      </c>
      <c r="Z175" s="258">
        <f>IF(State_after_knock(シミュレーション!$K$12)=Y175,State_after_knock(シミュレーション!$K$12),Judge_01(シミュレーション!$K$12,K72,シミュレーション!$J$12))</f>
        <v>0</v>
      </c>
      <c r="AA175" s="225">
        <f>IF(State_after_knock(シミュレーション!$K$12)=Z175,State_after_knock(シミュレーション!$K$12),Judge_01(シミュレーション!$K$12,L72,シミュレーション!$J$12))</f>
        <v>0</v>
      </c>
    </row>
    <row r="176" spans="15:27" ht="14.25" x14ac:dyDescent="0.15">
      <c r="O176" s="18">
        <v>70</v>
      </c>
      <c r="P176" s="258">
        <f>Judge_01(シミュレーション!$K$11,I73,シミュレーション!$J$11)</f>
        <v>0</v>
      </c>
      <c r="Q176" s="258">
        <f>IF(State_after_knock(シミュレーション!$K$11)=P176,State_after_knock(シミュレーション!$K$11),Judge_01(シミュレーション!$K$11,I73,シミュレーション!$J$11))</f>
        <v>0</v>
      </c>
      <c r="R176" s="258">
        <f>IF(State_after_knock(シミュレーション!$K$11)=Q176,State_after_knock(シミュレーション!$K$11),Judge_01(シミュレーション!$K$11,J73,シミュレーション!$J$11))</f>
        <v>0</v>
      </c>
      <c r="S176" s="258">
        <f>IF(State_after_knock(シミュレーション!$K$11)=R176,State_after_knock(シミュレーション!$K$11),Judge_01(シミュレーション!$K$11,K73,シミュレーション!$J$11))</f>
        <v>0</v>
      </c>
      <c r="T176" s="225">
        <f>IF(State_after_knock(シミュレーション!$K$11)=S176,State_after_knock(シミュレーション!$K$11),Judge_01(シミュレーション!$K$11,L73,シミュレーション!$J$11))</f>
        <v>0</v>
      </c>
      <c r="V176" s="18">
        <v>70</v>
      </c>
      <c r="W176" s="258">
        <f>Judge_01(シミュレーション!$K$12,I73,シミュレーション!$J$12)</f>
        <v>0</v>
      </c>
      <c r="X176" s="258">
        <f>IF(State_after_knock(シミュレーション!$K$12)=W176,State_after_knock(シミュレーション!$K$12),Judge_01(シミュレーション!$K$12,I73,シミュレーション!$J$12))</f>
        <v>0</v>
      </c>
      <c r="Y176" s="258">
        <f>IF(State_after_knock(シミュレーション!$K$12)=X176,State_after_knock(シミュレーション!$K$12),Judge_01(シミュレーション!$K$12,J73,シミュレーション!$J$12))</f>
        <v>0</v>
      </c>
      <c r="Z176" s="258">
        <f>IF(State_after_knock(シミュレーション!$K$12)=Y176,State_after_knock(シミュレーション!$K$12),Judge_01(シミュレーション!$K$12,K73,シミュレーション!$J$12))</f>
        <v>0</v>
      </c>
      <c r="AA176" s="225">
        <f>IF(State_after_knock(シミュレーション!$K$12)=Z176,State_after_knock(シミュレーション!$K$12),Judge_01(シミュレーション!$K$12,L73,シミュレーション!$J$12))</f>
        <v>0</v>
      </c>
    </row>
    <row r="177" spans="15:27" ht="14.25" x14ac:dyDescent="0.15">
      <c r="O177" s="18">
        <v>71</v>
      </c>
      <c r="P177" s="258">
        <f>Judge_01(シミュレーション!$K$11,I74,シミュレーション!$J$11)</f>
        <v>0</v>
      </c>
      <c r="Q177" s="258">
        <f>IF(State_after_knock(シミュレーション!$K$11)=P177,State_after_knock(シミュレーション!$K$11),Judge_01(シミュレーション!$K$11,I74,シミュレーション!$J$11))</f>
        <v>0</v>
      </c>
      <c r="R177" s="258">
        <f>IF(State_after_knock(シミュレーション!$K$11)=Q177,State_after_knock(シミュレーション!$K$11),Judge_01(シミュレーション!$K$11,J74,シミュレーション!$J$11))</f>
        <v>0</v>
      </c>
      <c r="S177" s="258">
        <f>IF(State_after_knock(シミュレーション!$K$11)=R177,State_after_knock(シミュレーション!$K$11),Judge_01(シミュレーション!$K$11,K74,シミュレーション!$J$11))</f>
        <v>0</v>
      </c>
      <c r="T177" s="225">
        <f>IF(State_after_knock(シミュレーション!$K$11)=S177,State_after_knock(シミュレーション!$K$11),Judge_01(シミュレーション!$K$11,L74,シミュレーション!$J$11))</f>
        <v>0</v>
      </c>
      <c r="V177" s="18">
        <v>71</v>
      </c>
      <c r="W177" s="258">
        <f>Judge_01(シミュレーション!$K$12,I74,シミュレーション!$J$12)</f>
        <v>0</v>
      </c>
      <c r="X177" s="258">
        <f>IF(State_after_knock(シミュレーション!$K$12)=W177,State_after_knock(シミュレーション!$K$12),Judge_01(シミュレーション!$K$12,I74,シミュレーション!$J$12))</f>
        <v>0</v>
      </c>
      <c r="Y177" s="258">
        <f>IF(State_after_knock(シミュレーション!$K$12)=X177,State_after_knock(シミュレーション!$K$12),Judge_01(シミュレーション!$K$12,J74,シミュレーション!$J$12))</f>
        <v>0</v>
      </c>
      <c r="Z177" s="258">
        <f>IF(State_after_knock(シミュレーション!$K$12)=Y177,State_after_knock(シミュレーション!$K$12),Judge_01(シミュレーション!$K$12,K74,シミュレーション!$J$12))</f>
        <v>0</v>
      </c>
      <c r="AA177" s="225">
        <f>IF(State_after_knock(シミュレーション!$K$12)=Z177,State_after_knock(シミュレーション!$K$12),Judge_01(シミュレーション!$K$12,L74,シミュレーション!$J$12))</f>
        <v>0</v>
      </c>
    </row>
    <row r="178" spans="15:27" ht="14.25" x14ac:dyDescent="0.15">
      <c r="O178" s="18">
        <v>72</v>
      </c>
      <c r="P178" s="258">
        <f>Judge_01(シミュレーション!$K$11,I75,シミュレーション!$J$11)</f>
        <v>0</v>
      </c>
      <c r="Q178" s="258">
        <f>IF(State_after_knock(シミュレーション!$K$11)=P178,State_after_knock(シミュレーション!$K$11),Judge_01(シミュレーション!$K$11,I75,シミュレーション!$J$11))</f>
        <v>0</v>
      </c>
      <c r="R178" s="258">
        <f>IF(State_after_knock(シミュレーション!$K$11)=Q178,State_after_knock(シミュレーション!$K$11),Judge_01(シミュレーション!$K$11,J75,シミュレーション!$J$11))</f>
        <v>0</v>
      </c>
      <c r="S178" s="258">
        <f>IF(State_after_knock(シミュレーション!$K$11)=R178,State_after_knock(シミュレーション!$K$11),Judge_01(シミュレーション!$K$11,K75,シミュレーション!$J$11))</f>
        <v>0</v>
      </c>
      <c r="T178" s="225">
        <f>IF(State_after_knock(シミュレーション!$K$11)=S178,State_after_knock(シミュレーション!$K$11),Judge_01(シミュレーション!$K$11,L75,シミュレーション!$J$11))</f>
        <v>0</v>
      </c>
      <c r="V178" s="18">
        <v>72</v>
      </c>
      <c r="W178" s="258">
        <f>Judge_01(シミュレーション!$K$12,I75,シミュレーション!$J$12)</f>
        <v>0</v>
      </c>
      <c r="X178" s="258">
        <f>IF(State_after_knock(シミュレーション!$K$12)=W178,State_after_knock(シミュレーション!$K$12),Judge_01(シミュレーション!$K$12,I75,シミュレーション!$J$12))</f>
        <v>0</v>
      </c>
      <c r="Y178" s="258">
        <f>IF(State_after_knock(シミュレーション!$K$12)=X178,State_after_knock(シミュレーション!$K$12),Judge_01(シミュレーション!$K$12,J75,シミュレーション!$J$12))</f>
        <v>0</v>
      </c>
      <c r="Z178" s="258">
        <f>IF(State_after_knock(シミュレーション!$K$12)=Y178,State_after_knock(シミュレーション!$K$12),Judge_01(シミュレーション!$K$12,K75,シミュレーション!$J$12))</f>
        <v>0</v>
      </c>
      <c r="AA178" s="225">
        <f>IF(State_after_knock(シミュレーション!$K$12)=Z178,State_after_knock(シミュレーション!$K$12),Judge_01(シミュレーション!$K$12,L75,シミュレーション!$J$12))</f>
        <v>0</v>
      </c>
    </row>
    <row r="179" spans="15:27" ht="14.25" x14ac:dyDescent="0.15">
      <c r="O179" s="18">
        <v>73</v>
      </c>
      <c r="P179" s="258">
        <f>Judge_01(シミュレーション!$K$11,I76,シミュレーション!$J$11)</f>
        <v>0</v>
      </c>
      <c r="Q179" s="258">
        <f>IF(State_after_knock(シミュレーション!$K$11)=P179,State_after_knock(シミュレーション!$K$11),Judge_01(シミュレーション!$K$11,I76,シミュレーション!$J$11))</f>
        <v>0</v>
      </c>
      <c r="R179" s="258">
        <f>IF(State_after_knock(シミュレーション!$K$11)=Q179,State_after_knock(シミュレーション!$K$11),Judge_01(シミュレーション!$K$11,J76,シミュレーション!$J$11))</f>
        <v>0</v>
      </c>
      <c r="S179" s="258">
        <f>IF(State_after_knock(シミュレーション!$K$11)=R179,State_after_knock(シミュレーション!$K$11),Judge_01(シミュレーション!$K$11,K76,シミュレーション!$J$11))</f>
        <v>0</v>
      </c>
      <c r="T179" s="225">
        <f>IF(State_after_knock(シミュレーション!$K$11)=S179,State_after_knock(シミュレーション!$K$11),Judge_01(シミュレーション!$K$11,L76,シミュレーション!$J$11))</f>
        <v>0</v>
      </c>
      <c r="V179" s="18">
        <v>73</v>
      </c>
      <c r="W179" s="258">
        <f>Judge_01(シミュレーション!$K$12,I76,シミュレーション!$J$12)</f>
        <v>0</v>
      </c>
      <c r="X179" s="258">
        <f>IF(State_after_knock(シミュレーション!$K$12)=W179,State_after_knock(シミュレーション!$K$12),Judge_01(シミュレーション!$K$12,I76,シミュレーション!$J$12))</f>
        <v>0</v>
      </c>
      <c r="Y179" s="258">
        <f>IF(State_after_knock(シミュレーション!$K$12)=X179,State_after_knock(シミュレーション!$K$12),Judge_01(シミュレーション!$K$12,J76,シミュレーション!$J$12))</f>
        <v>0</v>
      </c>
      <c r="Z179" s="258">
        <f>IF(State_after_knock(シミュレーション!$K$12)=Y179,State_after_knock(シミュレーション!$K$12),Judge_01(シミュレーション!$K$12,K76,シミュレーション!$J$12))</f>
        <v>0</v>
      </c>
      <c r="AA179" s="225">
        <f>IF(State_after_knock(シミュレーション!$K$12)=Z179,State_after_knock(シミュレーション!$K$12),Judge_01(シミュレーション!$K$12,L76,シミュレーション!$J$12))</f>
        <v>0</v>
      </c>
    </row>
    <row r="180" spans="15:27" ht="14.25" x14ac:dyDescent="0.15">
      <c r="O180" s="18">
        <v>74</v>
      </c>
      <c r="P180" s="258">
        <f>Judge_01(シミュレーション!$K$11,I77,シミュレーション!$J$11)</f>
        <v>0</v>
      </c>
      <c r="Q180" s="258">
        <f>IF(State_after_knock(シミュレーション!$K$11)=P180,State_after_knock(シミュレーション!$K$11),Judge_01(シミュレーション!$K$11,I77,シミュレーション!$J$11))</f>
        <v>0</v>
      </c>
      <c r="R180" s="258">
        <f>IF(State_after_knock(シミュレーション!$K$11)=Q180,State_after_knock(シミュレーション!$K$11),Judge_01(シミュレーション!$K$11,J77,シミュレーション!$J$11))</f>
        <v>0</v>
      </c>
      <c r="S180" s="258">
        <f>IF(State_after_knock(シミュレーション!$K$11)=R180,State_after_knock(シミュレーション!$K$11),Judge_01(シミュレーション!$K$11,K77,シミュレーション!$J$11))</f>
        <v>0</v>
      </c>
      <c r="T180" s="225">
        <f>IF(State_after_knock(シミュレーション!$K$11)=S180,State_after_knock(シミュレーション!$K$11),Judge_01(シミュレーション!$K$11,L77,シミュレーション!$J$11))</f>
        <v>0</v>
      </c>
      <c r="V180" s="18">
        <v>74</v>
      </c>
      <c r="W180" s="258">
        <f>Judge_01(シミュレーション!$K$12,I77,シミュレーション!$J$12)</f>
        <v>0</v>
      </c>
      <c r="X180" s="258">
        <f>IF(State_after_knock(シミュレーション!$K$12)=W180,State_after_knock(シミュレーション!$K$12),Judge_01(シミュレーション!$K$12,I77,シミュレーション!$J$12))</f>
        <v>0</v>
      </c>
      <c r="Y180" s="258">
        <f>IF(State_after_knock(シミュレーション!$K$12)=X180,State_after_knock(シミュレーション!$K$12),Judge_01(シミュレーション!$K$12,J77,シミュレーション!$J$12))</f>
        <v>0</v>
      </c>
      <c r="Z180" s="258">
        <f>IF(State_after_knock(シミュレーション!$K$12)=Y180,State_after_knock(シミュレーション!$K$12),Judge_01(シミュレーション!$K$12,K77,シミュレーション!$J$12))</f>
        <v>0</v>
      </c>
      <c r="AA180" s="225">
        <f>IF(State_after_knock(シミュレーション!$K$12)=Z180,State_after_knock(シミュレーション!$K$12),Judge_01(シミュレーション!$K$12,L77,シミュレーション!$J$12))</f>
        <v>0</v>
      </c>
    </row>
    <row r="181" spans="15:27" ht="14.25" x14ac:dyDescent="0.15">
      <c r="O181" s="18">
        <v>75</v>
      </c>
      <c r="P181" s="258">
        <f>Judge_01(シミュレーション!$K$11,I78,シミュレーション!$J$11)</f>
        <v>0</v>
      </c>
      <c r="Q181" s="258">
        <f>IF(State_after_knock(シミュレーション!$K$11)=P181,State_after_knock(シミュレーション!$K$11),Judge_01(シミュレーション!$K$11,I78,シミュレーション!$J$11))</f>
        <v>0</v>
      </c>
      <c r="R181" s="258">
        <f>IF(State_after_knock(シミュレーション!$K$11)=Q181,State_after_knock(シミュレーション!$K$11),Judge_01(シミュレーション!$K$11,J78,シミュレーション!$J$11))</f>
        <v>0</v>
      </c>
      <c r="S181" s="258">
        <f>IF(State_after_knock(シミュレーション!$K$11)=R181,State_after_knock(シミュレーション!$K$11),Judge_01(シミュレーション!$K$11,K78,シミュレーション!$J$11))</f>
        <v>0</v>
      </c>
      <c r="T181" s="225">
        <f>IF(State_after_knock(シミュレーション!$K$11)=S181,State_after_knock(シミュレーション!$K$11),Judge_01(シミュレーション!$K$11,L78,シミュレーション!$J$11))</f>
        <v>0</v>
      </c>
      <c r="V181" s="18">
        <v>75</v>
      </c>
      <c r="W181" s="258">
        <f>Judge_01(シミュレーション!$K$12,I78,シミュレーション!$J$12)</f>
        <v>0</v>
      </c>
      <c r="X181" s="258">
        <f>IF(State_after_knock(シミュレーション!$K$12)=W181,State_after_knock(シミュレーション!$K$12),Judge_01(シミュレーション!$K$12,I78,シミュレーション!$J$12))</f>
        <v>0</v>
      </c>
      <c r="Y181" s="258">
        <f>IF(State_after_knock(シミュレーション!$K$12)=X181,State_after_knock(シミュレーション!$K$12),Judge_01(シミュレーション!$K$12,J78,シミュレーション!$J$12))</f>
        <v>0</v>
      </c>
      <c r="Z181" s="258">
        <f>IF(State_after_knock(シミュレーション!$K$12)=Y181,State_after_knock(シミュレーション!$K$12),Judge_01(シミュレーション!$K$12,K78,シミュレーション!$J$12))</f>
        <v>0</v>
      </c>
      <c r="AA181" s="225">
        <f>IF(State_after_knock(シミュレーション!$K$12)=Z181,State_after_knock(シミュレーション!$K$12),Judge_01(シミュレーション!$K$12,L78,シミュレーション!$J$12))</f>
        <v>0</v>
      </c>
    </row>
    <row r="182" spans="15:27" ht="14.25" x14ac:dyDescent="0.15">
      <c r="O182" s="18">
        <v>76</v>
      </c>
      <c r="P182" s="258">
        <f>Judge_01(シミュレーション!$K$11,I79,シミュレーション!$J$11)</f>
        <v>0</v>
      </c>
      <c r="Q182" s="258">
        <f>IF(State_after_knock(シミュレーション!$K$11)=P182,State_after_knock(シミュレーション!$K$11),Judge_01(シミュレーション!$K$11,I79,シミュレーション!$J$11))</f>
        <v>0</v>
      </c>
      <c r="R182" s="258">
        <f>IF(State_after_knock(シミュレーション!$K$11)=Q182,State_after_knock(シミュレーション!$K$11),Judge_01(シミュレーション!$K$11,J79,シミュレーション!$J$11))</f>
        <v>0</v>
      </c>
      <c r="S182" s="258">
        <f>IF(State_after_knock(シミュレーション!$K$11)=R182,State_after_knock(シミュレーション!$K$11),Judge_01(シミュレーション!$K$11,K79,シミュレーション!$J$11))</f>
        <v>0</v>
      </c>
      <c r="T182" s="225">
        <f>IF(State_after_knock(シミュレーション!$K$11)=S182,State_after_knock(シミュレーション!$K$11),Judge_01(シミュレーション!$K$11,L79,シミュレーション!$J$11))</f>
        <v>0</v>
      </c>
      <c r="V182" s="18">
        <v>76</v>
      </c>
      <c r="W182" s="258">
        <f>Judge_01(シミュレーション!$K$12,I79,シミュレーション!$J$12)</f>
        <v>0</v>
      </c>
      <c r="X182" s="258">
        <f>IF(State_after_knock(シミュレーション!$K$12)=W182,State_after_knock(シミュレーション!$K$12),Judge_01(シミュレーション!$K$12,I79,シミュレーション!$J$12))</f>
        <v>0</v>
      </c>
      <c r="Y182" s="258">
        <f>IF(State_after_knock(シミュレーション!$K$12)=X182,State_after_knock(シミュレーション!$K$12),Judge_01(シミュレーション!$K$12,J79,シミュレーション!$J$12))</f>
        <v>0</v>
      </c>
      <c r="Z182" s="258">
        <f>IF(State_after_knock(シミュレーション!$K$12)=Y182,State_after_knock(シミュレーション!$K$12),Judge_01(シミュレーション!$K$12,K79,シミュレーション!$J$12))</f>
        <v>0</v>
      </c>
      <c r="AA182" s="225">
        <f>IF(State_after_knock(シミュレーション!$K$12)=Z182,State_after_knock(シミュレーション!$K$12),Judge_01(シミュレーション!$K$12,L79,シミュレーション!$J$12))</f>
        <v>0</v>
      </c>
    </row>
    <row r="183" spans="15:27" ht="14.25" x14ac:dyDescent="0.15">
      <c r="O183" s="18">
        <v>77</v>
      </c>
      <c r="P183" s="258">
        <f>Judge_01(シミュレーション!$K$11,I80,シミュレーション!$J$11)</f>
        <v>0</v>
      </c>
      <c r="Q183" s="258">
        <f>IF(State_after_knock(シミュレーション!$K$11)=P183,State_after_knock(シミュレーション!$K$11),Judge_01(シミュレーション!$K$11,I80,シミュレーション!$J$11))</f>
        <v>0</v>
      </c>
      <c r="R183" s="258">
        <f>IF(State_after_knock(シミュレーション!$K$11)=Q183,State_after_knock(シミュレーション!$K$11),Judge_01(シミュレーション!$K$11,J80,シミュレーション!$J$11))</f>
        <v>0</v>
      </c>
      <c r="S183" s="258">
        <f>IF(State_after_knock(シミュレーション!$K$11)=R183,State_after_knock(シミュレーション!$K$11),Judge_01(シミュレーション!$K$11,K80,シミュレーション!$J$11))</f>
        <v>0</v>
      </c>
      <c r="T183" s="225">
        <f>IF(State_after_knock(シミュレーション!$K$11)=S183,State_after_knock(シミュレーション!$K$11),Judge_01(シミュレーション!$K$11,L80,シミュレーション!$J$11))</f>
        <v>0</v>
      </c>
      <c r="V183" s="18">
        <v>77</v>
      </c>
      <c r="W183" s="258">
        <f>Judge_01(シミュレーション!$K$12,I80,シミュレーション!$J$12)</f>
        <v>0</v>
      </c>
      <c r="X183" s="258">
        <f>IF(State_after_knock(シミュレーション!$K$12)=W183,State_after_knock(シミュレーション!$K$12),Judge_01(シミュレーション!$K$12,I80,シミュレーション!$J$12))</f>
        <v>0</v>
      </c>
      <c r="Y183" s="258">
        <f>IF(State_after_knock(シミュレーション!$K$12)=X183,State_after_knock(シミュレーション!$K$12),Judge_01(シミュレーション!$K$12,J80,シミュレーション!$J$12))</f>
        <v>0</v>
      </c>
      <c r="Z183" s="258">
        <f>IF(State_after_knock(シミュレーション!$K$12)=Y183,State_after_knock(シミュレーション!$K$12),Judge_01(シミュレーション!$K$12,K80,シミュレーション!$J$12))</f>
        <v>0</v>
      </c>
      <c r="AA183" s="225">
        <f>IF(State_after_knock(シミュレーション!$K$12)=Z183,State_after_knock(シミュレーション!$K$12),Judge_01(シミュレーション!$K$12,L80,シミュレーション!$J$12))</f>
        <v>0</v>
      </c>
    </row>
    <row r="184" spans="15:27" ht="14.25" x14ac:dyDescent="0.15">
      <c r="O184" s="18">
        <v>78</v>
      </c>
      <c r="P184" s="258">
        <f>Judge_01(シミュレーション!$K$11,I81,シミュレーション!$J$11)</f>
        <v>0</v>
      </c>
      <c r="Q184" s="258">
        <f>IF(State_after_knock(シミュレーション!$K$11)=P184,State_after_knock(シミュレーション!$K$11),Judge_01(シミュレーション!$K$11,I81,シミュレーション!$J$11))</f>
        <v>0</v>
      </c>
      <c r="R184" s="258">
        <f>IF(State_after_knock(シミュレーション!$K$11)=Q184,State_after_knock(シミュレーション!$K$11),Judge_01(シミュレーション!$K$11,J81,シミュレーション!$J$11))</f>
        <v>0</v>
      </c>
      <c r="S184" s="258">
        <f>IF(State_after_knock(シミュレーション!$K$11)=R184,State_after_knock(シミュレーション!$K$11),Judge_01(シミュレーション!$K$11,K81,シミュレーション!$J$11))</f>
        <v>0</v>
      </c>
      <c r="T184" s="225">
        <f>IF(State_after_knock(シミュレーション!$K$11)=S184,State_after_knock(シミュレーション!$K$11),Judge_01(シミュレーション!$K$11,L81,シミュレーション!$J$11))</f>
        <v>0</v>
      </c>
      <c r="V184" s="18">
        <v>78</v>
      </c>
      <c r="W184" s="258">
        <f>Judge_01(シミュレーション!$K$12,I81,シミュレーション!$J$12)</f>
        <v>0</v>
      </c>
      <c r="X184" s="258">
        <f>IF(State_after_knock(シミュレーション!$K$12)=W184,State_after_knock(シミュレーション!$K$12),Judge_01(シミュレーション!$K$12,I81,シミュレーション!$J$12))</f>
        <v>0</v>
      </c>
      <c r="Y184" s="258">
        <f>IF(State_after_knock(シミュレーション!$K$12)=X184,State_after_knock(シミュレーション!$K$12),Judge_01(シミュレーション!$K$12,J81,シミュレーション!$J$12))</f>
        <v>0</v>
      </c>
      <c r="Z184" s="258">
        <f>IF(State_after_knock(シミュレーション!$K$12)=Y184,State_after_knock(シミュレーション!$K$12),Judge_01(シミュレーション!$K$12,K81,シミュレーション!$J$12))</f>
        <v>0</v>
      </c>
      <c r="AA184" s="225">
        <f>IF(State_after_knock(シミュレーション!$K$12)=Z184,State_after_knock(シミュレーション!$K$12),Judge_01(シミュレーション!$K$12,L81,シミュレーション!$J$12))</f>
        <v>0</v>
      </c>
    </row>
    <row r="185" spans="15:27" ht="14.25" x14ac:dyDescent="0.15">
      <c r="O185" s="18">
        <v>79</v>
      </c>
      <c r="P185" s="258">
        <f>Judge_01(シミュレーション!$K$11,I82,シミュレーション!$J$11)</f>
        <v>0</v>
      </c>
      <c r="Q185" s="258">
        <f>IF(State_after_knock(シミュレーション!$K$11)=P185,State_after_knock(シミュレーション!$K$11),Judge_01(シミュレーション!$K$11,I82,シミュレーション!$J$11))</f>
        <v>0</v>
      </c>
      <c r="R185" s="258">
        <f>IF(State_after_knock(シミュレーション!$K$11)=Q185,State_after_knock(シミュレーション!$K$11),Judge_01(シミュレーション!$K$11,J82,シミュレーション!$J$11))</f>
        <v>0</v>
      </c>
      <c r="S185" s="258">
        <f>IF(State_after_knock(シミュレーション!$K$11)=R185,State_after_knock(シミュレーション!$K$11),Judge_01(シミュレーション!$K$11,K82,シミュレーション!$J$11))</f>
        <v>0</v>
      </c>
      <c r="T185" s="225">
        <f>IF(State_after_knock(シミュレーション!$K$11)=S185,State_after_knock(シミュレーション!$K$11),Judge_01(シミュレーション!$K$11,L82,シミュレーション!$J$11))</f>
        <v>0</v>
      </c>
      <c r="V185" s="18">
        <v>79</v>
      </c>
      <c r="W185" s="258">
        <f>Judge_01(シミュレーション!$K$12,I82,シミュレーション!$J$12)</f>
        <v>0</v>
      </c>
      <c r="X185" s="258">
        <f>IF(State_after_knock(シミュレーション!$K$12)=W185,State_after_knock(シミュレーション!$K$12),Judge_01(シミュレーション!$K$12,I82,シミュレーション!$J$12))</f>
        <v>0</v>
      </c>
      <c r="Y185" s="258">
        <f>IF(State_after_knock(シミュレーション!$K$12)=X185,State_after_knock(シミュレーション!$K$12),Judge_01(シミュレーション!$K$12,J82,シミュレーション!$J$12))</f>
        <v>0</v>
      </c>
      <c r="Z185" s="258">
        <f>IF(State_after_knock(シミュレーション!$K$12)=Y185,State_after_knock(シミュレーション!$K$12),Judge_01(シミュレーション!$K$12,K82,シミュレーション!$J$12))</f>
        <v>0</v>
      </c>
      <c r="AA185" s="225">
        <f>IF(State_after_knock(シミュレーション!$K$12)=Z185,State_after_knock(シミュレーション!$K$12),Judge_01(シミュレーション!$K$12,L82,シミュレーション!$J$12))</f>
        <v>0</v>
      </c>
    </row>
    <row r="186" spans="15:27" ht="14.25" x14ac:dyDescent="0.15">
      <c r="O186" s="18">
        <v>80</v>
      </c>
      <c r="P186" s="258">
        <f>Judge_01(シミュレーション!$K$11,I83,シミュレーション!$J$11)</f>
        <v>0</v>
      </c>
      <c r="Q186" s="258">
        <f>IF(State_after_knock(シミュレーション!$K$11)=P186,State_after_knock(シミュレーション!$K$11),Judge_01(シミュレーション!$K$11,I83,シミュレーション!$J$11))</f>
        <v>0</v>
      </c>
      <c r="R186" s="258">
        <f>IF(State_after_knock(シミュレーション!$K$11)=Q186,State_after_knock(シミュレーション!$K$11),Judge_01(シミュレーション!$K$11,J83,シミュレーション!$J$11))</f>
        <v>0</v>
      </c>
      <c r="S186" s="258">
        <f>IF(State_after_knock(シミュレーション!$K$11)=R186,State_after_knock(シミュレーション!$K$11),Judge_01(シミュレーション!$K$11,K83,シミュレーション!$J$11))</f>
        <v>0</v>
      </c>
      <c r="T186" s="225">
        <f>IF(State_after_knock(シミュレーション!$K$11)=S186,State_after_knock(シミュレーション!$K$11),Judge_01(シミュレーション!$K$11,L83,シミュレーション!$J$11))</f>
        <v>0</v>
      </c>
      <c r="V186" s="18">
        <v>80</v>
      </c>
      <c r="W186" s="258">
        <f>Judge_01(シミュレーション!$K$12,I83,シミュレーション!$J$12)</f>
        <v>0</v>
      </c>
      <c r="X186" s="258">
        <f>IF(State_after_knock(シミュレーション!$K$12)=W186,State_after_knock(シミュレーション!$K$12),Judge_01(シミュレーション!$K$12,I83,シミュレーション!$J$12))</f>
        <v>0</v>
      </c>
      <c r="Y186" s="258">
        <f>IF(State_after_knock(シミュレーション!$K$12)=X186,State_after_knock(シミュレーション!$K$12),Judge_01(シミュレーション!$K$12,J83,シミュレーション!$J$12))</f>
        <v>0</v>
      </c>
      <c r="Z186" s="258">
        <f>IF(State_after_knock(シミュレーション!$K$12)=Y186,State_after_knock(シミュレーション!$K$12),Judge_01(シミュレーション!$K$12,K83,シミュレーション!$J$12))</f>
        <v>0</v>
      </c>
      <c r="AA186" s="225">
        <f>IF(State_after_knock(シミュレーション!$K$12)=Z186,State_after_knock(シミュレーション!$K$12),Judge_01(シミュレーション!$K$12,L83,シミュレーション!$J$12))</f>
        <v>0</v>
      </c>
    </row>
    <row r="187" spans="15:27" ht="14.25" x14ac:dyDescent="0.15">
      <c r="O187" s="18">
        <v>81</v>
      </c>
      <c r="P187" s="258">
        <f>Judge_01(シミュレーション!$K$11,I84,シミュレーション!$J$11)</f>
        <v>0</v>
      </c>
      <c r="Q187" s="258">
        <f>IF(State_after_knock(シミュレーション!$K$11)=P187,State_after_knock(シミュレーション!$K$11),Judge_01(シミュレーション!$K$11,I84,シミュレーション!$J$11))</f>
        <v>0</v>
      </c>
      <c r="R187" s="258">
        <f>IF(State_after_knock(シミュレーション!$K$11)=Q187,State_after_knock(シミュレーション!$K$11),Judge_01(シミュレーション!$K$11,J84,シミュレーション!$J$11))</f>
        <v>0</v>
      </c>
      <c r="S187" s="258">
        <f>IF(State_after_knock(シミュレーション!$K$11)=R187,State_after_knock(シミュレーション!$K$11),Judge_01(シミュレーション!$K$11,K84,シミュレーション!$J$11))</f>
        <v>0</v>
      </c>
      <c r="T187" s="225">
        <f>IF(State_after_knock(シミュレーション!$K$11)=S187,State_after_knock(シミュレーション!$K$11),Judge_01(シミュレーション!$K$11,L84,シミュレーション!$J$11))</f>
        <v>0</v>
      </c>
      <c r="V187" s="18">
        <v>81</v>
      </c>
      <c r="W187" s="258">
        <f>Judge_01(シミュレーション!$K$12,I84,シミュレーション!$J$12)</f>
        <v>0</v>
      </c>
      <c r="X187" s="258">
        <f>IF(State_after_knock(シミュレーション!$K$12)=W187,State_after_knock(シミュレーション!$K$12),Judge_01(シミュレーション!$K$12,I84,シミュレーション!$J$12))</f>
        <v>0</v>
      </c>
      <c r="Y187" s="258">
        <f>IF(State_after_knock(シミュレーション!$K$12)=X187,State_after_knock(シミュレーション!$K$12),Judge_01(シミュレーション!$K$12,J84,シミュレーション!$J$12))</f>
        <v>0</v>
      </c>
      <c r="Z187" s="258">
        <f>IF(State_after_knock(シミュレーション!$K$12)=Y187,State_after_knock(シミュレーション!$K$12),Judge_01(シミュレーション!$K$12,K84,シミュレーション!$J$12))</f>
        <v>0</v>
      </c>
      <c r="AA187" s="225">
        <f>IF(State_after_knock(シミュレーション!$K$12)=Z187,State_after_knock(シミュレーション!$K$12),Judge_01(シミュレーション!$K$12,L84,シミュレーション!$J$12))</f>
        <v>0</v>
      </c>
    </row>
    <row r="188" spans="15:27" ht="14.25" x14ac:dyDescent="0.15">
      <c r="O188" s="18">
        <v>82</v>
      </c>
      <c r="P188" s="258">
        <f>Judge_01(シミュレーション!$K$11,I85,シミュレーション!$J$11)</f>
        <v>0</v>
      </c>
      <c r="Q188" s="258">
        <f>IF(State_after_knock(シミュレーション!$K$11)=P188,State_after_knock(シミュレーション!$K$11),Judge_01(シミュレーション!$K$11,I85,シミュレーション!$J$11))</f>
        <v>0</v>
      </c>
      <c r="R188" s="258">
        <f>IF(State_after_knock(シミュレーション!$K$11)=Q188,State_after_knock(シミュレーション!$K$11),Judge_01(シミュレーション!$K$11,J85,シミュレーション!$J$11))</f>
        <v>0</v>
      </c>
      <c r="S188" s="258">
        <f>IF(State_after_knock(シミュレーション!$K$11)=R188,State_after_knock(シミュレーション!$K$11),Judge_01(シミュレーション!$K$11,K85,シミュレーション!$J$11))</f>
        <v>0</v>
      </c>
      <c r="T188" s="225">
        <f>IF(State_after_knock(シミュレーション!$K$11)=S188,State_after_knock(シミュレーション!$K$11),Judge_01(シミュレーション!$K$11,L85,シミュレーション!$J$11))</f>
        <v>0</v>
      </c>
      <c r="V188" s="18">
        <v>82</v>
      </c>
      <c r="W188" s="258">
        <f>Judge_01(シミュレーション!$K$12,I85,シミュレーション!$J$12)</f>
        <v>0</v>
      </c>
      <c r="X188" s="258">
        <f>IF(State_after_knock(シミュレーション!$K$12)=W188,State_after_knock(シミュレーション!$K$12),Judge_01(シミュレーション!$K$12,I85,シミュレーション!$J$12))</f>
        <v>0</v>
      </c>
      <c r="Y188" s="258">
        <f>IF(State_after_knock(シミュレーション!$K$12)=X188,State_after_knock(シミュレーション!$K$12),Judge_01(シミュレーション!$K$12,J85,シミュレーション!$J$12))</f>
        <v>0</v>
      </c>
      <c r="Z188" s="258">
        <f>IF(State_after_knock(シミュレーション!$K$12)=Y188,State_after_knock(シミュレーション!$K$12),Judge_01(シミュレーション!$K$12,K85,シミュレーション!$J$12))</f>
        <v>0</v>
      </c>
      <c r="AA188" s="225">
        <f>IF(State_after_knock(シミュレーション!$K$12)=Z188,State_after_knock(シミュレーション!$K$12),Judge_01(シミュレーション!$K$12,L85,シミュレーション!$J$12))</f>
        <v>0</v>
      </c>
    </row>
    <row r="189" spans="15:27" ht="14.25" x14ac:dyDescent="0.15">
      <c r="O189" s="18">
        <v>83</v>
      </c>
      <c r="P189" s="258">
        <f>Judge_01(シミュレーション!$K$11,I86,シミュレーション!$J$11)</f>
        <v>0</v>
      </c>
      <c r="Q189" s="258">
        <f>IF(State_after_knock(シミュレーション!$K$11)=P189,State_after_knock(シミュレーション!$K$11),Judge_01(シミュレーション!$K$11,I86,シミュレーション!$J$11))</f>
        <v>0</v>
      </c>
      <c r="R189" s="258">
        <f>IF(State_after_knock(シミュレーション!$K$11)=Q189,State_after_knock(シミュレーション!$K$11),Judge_01(シミュレーション!$K$11,J86,シミュレーション!$J$11))</f>
        <v>0</v>
      </c>
      <c r="S189" s="258">
        <f>IF(State_after_knock(シミュレーション!$K$11)=R189,State_after_knock(シミュレーション!$K$11),Judge_01(シミュレーション!$K$11,K86,シミュレーション!$J$11))</f>
        <v>0</v>
      </c>
      <c r="T189" s="225">
        <f>IF(State_after_knock(シミュレーション!$K$11)=S189,State_after_knock(シミュレーション!$K$11),Judge_01(シミュレーション!$K$11,L86,シミュレーション!$J$11))</f>
        <v>0</v>
      </c>
      <c r="V189" s="18">
        <v>83</v>
      </c>
      <c r="W189" s="258">
        <f>Judge_01(シミュレーション!$K$12,I86,シミュレーション!$J$12)</f>
        <v>0</v>
      </c>
      <c r="X189" s="258">
        <f>IF(State_after_knock(シミュレーション!$K$12)=W189,State_after_knock(シミュレーション!$K$12),Judge_01(シミュレーション!$K$12,I86,シミュレーション!$J$12))</f>
        <v>0</v>
      </c>
      <c r="Y189" s="258">
        <f>IF(State_after_knock(シミュレーション!$K$12)=X189,State_after_knock(シミュレーション!$K$12),Judge_01(シミュレーション!$K$12,J86,シミュレーション!$J$12))</f>
        <v>0</v>
      </c>
      <c r="Z189" s="258">
        <f>IF(State_after_knock(シミュレーション!$K$12)=Y189,State_after_knock(シミュレーション!$K$12),Judge_01(シミュレーション!$K$12,K86,シミュレーション!$J$12))</f>
        <v>0</v>
      </c>
      <c r="AA189" s="225">
        <f>IF(State_after_knock(シミュレーション!$K$12)=Z189,State_after_knock(シミュレーション!$K$12),Judge_01(シミュレーション!$K$12,L86,シミュレーション!$J$12))</f>
        <v>0</v>
      </c>
    </row>
    <row r="190" spans="15:27" ht="14.25" x14ac:dyDescent="0.15">
      <c r="O190" s="18">
        <v>84</v>
      </c>
      <c r="P190" s="258">
        <f>Judge_01(シミュレーション!$K$11,I87,シミュレーション!$J$11)</f>
        <v>0</v>
      </c>
      <c r="Q190" s="258">
        <f>IF(State_after_knock(シミュレーション!$K$11)=P190,State_after_knock(シミュレーション!$K$11),Judge_01(シミュレーション!$K$11,I87,シミュレーション!$J$11))</f>
        <v>0</v>
      </c>
      <c r="R190" s="258">
        <f>IF(State_after_knock(シミュレーション!$K$11)=Q190,State_after_knock(シミュレーション!$K$11),Judge_01(シミュレーション!$K$11,J87,シミュレーション!$J$11))</f>
        <v>0</v>
      </c>
      <c r="S190" s="258">
        <f>IF(State_after_knock(シミュレーション!$K$11)=R190,State_after_knock(シミュレーション!$K$11),Judge_01(シミュレーション!$K$11,K87,シミュレーション!$J$11))</f>
        <v>0</v>
      </c>
      <c r="T190" s="225">
        <f>IF(State_after_knock(シミュレーション!$K$11)=S190,State_after_knock(シミュレーション!$K$11),Judge_01(シミュレーション!$K$11,L87,シミュレーション!$J$11))</f>
        <v>0</v>
      </c>
      <c r="V190" s="18">
        <v>84</v>
      </c>
      <c r="W190" s="258">
        <f>Judge_01(シミュレーション!$K$12,I87,シミュレーション!$J$12)</f>
        <v>0</v>
      </c>
      <c r="X190" s="258">
        <f>IF(State_after_knock(シミュレーション!$K$12)=W190,State_after_knock(シミュレーション!$K$12),Judge_01(シミュレーション!$K$12,I87,シミュレーション!$J$12))</f>
        <v>0</v>
      </c>
      <c r="Y190" s="258">
        <f>IF(State_after_knock(シミュレーション!$K$12)=X190,State_after_knock(シミュレーション!$K$12),Judge_01(シミュレーション!$K$12,J87,シミュレーション!$J$12))</f>
        <v>0</v>
      </c>
      <c r="Z190" s="258">
        <f>IF(State_after_knock(シミュレーション!$K$12)=Y190,State_after_knock(シミュレーション!$K$12),Judge_01(シミュレーション!$K$12,K87,シミュレーション!$J$12))</f>
        <v>0</v>
      </c>
      <c r="AA190" s="225">
        <f>IF(State_after_knock(シミュレーション!$K$12)=Z190,State_after_knock(シミュレーション!$K$12),Judge_01(シミュレーション!$K$12,L87,シミュレーション!$J$12))</f>
        <v>0</v>
      </c>
    </row>
    <row r="191" spans="15:27" ht="14.25" x14ac:dyDescent="0.15">
      <c r="O191" s="18">
        <v>85</v>
      </c>
      <c r="P191" s="258">
        <f>Judge_01(シミュレーション!$K$11,I88,シミュレーション!$J$11)</f>
        <v>0</v>
      </c>
      <c r="Q191" s="258">
        <f>IF(State_after_knock(シミュレーション!$K$11)=P191,State_after_knock(シミュレーション!$K$11),Judge_01(シミュレーション!$K$11,I88,シミュレーション!$J$11))</f>
        <v>0</v>
      </c>
      <c r="R191" s="258">
        <f>IF(State_after_knock(シミュレーション!$K$11)=Q191,State_after_knock(シミュレーション!$K$11),Judge_01(シミュレーション!$K$11,J88,シミュレーション!$J$11))</f>
        <v>0</v>
      </c>
      <c r="S191" s="258">
        <f>IF(State_after_knock(シミュレーション!$K$11)=R191,State_after_knock(シミュレーション!$K$11),Judge_01(シミュレーション!$K$11,K88,シミュレーション!$J$11))</f>
        <v>0</v>
      </c>
      <c r="T191" s="225">
        <f>IF(State_after_knock(シミュレーション!$K$11)=S191,State_after_knock(シミュレーション!$K$11),Judge_01(シミュレーション!$K$11,L88,シミュレーション!$J$11))</f>
        <v>0</v>
      </c>
      <c r="V191" s="18">
        <v>85</v>
      </c>
      <c r="W191" s="258">
        <f>Judge_01(シミュレーション!$K$12,I88,シミュレーション!$J$12)</f>
        <v>0</v>
      </c>
      <c r="X191" s="258">
        <f>IF(State_after_knock(シミュレーション!$K$12)=W191,State_after_knock(シミュレーション!$K$12),Judge_01(シミュレーション!$K$12,I88,シミュレーション!$J$12))</f>
        <v>0</v>
      </c>
      <c r="Y191" s="258">
        <f>IF(State_after_knock(シミュレーション!$K$12)=X191,State_after_knock(シミュレーション!$K$12),Judge_01(シミュレーション!$K$12,J88,シミュレーション!$J$12))</f>
        <v>0</v>
      </c>
      <c r="Z191" s="258">
        <f>IF(State_after_knock(シミュレーション!$K$12)=Y191,State_after_knock(シミュレーション!$K$12),Judge_01(シミュレーション!$K$12,K88,シミュレーション!$J$12))</f>
        <v>0</v>
      </c>
      <c r="AA191" s="225">
        <f>IF(State_after_knock(シミュレーション!$K$12)=Z191,State_after_knock(シミュレーション!$K$12),Judge_01(シミュレーション!$K$12,L88,シミュレーション!$J$12))</f>
        <v>0</v>
      </c>
    </row>
    <row r="192" spans="15:27" ht="14.25" x14ac:dyDescent="0.15">
      <c r="O192" s="18">
        <v>86</v>
      </c>
      <c r="P192" s="258">
        <f>Judge_01(シミュレーション!$K$11,I89,シミュレーション!$J$11)</f>
        <v>0</v>
      </c>
      <c r="Q192" s="258">
        <f>IF(State_after_knock(シミュレーション!$K$11)=P192,State_after_knock(シミュレーション!$K$11),Judge_01(シミュレーション!$K$11,I89,シミュレーション!$J$11))</f>
        <v>0</v>
      </c>
      <c r="R192" s="258">
        <f>IF(State_after_knock(シミュレーション!$K$11)=Q192,State_after_knock(シミュレーション!$K$11),Judge_01(シミュレーション!$K$11,J89,シミュレーション!$J$11))</f>
        <v>0</v>
      </c>
      <c r="S192" s="258">
        <f>IF(State_after_knock(シミュレーション!$K$11)=R192,State_after_knock(シミュレーション!$K$11),Judge_01(シミュレーション!$K$11,K89,シミュレーション!$J$11))</f>
        <v>0</v>
      </c>
      <c r="T192" s="225">
        <f>IF(State_after_knock(シミュレーション!$K$11)=S192,State_after_knock(シミュレーション!$K$11),Judge_01(シミュレーション!$K$11,L89,シミュレーション!$J$11))</f>
        <v>0</v>
      </c>
      <c r="V192" s="18">
        <v>86</v>
      </c>
      <c r="W192" s="258">
        <f>Judge_01(シミュレーション!$K$12,I89,シミュレーション!$J$12)</f>
        <v>0</v>
      </c>
      <c r="X192" s="258">
        <f>IF(State_after_knock(シミュレーション!$K$12)=W192,State_after_knock(シミュレーション!$K$12),Judge_01(シミュレーション!$K$12,I89,シミュレーション!$J$12))</f>
        <v>0</v>
      </c>
      <c r="Y192" s="258">
        <f>IF(State_after_knock(シミュレーション!$K$12)=X192,State_after_knock(シミュレーション!$K$12),Judge_01(シミュレーション!$K$12,J89,シミュレーション!$J$12))</f>
        <v>0</v>
      </c>
      <c r="Z192" s="258">
        <f>IF(State_after_knock(シミュレーション!$K$12)=Y192,State_after_knock(シミュレーション!$K$12),Judge_01(シミュレーション!$K$12,K89,シミュレーション!$J$12))</f>
        <v>0</v>
      </c>
      <c r="AA192" s="225">
        <f>IF(State_after_knock(シミュレーション!$K$12)=Z192,State_after_knock(シミュレーション!$K$12),Judge_01(シミュレーション!$K$12,L89,シミュレーション!$J$12))</f>
        <v>0</v>
      </c>
    </row>
    <row r="193" spans="15:27" ht="14.25" x14ac:dyDescent="0.15">
      <c r="O193" s="18">
        <v>87</v>
      </c>
      <c r="P193" s="258">
        <f>Judge_01(シミュレーション!$K$11,I90,シミュレーション!$J$11)</f>
        <v>0</v>
      </c>
      <c r="Q193" s="258">
        <f>IF(State_after_knock(シミュレーション!$K$11)=P193,State_after_knock(シミュレーション!$K$11),Judge_01(シミュレーション!$K$11,I90,シミュレーション!$J$11))</f>
        <v>0</v>
      </c>
      <c r="R193" s="258">
        <f>IF(State_after_knock(シミュレーション!$K$11)=Q193,State_after_knock(シミュレーション!$K$11),Judge_01(シミュレーション!$K$11,J90,シミュレーション!$J$11))</f>
        <v>0</v>
      </c>
      <c r="S193" s="258">
        <f>IF(State_after_knock(シミュレーション!$K$11)=R193,State_after_knock(シミュレーション!$K$11),Judge_01(シミュレーション!$K$11,K90,シミュレーション!$J$11))</f>
        <v>0</v>
      </c>
      <c r="T193" s="225">
        <f>IF(State_after_knock(シミュレーション!$K$11)=S193,State_after_knock(シミュレーション!$K$11),Judge_01(シミュレーション!$K$11,L90,シミュレーション!$J$11))</f>
        <v>0</v>
      </c>
      <c r="V193" s="18">
        <v>87</v>
      </c>
      <c r="W193" s="258">
        <f>Judge_01(シミュレーション!$K$12,I90,シミュレーション!$J$12)</f>
        <v>0</v>
      </c>
      <c r="X193" s="258">
        <f>IF(State_after_knock(シミュレーション!$K$12)=W193,State_after_knock(シミュレーション!$K$12),Judge_01(シミュレーション!$K$12,I90,シミュレーション!$J$12))</f>
        <v>0</v>
      </c>
      <c r="Y193" s="258">
        <f>IF(State_after_knock(シミュレーション!$K$12)=X193,State_after_knock(シミュレーション!$K$12),Judge_01(シミュレーション!$K$12,J90,シミュレーション!$J$12))</f>
        <v>0</v>
      </c>
      <c r="Z193" s="258">
        <f>IF(State_after_knock(シミュレーション!$K$12)=Y193,State_after_knock(シミュレーション!$K$12),Judge_01(シミュレーション!$K$12,K90,シミュレーション!$J$12))</f>
        <v>0</v>
      </c>
      <c r="AA193" s="225">
        <f>IF(State_after_knock(シミュレーション!$K$12)=Z193,State_after_knock(シミュレーション!$K$12),Judge_01(シミュレーション!$K$12,L90,シミュレーション!$J$12))</f>
        <v>0</v>
      </c>
    </row>
    <row r="194" spans="15:27" ht="14.25" x14ac:dyDescent="0.15">
      <c r="O194" s="18">
        <v>88</v>
      </c>
      <c r="P194" s="258">
        <f>Judge_01(シミュレーション!$K$11,I91,シミュレーション!$J$11)</f>
        <v>0</v>
      </c>
      <c r="Q194" s="258">
        <f>IF(State_after_knock(シミュレーション!$K$11)=P194,State_after_knock(シミュレーション!$K$11),Judge_01(シミュレーション!$K$11,I91,シミュレーション!$J$11))</f>
        <v>0</v>
      </c>
      <c r="R194" s="258">
        <f>IF(State_after_knock(シミュレーション!$K$11)=Q194,State_after_knock(シミュレーション!$K$11),Judge_01(シミュレーション!$K$11,J91,シミュレーション!$J$11))</f>
        <v>0</v>
      </c>
      <c r="S194" s="258">
        <f>IF(State_after_knock(シミュレーション!$K$11)=R194,State_after_knock(シミュレーション!$K$11),Judge_01(シミュレーション!$K$11,K91,シミュレーション!$J$11))</f>
        <v>0</v>
      </c>
      <c r="T194" s="225">
        <f>IF(State_after_knock(シミュレーション!$K$11)=S194,State_after_knock(シミュレーション!$K$11),Judge_01(シミュレーション!$K$11,L91,シミュレーション!$J$11))</f>
        <v>0</v>
      </c>
      <c r="V194" s="18">
        <v>88</v>
      </c>
      <c r="W194" s="258">
        <f>Judge_01(シミュレーション!$K$12,I91,シミュレーション!$J$12)</f>
        <v>0</v>
      </c>
      <c r="X194" s="258">
        <f>IF(State_after_knock(シミュレーション!$K$12)=W194,State_after_knock(シミュレーション!$K$12),Judge_01(シミュレーション!$K$12,I91,シミュレーション!$J$12))</f>
        <v>0</v>
      </c>
      <c r="Y194" s="258">
        <f>IF(State_after_knock(シミュレーション!$K$12)=X194,State_after_knock(シミュレーション!$K$12),Judge_01(シミュレーション!$K$12,J91,シミュレーション!$J$12))</f>
        <v>0</v>
      </c>
      <c r="Z194" s="258">
        <f>IF(State_after_knock(シミュレーション!$K$12)=Y194,State_after_knock(シミュレーション!$K$12),Judge_01(シミュレーション!$K$12,K91,シミュレーション!$J$12))</f>
        <v>0</v>
      </c>
      <c r="AA194" s="225">
        <f>IF(State_after_knock(シミュレーション!$K$12)=Z194,State_after_knock(シミュレーション!$K$12),Judge_01(シミュレーション!$K$12,L91,シミュレーション!$J$12))</f>
        <v>0</v>
      </c>
    </row>
    <row r="195" spans="15:27" ht="14.25" x14ac:dyDescent="0.15">
      <c r="O195" s="18">
        <v>89</v>
      </c>
      <c r="P195" s="258">
        <f>Judge_01(シミュレーション!$K$11,I92,シミュレーション!$J$11)</f>
        <v>0</v>
      </c>
      <c r="Q195" s="258">
        <f>IF(State_after_knock(シミュレーション!$K$11)=P195,State_after_knock(シミュレーション!$K$11),Judge_01(シミュレーション!$K$11,I92,シミュレーション!$J$11))</f>
        <v>0</v>
      </c>
      <c r="R195" s="258">
        <f>IF(State_after_knock(シミュレーション!$K$11)=Q195,State_after_knock(シミュレーション!$K$11),Judge_01(シミュレーション!$K$11,J92,シミュレーション!$J$11))</f>
        <v>0</v>
      </c>
      <c r="S195" s="258">
        <f>IF(State_after_knock(シミュレーション!$K$11)=R195,State_after_knock(シミュレーション!$K$11),Judge_01(シミュレーション!$K$11,K92,シミュレーション!$J$11))</f>
        <v>0</v>
      </c>
      <c r="T195" s="225">
        <f>IF(State_after_knock(シミュレーション!$K$11)=S195,State_after_knock(シミュレーション!$K$11),Judge_01(シミュレーション!$K$11,L92,シミュレーション!$J$11))</f>
        <v>0</v>
      </c>
      <c r="V195" s="18">
        <v>89</v>
      </c>
      <c r="W195" s="258">
        <f>Judge_01(シミュレーション!$K$12,I92,シミュレーション!$J$12)</f>
        <v>0</v>
      </c>
      <c r="X195" s="258">
        <f>IF(State_after_knock(シミュレーション!$K$12)=W195,State_after_knock(シミュレーション!$K$12),Judge_01(シミュレーション!$K$12,I92,シミュレーション!$J$12))</f>
        <v>0</v>
      </c>
      <c r="Y195" s="258">
        <f>IF(State_after_knock(シミュレーション!$K$12)=X195,State_after_knock(シミュレーション!$K$12),Judge_01(シミュレーション!$K$12,J92,シミュレーション!$J$12))</f>
        <v>0</v>
      </c>
      <c r="Z195" s="258">
        <f>IF(State_after_knock(シミュレーション!$K$12)=Y195,State_after_knock(シミュレーション!$K$12),Judge_01(シミュレーション!$K$12,K92,シミュレーション!$J$12))</f>
        <v>0</v>
      </c>
      <c r="AA195" s="225">
        <f>IF(State_after_knock(シミュレーション!$K$12)=Z195,State_after_knock(シミュレーション!$K$12),Judge_01(シミュレーション!$K$12,L92,シミュレーション!$J$12))</f>
        <v>0</v>
      </c>
    </row>
    <row r="196" spans="15:27" ht="14.25" x14ac:dyDescent="0.15">
      <c r="O196" s="18">
        <v>90</v>
      </c>
      <c r="P196" s="258">
        <f>Judge_01(シミュレーション!$K$11,I93,シミュレーション!$J$11)</f>
        <v>0</v>
      </c>
      <c r="Q196" s="258">
        <f>IF(State_after_knock(シミュレーション!$K$11)=P196,State_after_knock(シミュレーション!$K$11),Judge_01(シミュレーション!$K$11,I93,シミュレーション!$J$11))</f>
        <v>0</v>
      </c>
      <c r="R196" s="258">
        <f>IF(State_after_knock(シミュレーション!$K$11)=Q196,State_after_knock(シミュレーション!$K$11),Judge_01(シミュレーション!$K$11,J93,シミュレーション!$J$11))</f>
        <v>0</v>
      </c>
      <c r="S196" s="258">
        <f>IF(State_after_knock(シミュレーション!$K$11)=R196,State_after_knock(シミュレーション!$K$11),Judge_01(シミュレーション!$K$11,K93,シミュレーション!$J$11))</f>
        <v>0</v>
      </c>
      <c r="T196" s="225">
        <f>IF(State_after_knock(シミュレーション!$K$11)=S196,State_after_knock(シミュレーション!$K$11),Judge_01(シミュレーション!$K$11,L93,シミュレーション!$J$11))</f>
        <v>0</v>
      </c>
      <c r="V196" s="18">
        <v>90</v>
      </c>
      <c r="W196" s="258">
        <f>Judge_01(シミュレーション!$K$12,I93,シミュレーション!$J$12)</f>
        <v>0</v>
      </c>
      <c r="X196" s="258">
        <f>IF(State_after_knock(シミュレーション!$K$12)=W196,State_after_knock(シミュレーション!$K$12),Judge_01(シミュレーション!$K$12,I93,シミュレーション!$J$12))</f>
        <v>0</v>
      </c>
      <c r="Y196" s="258">
        <f>IF(State_after_knock(シミュレーション!$K$12)=X196,State_after_knock(シミュレーション!$K$12),Judge_01(シミュレーション!$K$12,J93,シミュレーション!$J$12))</f>
        <v>0</v>
      </c>
      <c r="Z196" s="258">
        <f>IF(State_after_knock(シミュレーション!$K$12)=Y196,State_after_knock(シミュレーション!$K$12),Judge_01(シミュレーション!$K$12,K93,シミュレーション!$J$12))</f>
        <v>0</v>
      </c>
      <c r="AA196" s="225">
        <f>IF(State_after_knock(シミュレーション!$K$12)=Z196,State_after_knock(シミュレーション!$K$12),Judge_01(シミュレーション!$K$12,L93,シミュレーション!$J$12))</f>
        <v>0</v>
      </c>
    </row>
    <row r="197" spans="15:27" ht="14.25" x14ac:dyDescent="0.15">
      <c r="O197" s="18">
        <v>91</v>
      </c>
      <c r="P197" s="258">
        <f>Judge_01(シミュレーション!$K$11,I94,シミュレーション!$J$11)</f>
        <v>0</v>
      </c>
      <c r="Q197" s="258">
        <f>IF(State_after_knock(シミュレーション!$K$11)=P197,State_after_knock(シミュレーション!$K$11),Judge_01(シミュレーション!$K$11,I94,シミュレーション!$J$11))</f>
        <v>0</v>
      </c>
      <c r="R197" s="258">
        <f>IF(State_after_knock(シミュレーション!$K$11)=Q197,State_after_knock(シミュレーション!$K$11),Judge_01(シミュレーション!$K$11,J94,シミュレーション!$J$11))</f>
        <v>0</v>
      </c>
      <c r="S197" s="258">
        <f>IF(State_after_knock(シミュレーション!$K$11)=R197,State_after_knock(シミュレーション!$K$11),Judge_01(シミュレーション!$K$11,K94,シミュレーション!$J$11))</f>
        <v>0</v>
      </c>
      <c r="T197" s="225">
        <f>IF(State_after_knock(シミュレーション!$K$11)=S197,State_after_knock(シミュレーション!$K$11),Judge_01(シミュレーション!$K$11,L94,シミュレーション!$J$11))</f>
        <v>0</v>
      </c>
      <c r="V197" s="18">
        <v>91</v>
      </c>
      <c r="W197" s="258">
        <f>Judge_01(シミュレーション!$K$12,I94,シミュレーション!$J$12)</f>
        <v>0</v>
      </c>
      <c r="X197" s="258">
        <f>IF(State_after_knock(シミュレーション!$K$12)=W197,State_after_knock(シミュレーション!$K$12),Judge_01(シミュレーション!$K$12,I94,シミュレーション!$J$12))</f>
        <v>0</v>
      </c>
      <c r="Y197" s="258">
        <f>IF(State_after_knock(シミュレーション!$K$12)=X197,State_after_knock(シミュレーション!$K$12),Judge_01(シミュレーション!$K$12,J94,シミュレーション!$J$12))</f>
        <v>0</v>
      </c>
      <c r="Z197" s="258">
        <f>IF(State_after_knock(シミュレーション!$K$12)=Y197,State_after_knock(シミュレーション!$K$12),Judge_01(シミュレーション!$K$12,K94,シミュレーション!$J$12))</f>
        <v>0</v>
      </c>
      <c r="AA197" s="225">
        <f>IF(State_after_knock(シミュレーション!$K$12)=Z197,State_after_knock(シミュレーション!$K$12),Judge_01(シミュレーション!$K$12,L94,シミュレーション!$J$12))</f>
        <v>0</v>
      </c>
    </row>
    <row r="198" spans="15:27" ht="14.25" x14ac:dyDescent="0.15">
      <c r="O198" s="18">
        <v>92</v>
      </c>
      <c r="P198" s="258">
        <f>Judge_01(シミュレーション!$K$11,I95,シミュレーション!$J$11)</f>
        <v>0</v>
      </c>
      <c r="Q198" s="258">
        <f>IF(State_after_knock(シミュレーション!$K$11)=P198,State_after_knock(シミュレーション!$K$11),Judge_01(シミュレーション!$K$11,I95,シミュレーション!$J$11))</f>
        <v>0</v>
      </c>
      <c r="R198" s="258">
        <f>IF(State_after_knock(シミュレーション!$K$11)=Q198,State_after_knock(シミュレーション!$K$11),Judge_01(シミュレーション!$K$11,J95,シミュレーション!$J$11))</f>
        <v>0</v>
      </c>
      <c r="S198" s="258">
        <f>IF(State_after_knock(シミュレーション!$K$11)=R198,State_after_knock(シミュレーション!$K$11),Judge_01(シミュレーション!$K$11,K95,シミュレーション!$J$11))</f>
        <v>0</v>
      </c>
      <c r="T198" s="225">
        <f>IF(State_after_knock(シミュレーション!$K$11)=S198,State_after_knock(シミュレーション!$K$11),Judge_01(シミュレーション!$K$11,L95,シミュレーション!$J$11))</f>
        <v>0</v>
      </c>
      <c r="V198" s="18">
        <v>92</v>
      </c>
      <c r="W198" s="258">
        <f>Judge_01(シミュレーション!$K$12,I95,シミュレーション!$J$12)</f>
        <v>0</v>
      </c>
      <c r="X198" s="258">
        <f>IF(State_after_knock(シミュレーション!$K$12)=W198,State_after_knock(シミュレーション!$K$12),Judge_01(シミュレーション!$K$12,I95,シミュレーション!$J$12))</f>
        <v>0</v>
      </c>
      <c r="Y198" s="258">
        <f>IF(State_after_knock(シミュレーション!$K$12)=X198,State_after_knock(シミュレーション!$K$12),Judge_01(シミュレーション!$K$12,J95,シミュレーション!$J$12))</f>
        <v>0</v>
      </c>
      <c r="Z198" s="258">
        <f>IF(State_after_knock(シミュレーション!$K$12)=Y198,State_after_knock(シミュレーション!$K$12),Judge_01(シミュレーション!$K$12,K95,シミュレーション!$J$12))</f>
        <v>0</v>
      </c>
      <c r="AA198" s="225">
        <f>IF(State_after_knock(シミュレーション!$K$12)=Z198,State_after_knock(シミュレーション!$K$12),Judge_01(シミュレーション!$K$12,L95,シミュレーション!$J$12))</f>
        <v>0</v>
      </c>
    </row>
    <row r="199" spans="15:27" ht="14.25" x14ac:dyDescent="0.15">
      <c r="O199" s="18">
        <v>93</v>
      </c>
      <c r="P199" s="258">
        <f>Judge_01(シミュレーション!$K$11,I96,シミュレーション!$J$11)</f>
        <v>0</v>
      </c>
      <c r="Q199" s="258">
        <f>IF(State_after_knock(シミュレーション!$K$11)=P199,State_after_knock(シミュレーション!$K$11),Judge_01(シミュレーション!$K$11,I96,シミュレーション!$J$11))</f>
        <v>0</v>
      </c>
      <c r="R199" s="258">
        <f>IF(State_after_knock(シミュレーション!$K$11)=Q199,State_after_knock(シミュレーション!$K$11),Judge_01(シミュレーション!$K$11,J96,シミュレーション!$J$11))</f>
        <v>0</v>
      </c>
      <c r="S199" s="258">
        <f>IF(State_after_knock(シミュレーション!$K$11)=R199,State_after_knock(シミュレーション!$K$11),Judge_01(シミュレーション!$K$11,K96,シミュレーション!$J$11))</f>
        <v>0</v>
      </c>
      <c r="T199" s="225">
        <f>IF(State_after_knock(シミュレーション!$K$11)=S199,State_after_knock(シミュレーション!$K$11),Judge_01(シミュレーション!$K$11,L96,シミュレーション!$J$11))</f>
        <v>0</v>
      </c>
      <c r="V199" s="18">
        <v>93</v>
      </c>
      <c r="W199" s="258">
        <f>Judge_01(シミュレーション!$K$12,I96,シミュレーション!$J$12)</f>
        <v>0</v>
      </c>
      <c r="X199" s="258">
        <f>IF(State_after_knock(シミュレーション!$K$12)=W199,State_after_knock(シミュレーション!$K$12),Judge_01(シミュレーション!$K$12,I96,シミュレーション!$J$12))</f>
        <v>0</v>
      </c>
      <c r="Y199" s="258">
        <f>IF(State_after_knock(シミュレーション!$K$12)=X199,State_after_knock(シミュレーション!$K$12),Judge_01(シミュレーション!$K$12,J96,シミュレーション!$J$12))</f>
        <v>0</v>
      </c>
      <c r="Z199" s="258">
        <f>IF(State_after_knock(シミュレーション!$K$12)=Y199,State_after_knock(シミュレーション!$K$12),Judge_01(シミュレーション!$K$12,K96,シミュレーション!$J$12))</f>
        <v>0</v>
      </c>
      <c r="AA199" s="225">
        <f>IF(State_after_knock(シミュレーション!$K$12)=Z199,State_after_knock(シミュレーション!$K$12),Judge_01(シミュレーション!$K$12,L96,シミュレーション!$J$12))</f>
        <v>0</v>
      </c>
    </row>
    <row r="200" spans="15:27" ht="14.25" x14ac:dyDescent="0.15">
      <c r="O200" s="18">
        <v>94</v>
      </c>
      <c r="P200" s="258">
        <f>Judge_01(シミュレーション!$K$11,I97,シミュレーション!$J$11)</f>
        <v>0</v>
      </c>
      <c r="Q200" s="258">
        <f>IF(State_after_knock(シミュレーション!$K$11)=P200,State_after_knock(シミュレーション!$K$11),Judge_01(シミュレーション!$K$11,I97,シミュレーション!$J$11))</f>
        <v>0</v>
      </c>
      <c r="R200" s="258">
        <f>IF(State_after_knock(シミュレーション!$K$11)=Q200,State_after_knock(シミュレーション!$K$11),Judge_01(シミュレーション!$K$11,J97,シミュレーション!$J$11))</f>
        <v>0</v>
      </c>
      <c r="S200" s="258">
        <f>IF(State_after_knock(シミュレーション!$K$11)=R200,State_after_knock(シミュレーション!$K$11),Judge_01(シミュレーション!$K$11,K97,シミュレーション!$J$11))</f>
        <v>0</v>
      </c>
      <c r="T200" s="225">
        <f>IF(State_after_knock(シミュレーション!$K$11)=S200,State_after_knock(シミュレーション!$K$11),Judge_01(シミュレーション!$K$11,L97,シミュレーション!$J$11))</f>
        <v>0</v>
      </c>
      <c r="V200" s="18">
        <v>94</v>
      </c>
      <c r="W200" s="258">
        <f>Judge_01(シミュレーション!$K$12,I97,シミュレーション!$J$12)</f>
        <v>0</v>
      </c>
      <c r="X200" s="258">
        <f>IF(State_after_knock(シミュレーション!$K$12)=W200,State_after_knock(シミュレーション!$K$12),Judge_01(シミュレーション!$K$12,I97,シミュレーション!$J$12))</f>
        <v>0</v>
      </c>
      <c r="Y200" s="258">
        <f>IF(State_after_knock(シミュレーション!$K$12)=X200,State_after_knock(シミュレーション!$K$12),Judge_01(シミュレーション!$K$12,J97,シミュレーション!$J$12))</f>
        <v>0</v>
      </c>
      <c r="Z200" s="258">
        <f>IF(State_after_knock(シミュレーション!$K$12)=Y200,State_after_knock(シミュレーション!$K$12),Judge_01(シミュレーション!$K$12,K97,シミュレーション!$J$12))</f>
        <v>0</v>
      </c>
      <c r="AA200" s="225">
        <f>IF(State_after_knock(シミュレーション!$K$12)=Z200,State_after_knock(シミュレーション!$K$12),Judge_01(シミュレーション!$K$12,L97,シミュレーション!$J$12))</f>
        <v>0</v>
      </c>
    </row>
    <row r="201" spans="15:27" ht="14.25" x14ac:dyDescent="0.15">
      <c r="O201" s="18">
        <v>95</v>
      </c>
      <c r="P201" s="258">
        <f>Judge_01(シミュレーション!$K$11,I98,シミュレーション!$J$11)</f>
        <v>0</v>
      </c>
      <c r="Q201" s="258">
        <f>IF(State_after_knock(シミュレーション!$K$11)=P201,State_after_knock(シミュレーション!$K$11),Judge_01(シミュレーション!$K$11,I98,シミュレーション!$J$11))</f>
        <v>0</v>
      </c>
      <c r="R201" s="258">
        <f>IF(State_after_knock(シミュレーション!$K$11)=Q201,State_after_knock(シミュレーション!$K$11),Judge_01(シミュレーション!$K$11,J98,シミュレーション!$J$11))</f>
        <v>0</v>
      </c>
      <c r="S201" s="258">
        <f>IF(State_after_knock(シミュレーション!$K$11)=R201,State_after_knock(シミュレーション!$K$11),Judge_01(シミュレーション!$K$11,K98,シミュレーション!$J$11))</f>
        <v>0</v>
      </c>
      <c r="T201" s="225">
        <f>IF(State_after_knock(シミュレーション!$K$11)=S201,State_after_knock(シミュレーション!$K$11),Judge_01(シミュレーション!$K$11,L98,シミュレーション!$J$11))</f>
        <v>0</v>
      </c>
      <c r="V201" s="18">
        <v>95</v>
      </c>
      <c r="W201" s="258">
        <f>Judge_01(シミュレーション!$K$12,I98,シミュレーション!$J$12)</f>
        <v>0</v>
      </c>
      <c r="X201" s="258">
        <f>IF(State_after_knock(シミュレーション!$K$12)=W201,State_after_knock(シミュレーション!$K$12),Judge_01(シミュレーション!$K$12,I98,シミュレーション!$J$12))</f>
        <v>0</v>
      </c>
      <c r="Y201" s="258">
        <f>IF(State_after_knock(シミュレーション!$K$12)=X201,State_after_knock(シミュレーション!$K$12),Judge_01(シミュレーション!$K$12,J98,シミュレーション!$J$12))</f>
        <v>0</v>
      </c>
      <c r="Z201" s="258">
        <f>IF(State_after_knock(シミュレーション!$K$12)=Y201,State_after_knock(シミュレーション!$K$12),Judge_01(シミュレーション!$K$12,K98,シミュレーション!$J$12))</f>
        <v>0</v>
      </c>
      <c r="AA201" s="225">
        <f>IF(State_after_knock(シミュレーション!$K$12)=Z201,State_after_knock(シミュレーション!$K$12),Judge_01(シミュレーション!$K$12,L98,シミュレーション!$J$12))</f>
        <v>0</v>
      </c>
    </row>
    <row r="202" spans="15:27" ht="14.25" x14ac:dyDescent="0.15">
      <c r="O202" s="18">
        <v>96</v>
      </c>
      <c r="P202" s="258">
        <f>Judge_01(シミュレーション!$K$11,I99,シミュレーション!$J$11)</f>
        <v>0</v>
      </c>
      <c r="Q202" s="258">
        <f>IF(State_after_knock(シミュレーション!$K$11)=P202,State_after_knock(シミュレーション!$K$11),Judge_01(シミュレーション!$K$11,I99,シミュレーション!$J$11))</f>
        <v>0</v>
      </c>
      <c r="R202" s="258">
        <f>IF(State_after_knock(シミュレーション!$K$11)=Q202,State_after_knock(シミュレーション!$K$11),Judge_01(シミュレーション!$K$11,J99,シミュレーション!$J$11))</f>
        <v>0</v>
      </c>
      <c r="S202" s="258">
        <f>IF(State_after_knock(シミュレーション!$K$11)=R202,State_after_knock(シミュレーション!$K$11),Judge_01(シミュレーション!$K$11,K99,シミュレーション!$J$11))</f>
        <v>0</v>
      </c>
      <c r="T202" s="225">
        <f>IF(State_after_knock(シミュレーション!$K$11)=S202,State_after_knock(シミュレーション!$K$11),Judge_01(シミュレーション!$K$11,L99,シミュレーション!$J$11))</f>
        <v>0</v>
      </c>
      <c r="V202" s="18">
        <v>96</v>
      </c>
      <c r="W202" s="258">
        <f>Judge_01(シミュレーション!$K$12,I99,シミュレーション!$J$12)</f>
        <v>0</v>
      </c>
      <c r="X202" s="258">
        <f>IF(State_after_knock(シミュレーション!$K$12)=W202,State_after_knock(シミュレーション!$K$12),Judge_01(シミュレーション!$K$12,I99,シミュレーション!$J$12))</f>
        <v>0</v>
      </c>
      <c r="Y202" s="258">
        <f>IF(State_after_knock(シミュレーション!$K$12)=X202,State_after_knock(シミュレーション!$K$12),Judge_01(シミュレーション!$K$12,J99,シミュレーション!$J$12))</f>
        <v>0</v>
      </c>
      <c r="Z202" s="258">
        <f>IF(State_after_knock(シミュレーション!$K$12)=Y202,State_after_knock(シミュレーション!$K$12),Judge_01(シミュレーション!$K$12,K99,シミュレーション!$J$12))</f>
        <v>0</v>
      </c>
      <c r="AA202" s="225">
        <f>IF(State_after_knock(シミュレーション!$K$12)=Z202,State_after_knock(シミュレーション!$K$12),Judge_01(シミュレーション!$K$12,L99,シミュレーション!$J$12))</f>
        <v>0</v>
      </c>
    </row>
    <row r="203" spans="15:27" ht="14.25" x14ac:dyDescent="0.15">
      <c r="O203" s="18">
        <v>97</v>
      </c>
      <c r="P203" s="258">
        <f>Judge_01(シミュレーション!$K$11,I100,シミュレーション!$J$11)</f>
        <v>0</v>
      </c>
      <c r="Q203" s="258">
        <f>IF(State_after_knock(シミュレーション!$K$11)=P203,State_after_knock(シミュレーション!$K$11),Judge_01(シミュレーション!$K$11,I100,シミュレーション!$J$11))</f>
        <v>0</v>
      </c>
      <c r="R203" s="258">
        <f>IF(State_after_knock(シミュレーション!$K$11)=Q203,State_after_knock(シミュレーション!$K$11),Judge_01(シミュレーション!$K$11,J100,シミュレーション!$J$11))</f>
        <v>0</v>
      </c>
      <c r="S203" s="258">
        <f>IF(State_after_knock(シミュレーション!$K$11)=R203,State_after_knock(シミュレーション!$K$11),Judge_01(シミュレーション!$K$11,K100,シミュレーション!$J$11))</f>
        <v>0</v>
      </c>
      <c r="T203" s="225">
        <f>IF(State_after_knock(シミュレーション!$K$11)=S203,State_after_knock(シミュレーション!$K$11),Judge_01(シミュレーション!$K$11,L100,シミュレーション!$J$11))</f>
        <v>0</v>
      </c>
      <c r="V203" s="18">
        <v>97</v>
      </c>
      <c r="W203" s="258">
        <f>Judge_01(シミュレーション!$K$12,I100,シミュレーション!$J$12)</f>
        <v>0</v>
      </c>
      <c r="X203" s="258">
        <f>IF(State_after_knock(シミュレーション!$K$12)=W203,State_after_knock(シミュレーション!$K$12),Judge_01(シミュレーション!$K$12,I100,シミュレーション!$J$12))</f>
        <v>0</v>
      </c>
      <c r="Y203" s="258">
        <f>IF(State_after_knock(シミュレーション!$K$12)=X203,State_after_knock(シミュレーション!$K$12),Judge_01(シミュレーション!$K$12,J100,シミュレーション!$J$12))</f>
        <v>0</v>
      </c>
      <c r="Z203" s="258">
        <f>IF(State_after_knock(シミュレーション!$K$12)=Y203,State_after_knock(シミュレーション!$K$12),Judge_01(シミュレーション!$K$12,K100,シミュレーション!$J$12))</f>
        <v>0</v>
      </c>
      <c r="AA203" s="225">
        <f>IF(State_after_knock(シミュレーション!$K$12)=Z203,State_after_knock(シミュレーション!$K$12),Judge_01(シミュレーション!$K$12,L100,シミュレーション!$J$12))</f>
        <v>0</v>
      </c>
    </row>
    <row r="204" spans="15:27" ht="14.25" x14ac:dyDescent="0.15">
      <c r="O204" s="18">
        <v>98</v>
      </c>
      <c r="P204" s="258">
        <f>Judge_01(シミュレーション!$K$11,I101,シミュレーション!$J$11)</f>
        <v>0</v>
      </c>
      <c r="Q204" s="258">
        <f>IF(State_after_knock(シミュレーション!$K$11)=P204,State_after_knock(シミュレーション!$K$11),Judge_01(シミュレーション!$K$11,I101,シミュレーション!$J$11))</f>
        <v>0</v>
      </c>
      <c r="R204" s="258">
        <f>IF(State_after_knock(シミュレーション!$K$11)=Q204,State_after_knock(シミュレーション!$K$11),Judge_01(シミュレーション!$K$11,J101,シミュレーション!$J$11))</f>
        <v>0</v>
      </c>
      <c r="S204" s="258">
        <f>IF(State_after_knock(シミュレーション!$K$11)=R204,State_after_knock(シミュレーション!$K$11),Judge_01(シミュレーション!$K$11,K101,シミュレーション!$J$11))</f>
        <v>0</v>
      </c>
      <c r="T204" s="225">
        <f>IF(State_after_knock(シミュレーション!$K$11)=S204,State_after_knock(シミュレーション!$K$11),Judge_01(シミュレーション!$K$11,L101,シミュレーション!$J$11))</f>
        <v>0</v>
      </c>
      <c r="V204" s="18">
        <v>98</v>
      </c>
      <c r="W204" s="258">
        <f>Judge_01(シミュレーション!$K$12,I101,シミュレーション!$J$12)</f>
        <v>0</v>
      </c>
      <c r="X204" s="258">
        <f>IF(State_after_knock(シミュレーション!$K$12)=W204,State_after_knock(シミュレーション!$K$12),Judge_01(シミュレーション!$K$12,I101,シミュレーション!$J$12))</f>
        <v>0</v>
      </c>
      <c r="Y204" s="258">
        <f>IF(State_after_knock(シミュレーション!$K$12)=X204,State_after_knock(シミュレーション!$K$12),Judge_01(シミュレーション!$K$12,J101,シミュレーション!$J$12))</f>
        <v>0</v>
      </c>
      <c r="Z204" s="258">
        <f>IF(State_after_knock(シミュレーション!$K$12)=Y204,State_after_knock(シミュレーション!$K$12),Judge_01(シミュレーション!$K$12,K101,シミュレーション!$J$12))</f>
        <v>0</v>
      </c>
      <c r="AA204" s="225">
        <f>IF(State_after_knock(シミュレーション!$K$12)=Z204,State_after_knock(シミュレーション!$K$12),Judge_01(シミュレーション!$K$12,L101,シミュレーション!$J$12))</f>
        <v>0</v>
      </c>
    </row>
    <row r="205" spans="15:27" ht="14.25" x14ac:dyDescent="0.15">
      <c r="O205" s="18">
        <v>99</v>
      </c>
      <c r="P205" s="258">
        <f>Judge_01(シミュレーション!$K$11,I102,シミュレーション!$J$11)</f>
        <v>0</v>
      </c>
      <c r="Q205" s="258">
        <f>IF(State_after_knock(シミュレーション!$K$11)=P205,State_after_knock(シミュレーション!$K$11),Judge_01(シミュレーション!$K$11,I102,シミュレーション!$J$11))</f>
        <v>0</v>
      </c>
      <c r="R205" s="258">
        <f>IF(State_after_knock(シミュレーション!$K$11)=Q205,State_after_knock(シミュレーション!$K$11),Judge_01(シミュレーション!$K$11,J102,シミュレーション!$J$11))</f>
        <v>0</v>
      </c>
      <c r="S205" s="258">
        <f>IF(State_after_knock(シミュレーション!$K$11)=R205,State_after_knock(シミュレーション!$K$11),Judge_01(シミュレーション!$K$11,K102,シミュレーション!$J$11))</f>
        <v>0</v>
      </c>
      <c r="T205" s="225">
        <f>IF(State_after_knock(シミュレーション!$K$11)=S205,State_after_knock(シミュレーション!$K$11),Judge_01(シミュレーション!$K$11,L102,シミュレーション!$J$11))</f>
        <v>0</v>
      </c>
      <c r="V205" s="18">
        <v>99</v>
      </c>
      <c r="W205" s="258">
        <f>Judge_01(シミュレーション!$K$12,I102,シミュレーション!$J$12)</f>
        <v>0</v>
      </c>
      <c r="X205" s="258">
        <f>IF(State_after_knock(シミュレーション!$K$12)=W205,State_after_knock(シミュレーション!$K$12),Judge_01(シミュレーション!$K$12,I102,シミュレーション!$J$12))</f>
        <v>0</v>
      </c>
      <c r="Y205" s="258">
        <f>IF(State_after_knock(シミュレーション!$K$12)=X205,State_after_knock(シミュレーション!$K$12),Judge_01(シミュレーション!$K$12,J102,シミュレーション!$J$12))</f>
        <v>0</v>
      </c>
      <c r="Z205" s="258">
        <f>IF(State_after_knock(シミュレーション!$K$12)=Y205,State_after_knock(シミュレーション!$K$12),Judge_01(シミュレーション!$K$12,K102,シミュレーション!$J$12))</f>
        <v>0</v>
      </c>
      <c r="AA205" s="225">
        <f>IF(State_after_knock(シミュレーション!$K$12)=Z205,State_after_knock(シミュレーション!$K$12),Judge_01(シミュレーション!$K$12,L102,シミュレーション!$J$12))</f>
        <v>0</v>
      </c>
    </row>
    <row r="206" spans="15:27" ht="15" thickBot="1" x14ac:dyDescent="0.2">
      <c r="O206" s="39">
        <v>100</v>
      </c>
      <c r="P206" s="259">
        <f>Judge_01(シミュレーション!$K$11,I103,シミュレーション!$J$11)</f>
        <v>0</v>
      </c>
      <c r="Q206" s="259">
        <f>IF(State_after_knock(シミュレーション!$K$11)=P206,State_after_knock(シミュレーション!$K$11),Judge_01(シミュレーション!$K$11,I103,シミュレーション!$J$11))</f>
        <v>0</v>
      </c>
      <c r="R206" s="259">
        <f>IF(State_after_knock(シミュレーション!$K$11)=Q206,State_after_knock(シミュレーション!$K$11),Judge_01(シミュレーション!$K$11,J103,シミュレーション!$J$11))</f>
        <v>0</v>
      </c>
      <c r="S206" s="259">
        <f>IF(State_after_knock(シミュレーション!$K$11)=R206,State_after_knock(シミュレーション!$K$11),Judge_01(シミュレーション!$K$11,K103,シミュレーション!$J$11))</f>
        <v>0</v>
      </c>
      <c r="T206" s="227">
        <f>IF(State_after_knock(シミュレーション!$K$11)=S206,State_after_knock(シミュレーション!$K$11),Judge_01(シミュレーション!$K$11,L103,シミュレーション!$J$11))</f>
        <v>0</v>
      </c>
      <c r="V206" s="39">
        <v>100</v>
      </c>
      <c r="W206" s="259">
        <f>Judge_01(シミュレーション!$K$12,I103,シミュレーション!$J$12)</f>
        <v>0</v>
      </c>
      <c r="X206" s="259">
        <f>IF(State_after_knock(シミュレーション!$K$12)=W206,State_after_knock(シミュレーション!$K$12),Judge_01(シミュレーション!$K$12,I103,シミュレーション!$J$12))</f>
        <v>0</v>
      </c>
      <c r="Y206" s="259">
        <f>IF(State_after_knock(シミュレーション!$K$12)=X206,State_after_knock(シミュレーション!$K$12),Judge_01(シミュレーション!$K$12,J103,シミュレーション!$J$12))</f>
        <v>0</v>
      </c>
      <c r="Z206" s="259">
        <f>IF(State_after_knock(シミュレーション!$K$12)=Y206,State_after_knock(シミュレーション!$K$12),Judge_01(シミュレーション!$K$12,K103,シミュレーション!$J$12))</f>
        <v>0</v>
      </c>
      <c r="AA206" s="227">
        <f>IF(State_after_knock(シミュレーション!$K$12)=Z206,State_after_knock(シミュレーション!$K$12),Judge_01(シミュレーション!$K$12,L103,シミュレーション!$J$12))</f>
        <v>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30</vt:i4>
      </vt:variant>
    </vt:vector>
  </HeadingPairs>
  <TitlesOfParts>
    <vt:vector size="36" baseType="lpstr">
      <vt:lpstr>戦略の決定</vt:lpstr>
      <vt:lpstr>シミュレーション</vt:lpstr>
      <vt:lpstr>シミュレーションデータの貼り付け</vt:lpstr>
      <vt:lpstr>ファンドデータ(変更不要)</vt:lpstr>
      <vt:lpstr>ヘッジ付きポートフォリオ計算用（変更不要）</vt:lpstr>
      <vt:lpstr>シミュレーション計算用（変更不要）</vt:lpstr>
      <vt:lpstr>Change_A</vt:lpstr>
      <vt:lpstr>Change_B</vt:lpstr>
      <vt:lpstr>Change_C</vt:lpstr>
      <vt:lpstr>Change_Option_A</vt:lpstr>
      <vt:lpstr>Change_Option_B</vt:lpstr>
      <vt:lpstr>Change_Option_C</vt:lpstr>
      <vt:lpstr>Init_A</vt:lpstr>
      <vt:lpstr>Init_B</vt:lpstr>
      <vt:lpstr>Init_C</vt:lpstr>
      <vt:lpstr>Objective_A</vt:lpstr>
      <vt:lpstr>Objective_B</vt:lpstr>
      <vt:lpstr>Objective_C</vt:lpstr>
      <vt:lpstr>Objective2_A</vt:lpstr>
      <vt:lpstr>Objective2_B</vt:lpstr>
      <vt:lpstr>Objective2_C</vt:lpstr>
      <vt:lpstr>Result_A</vt:lpstr>
      <vt:lpstr>Result_B</vt:lpstr>
      <vt:lpstr>Result_C</vt:lpstr>
      <vt:lpstr>Result_Option_A</vt:lpstr>
      <vt:lpstr>Result_Option_B</vt:lpstr>
      <vt:lpstr>Result_Option_C</vt:lpstr>
      <vt:lpstr>Strategy_Price_A</vt:lpstr>
      <vt:lpstr>Strategy_Price_B</vt:lpstr>
      <vt:lpstr>Strategy_Price_C</vt:lpstr>
      <vt:lpstr>Strategy_Result_A</vt:lpstr>
      <vt:lpstr>Strategy_Result_B</vt:lpstr>
      <vt:lpstr>Strategy_Result_C</vt:lpstr>
      <vt:lpstr>Upper_A</vt:lpstr>
      <vt:lpstr>Upper_B</vt:lpstr>
      <vt:lpstr>Upper_C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2021-08-11T22:27:16Z</dcterms:created>
  <dcterms:modified xsi:type="dcterms:W3CDTF">2021-08-11T22:59:01Z</dcterms:modified>
  <cp:category/>
  <cp:contentStatus/>
</cp:coreProperties>
</file>